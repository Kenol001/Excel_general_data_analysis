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2EE728D-96D1-4885-A25E-94D38B472C12}" xr6:coauthVersionLast="36" xr6:coauthVersionMax="36" xr10:uidLastSave="{00000000-0000-0000-0000-000000000000}"/>
  <bookViews>
    <workbookView xWindow="0" yWindow="0" windowWidth="23040" windowHeight="9060" xr2:uid="{991D9D90-4CCA-4B35-B972-97A3DCB83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801" i="1" l="1"/>
  <c r="P801" i="1"/>
  <c r="N801" i="1"/>
  <c r="C801" i="1"/>
  <c r="S800" i="1"/>
  <c r="P800" i="1"/>
  <c r="N800" i="1"/>
  <c r="C800" i="1"/>
  <c r="S799" i="1"/>
  <c r="P799" i="1"/>
  <c r="N799" i="1"/>
  <c r="C799" i="1"/>
  <c r="S798" i="1"/>
  <c r="P798" i="1"/>
  <c r="N798" i="1"/>
  <c r="C798" i="1"/>
  <c r="S797" i="1"/>
  <c r="P797" i="1"/>
  <c r="N797" i="1"/>
  <c r="C797" i="1"/>
  <c r="S796" i="1"/>
  <c r="P796" i="1"/>
  <c r="N796" i="1"/>
  <c r="C796" i="1"/>
  <c r="S795" i="1"/>
  <c r="P795" i="1"/>
  <c r="N795" i="1"/>
  <c r="C795" i="1"/>
  <c r="S794" i="1"/>
  <c r="P794" i="1"/>
  <c r="N794" i="1"/>
  <c r="C794" i="1"/>
  <c r="S793" i="1"/>
  <c r="P793" i="1"/>
  <c r="N793" i="1"/>
  <c r="C793" i="1"/>
  <c r="S792" i="1"/>
  <c r="P792" i="1"/>
  <c r="N792" i="1"/>
  <c r="C792" i="1"/>
  <c r="S791" i="1"/>
  <c r="P791" i="1"/>
  <c r="N791" i="1"/>
  <c r="C791" i="1"/>
  <c r="S790" i="1"/>
  <c r="P790" i="1"/>
  <c r="N790" i="1"/>
  <c r="C790" i="1"/>
  <c r="S789" i="1"/>
  <c r="P789" i="1"/>
  <c r="N789" i="1"/>
  <c r="C789" i="1"/>
  <c r="S788" i="1"/>
  <c r="P788" i="1"/>
  <c r="N788" i="1"/>
  <c r="C788" i="1"/>
  <c r="S787" i="1"/>
  <c r="P787" i="1"/>
  <c r="N787" i="1"/>
  <c r="C787" i="1"/>
  <c r="S786" i="1"/>
  <c r="P786" i="1"/>
  <c r="N786" i="1"/>
  <c r="C786" i="1"/>
  <c r="S785" i="1"/>
  <c r="P785" i="1"/>
  <c r="N785" i="1"/>
  <c r="C785" i="1"/>
  <c r="S784" i="1"/>
  <c r="P784" i="1"/>
  <c r="N784" i="1"/>
  <c r="C784" i="1"/>
  <c r="S783" i="1"/>
  <c r="P783" i="1"/>
  <c r="N783" i="1"/>
  <c r="C783" i="1"/>
  <c r="S782" i="1"/>
  <c r="P782" i="1"/>
  <c r="N782" i="1"/>
  <c r="C782" i="1"/>
  <c r="S781" i="1"/>
  <c r="P781" i="1"/>
  <c r="N781" i="1"/>
  <c r="C781" i="1"/>
  <c r="S780" i="1"/>
  <c r="P780" i="1"/>
  <c r="N780" i="1"/>
  <c r="C780" i="1"/>
  <c r="S779" i="1"/>
  <c r="P779" i="1"/>
  <c r="N779" i="1"/>
  <c r="C779" i="1"/>
  <c r="S778" i="1"/>
  <c r="P778" i="1"/>
  <c r="N778" i="1"/>
  <c r="C778" i="1"/>
  <c r="S777" i="1"/>
  <c r="P777" i="1"/>
  <c r="N777" i="1"/>
  <c r="C777" i="1"/>
  <c r="S776" i="1"/>
  <c r="P776" i="1"/>
  <c r="N776" i="1"/>
  <c r="C776" i="1"/>
  <c r="S775" i="1"/>
  <c r="P775" i="1"/>
  <c r="N775" i="1"/>
  <c r="C775" i="1"/>
  <c r="S774" i="1"/>
  <c r="P774" i="1"/>
  <c r="N774" i="1"/>
  <c r="C774" i="1"/>
  <c r="S773" i="1"/>
  <c r="P773" i="1"/>
  <c r="N773" i="1"/>
  <c r="C773" i="1"/>
  <c r="S772" i="1"/>
  <c r="P772" i="1"/>
  <c r="N772" i="1"/>
  <c r="C772" i="1"/>
  <c r="S771" i="1"/>
  <c r="P771" i="1"/>
  <c r="N771" i="1"/>
  <c r="C771" i="1"/>
  <c r="S770" i="1"/>
  <c r="P770" i="1"/>
  <c r="N770" i="1"/>
  <c r="C770" i="1"/>
  <c r="S769" i="1"/>
  <c r="P769" i="1"/>
  <c r="N769" i="1"/>
  <c r="C769" i="1"/>
  <c r="S768" i="1"/>
  <c r="P768" i="1"/>
  <c r="N768" i="1"/>
  <c r="C768" i="1"/>
  <c r="S767" i="1"/>
  <c r="P767" i="1"/>
  <c r="N767" i="1"/>
  <c r="C767" i="1"/>
  <c r="S766" i="1"/>
  <c r="P766" i="1"/>
  <c r="N766" i="1"/>
  <c r="C766" i="1"/>
  <c r="S765" i="1"/>
  <c r="P765" i="1"/>
  <c r="N765" i="1"/>
  <c r="C765" i="1"/>
  <c r="S764" i="1"/>
  <c r="P764" i="1"/>
  <c r="N764" i="1"/>
  <c r="C764" i="1"/>
  <c r="S763" i="1"/>
  <c r="P763" i="1"/>
  <c r="N763" i="1"/>
  <c r="C763" i="1"/>
  <c r="S762" i="1"/>
  <c r="P762" i="1"/>
  <c r="N762" i="1"/>
  <c r="C762" i="1"/>
  <c r="S761" i="1"/>
  <c r="P761" i="1"/>
  <c r="N761" i="1"/>
  <c r="C761" i="1"/>
  <c r="S760" i="1"/>
  <c r="P760" i="1"/>
  <c r="N760" i="1"/>
  <c r="C760" i="1"/>
  <c r="S759" i="1"/>
  <c r="P759" i="1"/>
  <c r="N759" i="1"/>
  <c r="C759" i="1"/>
  <c r="S758" i="1"/>
  <c r="P758" i="1"/>
  <c r="N758" i="1"/>
  <c r="C758" i="1"/>
  <c r="S757" i="1"/>
  <c r="P757" i="1"/>
  <c r="N757" i="1"/>
  <c r="C757" i="1"/>
  <c r="S756" i="1"/>
  <c r="P756" i="1"/>
  <c r="N756" i="1"/>
  <c r="C756" i="1"/>
  <c r="S755" i="1"/>
  <c r="P755" i="1"/>
  <c r="N755" i="1"/>
  <c r="C755" i="1"/>
  <c r="S754" i="1"/>
  <c r="P754" i="1"/>
  <c r="N754" i="1"/>
  <c r="C754" i="1"/>
  <c r="S753" i="1"/>
  <c r="P753" i="1"/>
  <c r="N753" i="1"/>
  <c r="C753" i="1"/>
  <c r="S752" i="1"/>
  <c r="P752" i="1"/>
  <c r="N752" i="1"/>
  <c r="C752" i="1"/>
  <c r="S751" i="1"/>
  <c r="P751" i="1"/>
  <c r="N751" i="1"/>
  <c r="C751" i="1"/>
  <c r="S750" i="1"/>
  <c r="P750" i="1"/>
  <c r="N750" i="1"/>
  <c r="C750" i="1"/>
  <c r="S749" i="1"/>
  <c r="P749" i="1"/>
  <c r="N749" i="1"/>
  <c r="C749" i="1"/>
  <c r="S748" i="1"/>
  <c r="P748" i="1"/>
  <c r="N748" i="1"/>
  <c r="C748" i="1"/>
  <c r="S747" i="1"/>
  <c r="P747" i="1"/>
  <c r="N747" i="1"/>
  <c r="C747" i="1"/>
  <c r="S746" i="1"/>
  <c r="P746" i="1"/>
  <c r="N746" i="1"/>
  <c r="C746" i="1"/>
  <c r="S745" i="1"/>
  <c r="P745" i="1"/>
  <c r="N745" i="1"/>
  <c r="C745" i="1"/>
  <c r="S744" i="1"/>
  <c r="P744" i="1"/>
  <c r="N744" i="1"/>
  <c r="C744" i="1"/>
  <c r="S743" i="1"/>
  <c r="P743" i="1"/>
  <c r="N743" i="1"/>
  <c r="C743" i="1"/>
  <c r="S742" i="1"/>
  <c r="P742" i="1"/>
  <c r="N742" i="1"/>
  <c r="C742" i="1"/>
  <c r="S741" i="1"/>
  <c r="P741" i="1"/>
  <c r="N741" i="1"/>
  <c r="C741" i="1"/>
  <c r="S740" i="1"/>
  <c r="P740" i="1"/>
  <c r="N740" i="1"/>
  <c r="C740" i="1"/>
  <c r="S739" i="1"/>
  <c r="P739" i="1"/>
  <c r="N739" i="1"/>
  <c r="C739" i="1"/>
  <c r="S738" i="1"/>
  <c r="P738" i="1"/>
  <c r="N738" i="1"/>
  <c r="C738" i="1"/>
  <c r="S737" i="1"/>
  <c r="P737" i="1"/>
  <c r="N737" i="1"/>
  <c r="C737" i="1"/>
  <c r="S736" i="1"/>
  <c r="P736" i="1"/>
  <c r="N736" i="1"/>
  <c r="C736" i="1"/>
  <c r="S735" i="1"/>
  <c r="P735" i="1"/>
  <c r="N735" i="1"/>
  <c r="C735" i="1"/>
  <c r="S734" i="1"/>
  <c r="P734" i="1"/>
  <c r="N734" i="1"/>
  <c r="C734" i="1"/>
  <c r="S733" i="1"/>
  <c r="P733" i="1"/>
  <c r="N733" i="1"/>
  <c r="C733" i="1"/>
  <c r="S732" i="1"/>
  <c r="P732" i="1"/>
  <c r="N732" i="1"/>
  <c r="C732" i="1"/>
  <c r="S731" i="1"/>
  <c r="P731" i="1"/>
  <c r="N731" i="1"/>
  <c r="C731" i="1"/>
  <c r="S730" i="1"/>
  <c r="P730" i="1"/>
  <c r="N730" i="1"/>
  <c r="C730" i="1"/>
  <c r="S729" i="1"/>
  <c r="P729" i="1"/>
  <c r="N729" i="1"/>
  <c r="C729" i="1"/>
  <c r="S728" i="1"/>
  <c r="P728" i="1"/>
  <c r="N728" i="1"/>
  <c r="C728" i="1"/>
  <c r="S727" i="1"/>
  <c r="P727" i="1"/>
  <c r="N727" i="1"/>
  <c r="C727" i="1"/>
  <c r="S726" i="1"/>
  <c r="P726" i="1"/>
  <c r="N726" i="1"/>
  <c r="C726" i="1"/>
  <c r="S725" i="1"/>
  <c r="P725" i="1"/>
  <c r="N725" i="1"/>
  <c r="C725" i="1"/>
  <c r="S724" i="1"/>
  <c r="P724" i="1"/>
  <c r="N724" i="1"/>
  <c r="C724" i="1"/>
  <c r="S723" i="1"/>
  <c r="P723" i="1"/>
  <c r="N723" i="1"/>
  <c r="C723" i="1"/>
  <c r="S722" i="1"/>
  <c r="P722" i="1"/>
  <c r="N722" i="1"/>
  <c r="C722" i="1"/>
  <c r="S721" i="1"/>
  <c r="P721" i="1"/>
  <c r="N721" i="1"/>
  <c r="C721" i="1"/>
  <c r="S720" i="1"/>
  <c r="P720" i="1"/>
  <c r="N720" i="1"/>
  <c r="C720" i="1"/>
  <c r="S719" i="1"/>
  <c r="P719" i="1"/>
  <c r="N719" i="1"/>
  <c r="C719" i="1"/>
  <c r="S718" i="1"/>
  <c r="P718" i="1"/>
  <c r="N718" i="1"/>
  <c r="C718" i="1"/>
  <c r="S717" i="1"/>
  <c r="P717" i="1"/>
  <c r="N717" i="1"/>
  <c r="C717" i="1"/>
  <c r="S716" i="1"/>
  <c r="P716" i="1"/>
  <c r="N716" i="1"/>
  <c r="C716" i="1"/>
  <c r="S715" i="1"/>
  <c r="P715" i="1"/>
  <c r="N715" i="1"/>
  <c r="C715" i="1"/>
  <c r="S714" i="1"/>
  <c r="P714" i="1"/>
  <c r="N714" i="1"/>
  <c r="C714" i="1"/>
  <c r="S713" i="1"/>
  <c r="P713" i="1"/>
  <c r="N713" i="1"/>
  <c r="C713" i="1"/>
  <c r="S712" i="1"/>
  <c r="P712" i="1"/>
  <c r="N712" i="1"/>
  <c r="C712" i="1"/>
  <c r="S711" i="1"/>
  <c r="P711" i="1"/>
  <c r="N711" i="1"/>
  <c r="C711" i="1"/>
  <c r="S710" i="1"/>
  <c r="P710" i="1"/>
  <c r="N710" i="1"/>
  <c r="C710" i="1"/>
  <c r="S709" i="1"/>
  <c r="P709" i="1"/>
  <c r="N709" i="1"/>
  <c r="C709" i="1"/>
  <c r="S708" i="1"/>
  <c r="P708" i="1"/>
  <c r="N708" i="1"/>
  <c r="C708" i="1"/>
  <c r="S707" i="1"/>
  <c r="P707" i="1"/>
  <c r="N707" i="1"/>
  <c r="C707" i="1"/>
  <c r="S706" i="1"/>
  <c r="P706" i="1"/>
  <c r="N706" i="1"/>
  <c r="C706" i="1"/>
  <c r="S705" i="1"/>
  <c r="P705" i="1"/>
  <c r="N705" i="1"/>
  <c r="C705" i="1"/>
  <c r="S704" i="1"/>
  <c r="P704" i="1"/>
  <c r="N704" i="1"/>
  <c r="C704" i="1"/>
  <c r="S703" i="1"/>
  <c r="P703" i="1"/>
  <c r="N703" i="1"/>
  <c r="C703" i="1"/>
  <c r="S702" i="1"/>
  <c r="P702" i="1"/>
  <c r="N702" i="1"/>
  <c r="C702" i="1"/>
  <c r="S701" i="1"/>
  <c r="P701" i="1"/>
  <c r="N701" i="1"/>
  <c r="C701" i="1"/>
  <c r="S700" i="1"/>
  <c r="P700" i="1"/>
  <c r="N700" i="1"/>
  <c r="C700" i="1"/>
  <c r="S699" i="1"/>
  <c r="P699" i="1"/>
  <c r="N699" i="1"/>
  <c r="C699" i="1"/>
  <c r="S698" i="1"/>
  <c r="P698" i="1"/>
  <c r="N698" i="1"/>
  <c r="C698" i="1"/>
  <c r="S697" i="1"/>
  <c r="P697" i="1"/>
  <c r="N697" i="1"/>
  <c r="C697" i="1"/>
  <c r="S696" i="1"/>
  <c r="P696" i="1"/>
  <c r="N696" i="1"/>
  <c r="C696" i="1"/>
  <c r="S695" i="1"/>
  <c r="P695" i="1"/>
  <c r="N695" i="1"/>
  <c r="C695" i="1"/>
  <c r="S694" i="1"/>
  <c r="P694" i="1"/>
  <c r="N694" i="1"/>
  <c r="C694" i="1"/>
  <c r="S693" i="1"/>
  <c r="P693" i="1"/>
  <c r="N693" i="1"/>
  <c r="C693" i="1"/>
  <c r="S692" i="1"/>
  <c r="P692" i="1"/>
  <c r="N692" i="1"/>
  <c r="C692" i="1"/>
  <c r="S691" i="1"/>
  <c r="P691" i="1"/>
  <c r="N691" i="1"/>
  <c r="C691" i="1"/>
  <c r="S690" i="1"/>
  <c r="P690" i="1"/>
  <c r="N690" i="1"/>
  <c r="C690" i="1"/>
  <c r="S689" i="1"/>
  <c r="P689" i="1"/>
  <c r="N689" i="1"/>
  <c r="C689" i="1"/>
  <c r="S688" i="1"/>
  <c r="P688" i="1"/>
  <c r="N688" i="1"/>
  <c r="C688" i="1"/>
  <c r="S687" i="1"/>
  <c r="P687" i="1"/>
  <c r="N687" i="1"/>
  <c r="C687" i="1"/>
  <c r="S686" i="1"/>
  <c r="P686" i="1"/>
  <c r="N686" i="1"/>
  <c r="C686" i="1"/>
  <c r="S685" i="1"/>
  <c r="P685" i="1"/>
  <c r="N685" i="1"/>
  <c r="C685" i="1"/>
  <c r="S684" i="1"/>
  <c r="P684" i="1"/>
  <c r="N684" i="1"/>
  <c r="C684" i="1"/>
  <c r="S683" i="1"/>
  <c r="P683" i="1"/>
  <c r="N683" i="1"/>
  <c r="C683" i="1"/>
  <c r="S682" i="1"/>
  <c r="P682" i="1"/>
  <c r="N682" i="1"/>
  <c r="C682" i="1"/>
  <c r="S681" i="1"/>
  <c r="P681" i="1"/>
  <c r="N681" i="1"/>
  <c r="C681" i="1"/>
  <c r="S680" i="1"/>
  <c r="P680" i="1"/>
  <c r="N680" i="1"/>
  <c r="C680" i="1"/>
  <c r="S679" i="1"/>
  <c r="P679" i="1"/>
  <c r="N679" i="1"/>
  <c r="C679" i="1"/>
  <c r="S678" i="1"/>
  <c r="P678" i="1"/>
  <c r="N678" i="1"/>
  <c r="C678" i="1"/>
  <c r="S677" i="1"/>
  <c r="P677" i="1"/>
  <c r="N677" i="1"/>
  <c r="C677" i="1"/>
  <c r="S676" i="1"/>
  <c r="P676" i="1"/>
  <c r="N676" i="1"/>
  <c r="C676" i="1"/>
  <c r="S675" i="1"/>
  <c r="P675" i="1"/>
  <c r="N675" i="1"/>
  <c r="C675" i="1"/>
  <c r="S674" i="1"/>
  <c r="P674" i="1"/>
  <c r="N674" i="1"/>
  <c r="C674" i="1"/>
  <c r="S673" i="1"/>
  <c r="P673" i="1"/>
  <c r="N673" i="1"/>
  <c r="C673" i="1"/>
  <c r="S672" i="1"/>
  <c r="P672" i="1"/>
  <c r="N672" i="1"/>
  <c r="C672" i="1"/>
  <c r="S671" i="1"/>
  <c r="P671" i="1"/>
  <c r="N671" i="1"/>
  <c r="C671" i="1"/>
  <c r="S670" i="1"/>
  <c r="P670" i="1"/>
  <c r="N670" i="1"/>
  <c r="C670" i="1"/>
  <c r="S669" i="1"/>
  <c r="P669" i="1"/>
  <c r="N669" i="1"/>
  <c r="C669" i="1"/>
  <c r="S668" i="1"/>
  <c r="P668" i="1"/>
  <c r="N668" i="1"/>
  <c r="C668" i="1"/>
  <c r="S667" i="1"/>
  <c r="P667" i="1"/>
  <c r="N667" i="1"/>
  <c r="C667" i="1"/>
  <c r="S666" i="1"/>
  <c r="P666" i="1"/>
  <c r="N666" i="1"/>
  <c r="C666" i="1"/>
  <c r="S665" i="1"/>
  <c r="P665" i="1"/>
  <c r="N665" i="1"/>
  <c r="C665" i="1"/>
  <c r="S664" i="1"/>
  <c r="P664" i="1"/>
  <c r="N664" i="1"/>
  <c r="C664" i="1"/>
  <c r="S663" i="1"/>
  <c r="P663" i="1"/>
  <c r="N663" i="1"/>
  <c r="C663" i="1"/>
  <c r="S662" i="1"/>
  <c r="P662" i="1"/>
  <c r="N662" i="1"/>
  <c r="C662" i="1"/>
  <c r="S661" i="1"/>
  <c r="P661" i="1"/>
  <c r="N661" i="1"/>
  <c r="C661" i="1"/>
  <c r="S660" i="1"/>
  <c r="P660" i="1"/>
  <c r="N660" i="1"/>
  <c r="C660" i="1"/>
  <c r="S659" i="1"/>
  <c r="P659" i="1"/>
  <c r="N659" i="1"/>
  <c r="C659" i="1"/>
  <c r="S658" i="1"/>
  <c r="P658" i="1"/>
  <c r="N658" i="1"/>
  <c r="C658" i="1"/>
  <c r="S657" i="1"/>
  <c r="P657" i="1"/>
  <c r="N657" i="1"/>
  <c r="C657" i="1"/>
  <c r="S656" i="1"/>
  <c r="P656" i="1"/>
  <c r="N656" i="1"/>
  <c r="C656" i="1"/>
  <c r="S655" i="1"/>
  <c r="P655" i="1"/>
  <c r="N655" i="1"/>
  <c r="C655" i="1"/>
  <c r="S654" i="1"/>
  <c r="P654" i="1"/>
  <c r="N654" i="1"/>
  <c r="C654" i="1"/>
  <c r="S653" i="1"/>
  <c r="P653" i="1"/>
  <c r="N653" i="1"/>
  <c r="C653" i="1"/>
  <c r="S652" i="1"/>
  <c r="P652" i="1"/>
  <c r="N652" i="1"/>
  <c r="C652" i="1"/>
  <c r="S651" i="1"/>
  <c r="P651" i="1"/>
  <c r="N651" i="1"/>
  <c r="C651" i="1"/>
  <c r="S650" i="1"/>
  <c r="P650" i="1"/>
  <c r="N650" i="1"/>
  <c r="C650" i="1"/>
  <c r="S649" i="1"/>
  <c r="P649" i="1"/>
  <c r="N649" i="1"/>
  <c r="C649" i="1"/>
  <c r="S648" i="1"/>
  <c r="P648" i="1"/>
  <c r="N648" i="1"/>
  <c r="C648" i="1"/>
  <c r="S647" i="1"/>
  <c r="P647" i="1"/>
  <c r="N647" i="1"/>
  <c r="C647" i="1"/>
  <c r="S646" i="1"/>
  <c r="P646" i="1"/>
  <c r="N646" i="1"/>
  <c r="C646" i="1"/>
  <c r="S645" i="1"/>
  <c r="P645" i="1"/>
  <c r="N645" i="1"/>
  <c r="C645" i="1"/>
  <c r="S644" i="1"/>
  <c r="P644" i="1"/>
  <c r="N644" i="1"/>
  <c r="C644" i="1"/>
  <c r="S643" i="1"/>
  <c r="P643" i="1"/>
  <c r="N643" i="1"/>
  <c r="C643" i="1"/>
  <c r="S642" i="1"/>
  <c r="P642" i="1"/>
  <c r="N642" i="1"/>
  <c r="C642" i="1"/>
  <c r="S641" i="1"/>
  <c r="P641" i="1"/>
  <c r="N641" i="1"/>
  <c r="C641" i="1"/>
  <c r="S640" i="1"/>
  <c r="P640" i="1"/>
  <c r="N640" i="1"/>
  <c r="C640" i="1"/>
  <c r="S639" i="1"/>
  <c r="P639" i="1"/>
  <c r="N639" i="1"/>
  <c r="C639" i="1"/>
  <c r="S638" i="1"/>
  <c r="P638" i="1"/>
  <c r="N638" i="1"/>
  <c r="C638" i="1"/>
  <c r="S637" i="1"/>
  <c r="P637" i="1"/>
  <c r="N637" i="1"/>
  <c r="C637" i="1"/>
  <c r="S636" i="1"/>
  <c r="P636" i="1"/>
  <c r="N636" i="1"/>
  <c r="C636" i="1"/>
  <c r="S635" i="1"/>
  <c r="P635" i="1"/>
  <c r="N635" i="1"/>
  <c r="C635" i="1"/>
  <c r="S634" i="1"/>
  <c r="P634" i="1"/>
  <c r="N634" i="1"/>
  <c r="C634" i="1"/>
  <c r="S633" i="1"/>
  <c r="P633" i="1"/>
  <c r="N633" i="1"/>
  <c r="C633" i="1"/>
  <c r="S632" i="1"/>
  <c r="P632" i="1"/>
  <c r="N632" i="1"/>
  <c r="C632" i="1"/>
  <c r="S631" i="1"/>
  <c r="P631" i="1"/>
  <c r="N631" i="1"/>
  <c r="C631" i="1"/>
  <c r="S630" i="1"/>
  <c r="P630" i="1"/>
  <c r="N630" i="1"/>
  <c r="C630" i="1"/>
  <c r="S629" i="1"/>
  <c r="P629" i="1"/>
  <c r="N629" i="1"/>
  <c r="C629" i="1"/>
  <c r="S628" i="1"/>
  <c r="P628" i="1"/>
  <c r="N628" i="1"/>
  <c r="C628" i="1"/>
  <c r="S627" i="1"/>
  <c r="P627" i="1"/>
  <c r="N627" i="1"/>
  <c r="C627" i="1"/>
  <c r="S626" i="1"/>
  <c r="P626" i="1"/>
  <c r="N626" i="1"/>
  <c r="C626" i="1"/>
  <c r="S625" i="1"/>
  <c r="P625" i="1"/>
  <c r="N625" i="1"/>
  <c r="C625" i="1"/>
  <c r="S624" i="1"/>
  <c r="P624" i="1"/>
  <c r="N624" i="1"/>
  <c r="C624" i="1"/>
  <c r="S623" i="1"/>
  <c r="P623" i="1"/>
  <c r="N623" i="1"/>
  <c r="C623" i="1"/>
  <c r="S622" i="1"/>
  <c r="P622" i="1"/>
  <c r="N622" i="1"/>
  <c r="C622" i="1"/>
  <c r="S621" i="1"/>
  <c r="P621" i="1"/>
  <c r="N621" i="1"/>
  <c r="C621" i="1"/>
  <c r="S620" i="1"/>
  <c r="P620" i="1"/>
  <c r="N620" i="1"/>
  <c r="C620" i="1"/>
  <c r="S619" i="1"/>
  <c r="P619" i="1"/>
  <c r="N619" i="1"/>
  <c r="C619" i="1"/>
  <c r="S618" i="1"/>
  <c r="P618" i="1"/>
  <c r="N618" i="1"/>
  <c r="C618" i="1"/>
  <c r="S617" i="1"/>
  <c r="P617" i="1"/>
  <c r="N617" i="1"/>
  <c r="C617" i="1"/>
  <c r="S616" i="1"/>
  <c r="P616" i="1"/>
  <c r="N616" i="1"/>
  <c r="C616" i="1"/>
  <c r="S615" i="1"/>
  <c r="P615" i="1"/>
  <c r="N615" i="1"/>
  <c r="C615" i="1"/>
  <c r="S614" i="1"/>
  <c r="P614" i="1"/>
  <c r="N614" i="1"/>
  <c r="C614" i="1"/>
  <c r="S613" i="1"/>
  <c r="P613" i="1"/>
  <c r="N613" i="1"/>
  <c r="C613" i="1"/>
  <c r="S612" i="1"/>
  <c r="P612" i="1"/>
  <c r="N612" i="1"/>
  <c r="C612" i="1"/>
  <c r="S611" i="1"/>
  <c r="P611" i="1"/>
  <c r="N611" i="1"/>
  <c r="C611" i="1"/>
  <c r="S610" i="1"/>
  <c r="P610" i="1"/>
  <c r="N610" i="1"/>
  <c r="C610" i="1"/>
  <c r="S609" i="1"/>
  <c r="P609" i="1"/>
  <c r="N609" i="1"/>
  <c r="C609" i="1"/>
  <c r="S608" i="1"/>
  <c r="P608" i="1"/>
  <c r="N608" i="1"/>
  <c r="C608" i="1"/>
  <c r="S607" i="1"/>
  <c r="P607" i="1"/>
  <c r="N607" i="1"/>
  <c r="C607" i="1"/>
  <c r="S606" i="1"/>
  <c r="P606" i="1"/>
  <c r="N606" i="1"/>
  <c r="C606" i="1"/>
  <c r="S605" i="1"/>
  <c r="P605" i="1"/>
  <c r="N605" i="1"/>
  <c r="C605" i="1"/>
  <c r="S604" i="1"/>
  <c r="P604" i="1"/>
  <c r="N604" i="1"/>
  <c r="C604" i="1"/>
  <c r="S603" i="1"/>
  <c r="P603" i="1"/>
  <c r="N603" i="1"/>
  <c r="C603" i="1"/>
  <c r="S602" i="1"/>
  <c r="P602" i="1"/>
  <c r="N602" i="1"/>
  <c r="C602" i="1"/>
  <c r="S601" i="1"/>
  <c r="P601" i="1"/>
  <c r="N601" i="1"/>
  <c r="C601" i="1"/>
  <c r="S600" i="1"/>
  <c r="P600" i="1"/>
  <c r="N600" i="1"/>
  <c r="C600" i="1"/>
  <c r="S599" i="1"/>
  <c r="P599" i="1"/>
  <c r="N599" i="1"/>
  <c r="C599" i="1"/>
  <c r="S598" i="1"/>
  <c r="P598" i="1"/>
  <c r="N598" i="1"/>
  <c r="C598" i="1"/>
  <c r="S597" i="1"/>
  <c r="P597" i="1"/>
  <c r="N597" i="1"/>
  <c r="C597" i="1"/>
  <c r="S596" i="1"/>
  <c r="P596" i="1"/>
  <c r="N596" i="1"/>
  <c r="C596" i="1"/>
  <c r="S595" i="1"/>
  <c r="P595" i="1"/>
  <c r="N595" i="1"/>
  <c r="C595" i="1"/>
  <c r="S594" i="1"/>
  <c r="P594" i="1"/>
  <c r="N594" i="1"/>
  <c r="C594" i="1"/>
  <c r="S593" i="1"/>
  <c r="P593" i="1"/>
  <c r="N593" i="1"/>
  <c r="C593" i="1"/>
  <c r="S592" i="1"/>
  <c r="P592" i="1"/>
  <c r="N592" i="1"/>
  <c r="C592" i="1"/>
  <c r="S591" i="1"/>
  <c r="P591" i="1"/>
  <c r="N591" i="1"/>
  <c r="C591" i="1"/>
  <c r="S590" i="1"/>
  <c r="P590" i="1"/>
  <c r="N590" i="1"/>
  <c r="C590" i="1"/>
  <c r="S589" i="1"/>
  <c r="P589" i="1"/>
  <c r="N589" i="1"/>
  <c r="C589" i="1"/>
  <c r="S588" i="1"/>
  <c r="P588" i="1"/>
  <c r="N588" i="1"/>
  <c r="C588" i="1"/>
  <c r="S587" i="1"/>
  <c r="P587" i="1"/>
  <c r="N587" i="1"/>
  <c r="C587" i="1"/>
  <c r="S586" i="1"/>
  <c r="P586" i="1"/>
  <c r="N586" i="1"/>
  <c r="C586" i="1"/>
  <c r="S585" i="1"/>
  <c r="P585" i="1"/>
  <c r="N585" i="1"/>
  <c r="C585" i="1"/>
  <c r="S584" i="1"/>
  <c r="P584" i="1"/>
  <c r="N584" i="1"/>
  <c r="C584" i="1"/>
  <c r="S583" i="1"/>
  <c r="P583" i="1"/>
  <c r="N583" i="1"/>
  <c r="C583" i="1"/>
  <c r="S582" i="1"/>
  <c r="P582" i="1"/>
  <c r="N582" i="1"/>
  <c r="C582" i="1"/>
  <c r="S581" i="1"/>
  <c r="P581" i="1"/>
  <c r="N581" i="1"/>
  <c r="C581" i="1"/>
  <c r="S580" i="1"/>
  <c r="P580" i="1"/>
  <c r="N580" i="1"/>
  <c r="C580" i="1"/>
  <c r="S579" i="1"/>
  <c r="P579" i="1"/>
  <c r="N579" i="1"/>
  <c r="C579" i="1"/>
  <c r="S578" i="1"/>
  <c r="P578" i="1"/>
  <c r="N578" i="1"/>
  <c r="C578" i="1"/>
  <c r="S577" i="1"/>
  <c r="P577" i="1"/>
  <c r="N577" i="1"/>
  <c r="C577" i="1"/>
  <c r="S576" i="1"/>
  <c r="P576" i="1"/>
  <c r="N576" i="1"/>
  <c r="C576" i="1"/>
  <c r="S575" i="1"/>
  <c r="P575" i="1"/>
  <c r="N575" i="1"/>
  <c r="C575" i="1"/>
  <c r="S574" i="1"/>
  <c r="P574" i="1"/>
  <c r="N574" i="1"/>
  <c r="C574" i="1"/>
  <c r="S573" i="1"/>
  <c r="P573" i="1"/>
  <c r="N573" i="1"/>
  <c r="C573" i="1"/>
  <c r="S572" i="1"/>
  <c r="P572" i="1"/>
  <c r="N572" i="1"/>
  <c r="C572" i="1"/>
  <c r="S571" i="1"/>
  <c r="P571" i="1"/>
  <c r="N571" i="1"/>
  <c r="C571" i="1"/>
  <c r="S570" i="1"/>
  <c r="P570" i="1"/>
  <c r="N570" i="1"/>
  <c r="C570" i="1"/>
  <c r="S569" i="1"/>
  <c r="P569" i="1"/>
  <c r="N569" i="1"/>
  <c r="H569" i="1"/>
  <c r="C569" i="1"/>
  <c r="S568" i="1"/>
  <c r="P568" i="1"/>
  <c r="N568" i="1"/>
  <c r="C568" i="1"/>
  <c r="S567" i="1"/>
  <c r="P567" i="1"/>
  <c r="N567" i="1"/>
  <c r="C567" i="1"/>
  <c r="S566" i="1"/>
  <c r="P566" i="1"/>
  <c r="N566" i="1"/>
  <c r="C566" i="1"/>
  <c r="S565" i="1"/>
  <c r="P565" i="1"/>
  <c r="N565" i="1"/>
  <c r="C565" i="1"/>
  <c r="S564" i="1"/>
  <c r="P564" i="1"/>
  <c r="N564" i="1"/>
  <c r="C564" i="1"/>
  <c r="S563" i="1"/>
  <c r="P563" i="1"/>
  <c r="N563" i="1"/>
  <c r="C563" i="1"/>
  <c r="S562" i="1"/>
  <c r="P562" i="1"/>
  <c r="N562" i="1"/>
  <c r="C562" i="1"/>
  <c r="S561" i="1"/>
  <c r="P561" i="1"/>
  <c r="N561" i="1"/>
  <c r="C561" i="1"/>
  <c r="S560" i="1"/>
  <c r="P560" i="1"/>
  <c r="N560" i="1"/>
  <c r="C560" i="1"/>
  <c r="S559" i="1"/>
  <c r="P559" i="1"/>
  <c r="N559" i="1"/>
  <c r="C559" i="1"/>
  <c r="S558" i="1"/>
  <c r="P558" i="1"/>
  <c r="N558" i="1"/>
  <c r="C558" i="1"/>
  <c r="S557" i="1"/>
  <c r="P557" i="1"/>
  <c r="N557" i="1"/>
  <c r="C557" i="1"/>
  <c r="S556" i="1"/>
  <c r="P556" i="1"/>
  <c r="N556" i="1"/>
  <c r="C556" i="1"/>
  <c r="S555" i="1"/>
  <c r="P555" i="1"/>
  <c r="N555" i="1"/>
  <c r="C555" i="1"/>
  <c r="S554" i="1"/>
  <c r="P554" i="1"/>
  <c r="N554" i="1"/>
  <c r="C554" i="1"/>
  <c r="S553" i="1"/>
  <c r="P553" i="1"/>
  <c r="N553" i="1"/>
  <c r="C553" i="1"/>
  <c r="S552" i="1"/>
  <c r="P552" i="1"/>
  <c r="N552" i="1"/>
  <c r="C552" i="1"/>
  <c r="S551" i="1"/>
  <c r="P551" i="1"/>
  <c r="N551" i="1"/>
  <c r="C551" i="1"/>
  <c r="S550" i="1"/>
  <c r="P550" i="1"/>
  <c r="N550" i="1"/>
  <c r="C550" i="1"/>
  <c r="S549" i="1"/>
  <c r="P549" i="1"/>
  <c r="N549" i="1"/>
  <c r="C549" i="1"/>
  <c r="S548" i="1"/>
  <c r="P548" i="1"/>
  <c r="N548" i="1"/>
  <c r="C548" i="1"/>
  <c r="S547" i="1"/>
  <c r="P547" i="1"/>
  <c r="N547" i="1"/>
  <c r="C547" i="1"/>
  <c r="S546" i="1"/>
  <c r="P546" i="1"/>
  <c r="N546" i="1"/>
  <c r="C546" i="1"/>
  <c r="S545" i="1"/>
  <c r="P545" i="1"/>
  <c r="N545" i="1"/>
  <c r="C545" i="1"/>
  <c r="S544" i="1"/>
  <c r="P544" i="1"/>
  <c r="N544" i="1"/>
  <c r="C544" i="1"/>
  <c r="S543" i="1"/>
  <c r="P543" i="1"/>
  <c r="N543" i="1"/>
  <c r="C543" i="1"/>
  <c r="S542" i="1"/>
  <c r="P542" i="1"/>
  <c r="N542" i="1"/>
  <c r="C542" i="1"/>
  <c r="S541" i="1"/>
  <c r="P541" i="1"/>
  <c r="N541" i="1"/>
  <c r="C541" i="1"/>
  <c r="S540" i="1"/>
  <c r="P540" i="1"/>
  <c r="N540" i="1"/>
  <c r="C540" i="1"/>
  <c r="S539" i="1"/>
  <c r="P539" i="1"/>
  <c r="N539" i="1"/>
  <c r="H539" i="1"/>
  <c r="C539" i="1"/>
  <c r="S538" i="1"/>
  <c r="P538" i="1"/>
  <c r="N538" i="1"/>
  <c r="C538" i="1"/>
  <c r="S537" i="1"/>
  <c r="P537" i="1"/>
  <c r="N537" i="1"/>
  <c r="C537" i="1"/>
  <c r="S536" i="1"/>
  <c r="P536" i="1"/>
  <c r="N536" i="1"/>
  <c r="C536" i="1"/>
  <c r="S535" i="1"/>
  <c r="P535" i="1"/>
  <c r="N535" i="1"/>
  <c r="C535" i="1"/>
  <c r="S534" i="1"/>
  <c r="P534" i="1"/>
  <c r="N534" i="1"/>
  <c r="C534" i="1"/>
  <c r="S533" i="1"/>
  <c r="P533" i="1"/>
  <c r="N533" i="1"/>
  <c r="C533" i="1"/>
  <c r="S532" i="1"/>
  <c r="P532" i="1"/>
  <c r="N532" i="1"/>
  <c r="C532" i="1"/>
  <c r="S531" i="1"/>
  <c r="P531" i="1"/>
  <c r="N531" i="1"/>
  <c r="C531" i="1"/>
  <c r="S530" i="1"/>
  <c r="P530" i="1"/>
  <c r="N530" i="1"/>
  <c r="C530" i="1"/>
  <c r="S529" i="1"/>
  <c r="P529" i="1"/>
  <c r="N529" i="1"/>
  <c r="C529" i="1"/>
  <c r="S528" i="1"/>
  <c r="P528" i="1"/>
  <c r="N528" i="1"/>
  <c r="C528" i="1"/>
  <c r="S527" i="1"/>
  <c r="P527" i="1"/>
  <c r="N527" i="1"/>
  <c r="C527" i="1"/>
  <c r="S526" i="1"/>
  <c r="P526" i="1"/>
  <c r="N526" i="1"/>
  <c r="C526" i="1"/>
  <c r="S525" i="1"/>
  <c r="P525" i="1"/>
  <c r="N525" i="1"/>
  <c r="C525" i="1"/>
  <c r="S524" i="1"/>
  <c r="P524" i="1"/>
  <c r="N524" i="1"/>
  <c r="C524" i="1"/>
  <c r="S523" i="1"/>
  <c r="P523" i="1"/>
  <c r="N523" i="1"/>
  <c r="C523" i="1"/>
  <c r="S522" i="1"/>
  <c r="P522" i="1"/>
  <c r="N522" i="1"/>
  <c r="C522" i="1"/>
  <c r="S521" i="1"/>
  <c r="P521" i="1"/>
  <c r="N521" i="1"/>
  <c r="C521" i="1"/>
  <c r="S520" i="1"/>
  <c r="P520" i="1"/>
  <c r="N520" i="1"/>
  <c r="H520" i="1"/>
  <c r="C520" i="1"/>
  <c r="S519" i="1"/>
  <c r="P519" i="1"/>
  <c r="N519" i="1"/>
  <c r="C519" i="1"/>
  <c r="S518" i="1"/>
  <c r="P518" i="1"/>
  <c r="N518" i="1"/>
  <c r="C518" i="1"/>
  <c r="S517" i="1"/>
  <c r="P517" i="1"/>
  <c r="N517" i="1"/>
  <c r="C517" i="1"/>
  <c r="S516" i="1"/>
  <c r="P516" i="1"/>
  <c r="N516" i="1"/>
  <c r="C516" i="1"/>
  <c r="S515" i="1"/>
  <c r="P515" i="1"/>
  <c r="N515" i="1"/>
  <c r="C515" i="1"/>
  <c r="S514" i="1"/>
  <c r="P514" i="1"/>
  <c r="N514" i="1"/>
  <c r="C514" i="1"/>
  <c r="S513" i="1"/>
  <c r="P513" i="1"/>
  <c r="N513" i="1"/>
  <c r="C513" i="1"/>
  <c r="S512" i="1"/>
  <c r="P512" i="1"/>
  <c r="N512" i="1"/>
  <c r="C512" i="1"/>
  <c r="S511" i="1"/>
  <c r="P511" i="1"/>
  <c r="N511" i="1"/>
  <c r="C511" i="1"/>
  <c r="S510" i="1"/>
  <c r="P510" i="1"/>
  <c r="N510" i="1"/>
  <c r="C510" i="1"/>
  <c r="S509" i="1"/>
  <c r="P509" i="1"/>
  <c r="N509" i="1"/>
  <c r="C509" i="1"/>
  <c r="S508" i="1"/>
  <c r="P508" i="1"/>
  <c r="N508" i="1"/>
  <c r="C508" i="1"/>
  <c r="S507" i="1"/>
  <c r="P507" i="1"/>
  <c r="N507" i="1"/>
  <c r="C507" i="1"/>
  <c r="S506" i="1"/>
  <c r="P506" i="1"/>
  <c r="N506" i="1"/>
  <c r="C506" i="1"/>
  <c r="S505" i="1"/>
  <c r="P505" i="1"/>
  <c r="N505" i="1"/>
  <c r="C505" i="1"/>
  <c r="S504" i="1"/>
  <c r="P504" i="1"/>
  <c r="N504" i="1"/>
  <c r="C504" i="1"/>
  <c r="S503" i="1"/>
  <c r="P503" i="1"/>
  <c r="N503" i="1"/>
  <c r="C503" i="1"/>
  <c r="S502" i="1"/>
  <c r="P502" i="1"/>
  <c r="N502" i="1"/>
  <c r="C502" i="1"/>
  <c r="S501" i="1"/>
  <c r="P501" i="1"/>
  <c r="N501" i="1"/>
  <c r="C501" i="1"/>
  <c r="S500" i="1"/>
  <c r="P500" i="1"/>
  <c r="N500" i="1"/>
  <c r="C500" i="1"/>
  <c r="S499" i="1"/>
  <c r="P499" i="1"/>
  <c r="N499" i="1"/>
  <c r="C499" i="1"/>
  <c r="S498" i="1"/>
  <c r="P498" i="1"/>
  <c r="N498" i="1"/>
  <c r="C498" i="1"/>
  <c r="S497" i="1"/>
  <c r="P497" i="1"/>
  <c r="N497" i="1"/>
  <c r="C497" i="1"/>
  <c r="S496" i="1"/>
  <c r="P496" i="1"/>
  <c r="N496" i="1"/>
  <c r="C496" i="1"/>
  <c r="S495" i="1"/>
  <c r="P495" i="1"/>
  <c r="N495" i="1"/>
  <c r="C495" i="1"/>
  <c r="S494" i="1"/>
  <c r="P494" i="1"/>
  <c r="N494" i="1"/>
  <c r="C494" i="1"/>
  <c r="S493" i="1"/>
  <c r="P493" i="1"/>
  <c r="N493" i="1"/>
  <c r="C493" i="1"/>
  <c r="S492" i="1"/>
  <c r="P492" i="1"/>
  <c r="N492" i="1"/>
  <c r="C492" i="1"/>
  <c r="S491" i="1"/>
  <c r="P491" i="1"/>
  <c r="N491" i="1"/>
  <c r="C491" i="1"/>
  <c r="S490" i="1"/>
  <c r="P490" i="1"/>
  <c r="N490" i="1"/>
  <c r="C490" i="1"/>
  <c r="S489" i="1"/>
  <c r="P489" i="1"/>
  <c r="N489" i="1"/>
  <c r="C489" i="1"/>
  <c r="S488" i="1"/>
  <c r="P488" i="1"/>
  <c r="N488" i="1"/>
  <c r="C488" i="1"/>
  <c r="S487" i="1"/>
  <c r="P487" i="1"/>
  <c r="N487" i="1"/>
  <c r="C487" i="1"/>
  <c r="S486" i="1"/>
  <c r="P486" i="1"/>
  <c r="N486" i="1"/>
  <c r="C486" i="1"/>
  <c r="S485" i="1"/>
  <c r="P485" i="1"/>
  <c r="N485" i="1"/>
  <c r="C485" i="1"/>
  <c r="S484" i="1"/>
  <c r="P484" i="1"/>
  <c r="N484" i="1"/>
  <c r="C484" i="1"/>
  <c r="S483" i="1"/>
  <c r="P483" i="1"/>
  <c r="N483" i="1"/>
  <c r="C483" i="1"/>
  <c r="S482" i="1"/>
  <c r="P482" i="1"/>
  <c r="N482" i="1"/>
  <c r="C482" i="1"/>
  <c r="S481" i="1"/>
  <c r="P481" i="1"/>
  <c r="N481" i="1"/>
  <c r="C481" i="1"/>
  <c r="S480" i="1"/>
  <c r="P480" i="1"/>
  <c r="N480" i="1"/>
  <c r="C480" i="1"/>
  <c r="S479" i="1"/>
  <c r="P479" i="1"/>
  <c r="N479" i="1"/>
  <c r="C479" i="1"/>
  <c r="S478" i="1"/>
  <c r="P478" i="1"/>
  <c r="N478" i="1"/>
  <c r="C478" i="1"/>
  <c r="S477" i="1"/>
  <c r="P477" i="1"/>
  <c r="N477" i="1"/>
  <c r="C477" i="1"/>
  <c r="S476" i="1"/>
  <c r="P476" i="1"/>
  <c r="N476" i="1"/>
  <c r="C476" i="1"/>
  <c r="S475" i="1"/>
  <c r="P475" i="1"/>
  <c r="N475" i="1"/>
  <c r="H475" i="1"/>
  <c r="C475" i="1"/>
  <c r="S474" i="1"/>
  <c r="P474" i="1"/>
  <c r="N474" i="1"/>
  <c r="C474" i="1"/>
  <c r="S473" i="1"/>
  <c r="P473" i="1"/>
  <c r="N473" i="1"/>
  <c r="C473" i="1"/>
  <c r="S472" i="1"/>
  <c r="P472" i="1"/>
  <c r="N472" i="1"/>
  <c r="C472" i="1"/>
  <c r="S471" i="1"/>
  <c r="P471" i="1"/>
  <c r="N471" i="1"/>
  <c r="C471" i="1"/>
  <c r="S470" i="1"/>
  <c r="P470" i="1"/>
  <c r="N470" i="1"/>
  <c r="C470" i="1"/>
  <c r="S469" i="1"/>
  <c r="P469" i="1"/>
  <c r="N469" i="1"/>
  <c r="C469" i="1"/>
  <c r="S468" i="1"/>
  <c r="P468" i="1"/>
  <c r="N468" i="1"/>
  <c r="C468" i="1"/>
  <c r="S467" i="1"/>
  <c r="P467" i="1"/>
  <c r="N467" i="1"/>
  <c r="C467" i="1"/>
  <c r="S466" i="1"/>
  <c r="P466" i="1"/>
  <c r="N466" i="1"/>
  <c r="C466" i="1"/>
  <c r="S465" i="1"/>
  <c r="P465" i="1"/>
  <c r="N465" i="1"/>
  <c r="C465" i="1"/>
  <c r="S464" i="1"/>
  <c r="P464" i="1"/>
  <c r="N464" i="1"/>
  <c r="C464" i="1"/>
  <c r="S463" i="1"/>
  <c r="P463" i="1"/>
  <c r="N463" i="1"/>
  <c r="C463" i="1"/>
  <c r="S462" i="1"/>
  <c r="P462" i="1"/>
  <c r="N462" i="1"/>
  <c r="C462" i="1"/>
  <c r="S461" i="1"/>
  <c r="P461" i="1"/>
  <c r="N461" i="1"/>
  <c r="C461" i="1"/>
  <c r="S460" i="1"/>
  <c r="P460" i="1"/>
  <c r="N460" i="1"/>
  <c r="C460" i="1"/>
  <c r="S459" i="1"/>
  <c r="P459" i="1"/>
  <c r="N459" i="1"/>
  <c r="C459" i="1"/>
  <c r="S458" i="1"/>
  <c r="P458" i="1"/>
  <c r="N458" i="1"/>
  <c r="C458" i="1"/>
  <c r="S457" i="1"/>
  <c r="P457" i="1"/>
  <c r="N457" i="1"/>
  <c r="C457" i="1"/>
  <c r="S456" i="1"/>
  <c r="P456" i="1"/>
  <c r="N456" i="1"/>
  <c r="C456" i="1"/>
  <c r="S455" i="1"/>
  <c r="P455" i="1"/>
  <c r="N455" i="1"/>
  <c r="C455" i="1"/>
  <c r="S454" i="1"/>
  <c r="P454" i="1"/>
  <c r="N454" i="1"/>
  <c r="C454" i="1"/>
  <c r="S453" i="1"/>
  <c r="P453" i="1"/>
  <c r="N453" i="1"/>
  <c r="C453" i="1"/>
  <c r="S452" i="1"/>
  <c r="P452" i="1"/>
  <c r="N452" i="1"/>
  <c r="C452" i="1"/>
  <c r="S451" i="1"/>
  <c r="P451" i="1"/>
  <c r="N451" i="1"/>
  <c r="C451" i="1"/>
  <c r="S450" i="1"/>
  <c r="P450" i="1"/>
  <c r="N450" i="1"/>
  <c r="C450" i="1"/>
  <c r="S449" i="1"/>
  <c r="P449" i="1"/>
  <c r="N449" i="1"/>
  <c r="C449" i="1"/>
  <c r="S448" i="1"/>
  <c r="P448" i="1"/>
  <c r="N448" i="1"/>
  <c r="C448" i="1"/>
  <c r="S447" i="1"/>
  <c r="P447" i="1"/>
  <c r="N447" i="1"/>
  <c r="C447" i="1"/>
  <c r="S446" i="1"/>
  <c r="P446" i="1"/>
  <c r="N446" i="1"/>
  <c r="C446" i="1"/>
  <c r="S445" i="1"/>
  <c r="P445" i="1"/>
  <c r="N445" i="1"/>
  <c r="C445" i="1"/>
  <c r="S444" i="1"/>
  <c r="P444" i="1"/>
  <c r="N444" i="1"/>
  <c r="C444" i="1"/>
  <c r="S443" i="1"/>
  <c r="P443" i="1"/>
  <c r="N443" i="1"/>
  <c r="C443" i="1"/>
  <c r="S442" i="1"/>
  <c r="P442" i="1"/>
  <c r="N442" i="1"/>
  <c r="C442" i="1"/>
  <c r="S441" i="1"/>
  <c r="P441" i="1"/>
  <c r="N441" i="1"/>
  <c r="C441" i="1"/>
  <c r="S440" i="1"/>
  <c r="P440" i="1"/>
  <c r="N440" i="1"/>
  <c r="C440" i="1"/>
  <c r="S439" i="1"/>
  <c r="P439" i="1"/>
  <c r="N439" i="1"/>
  <c r="C439" i="1"/>
  <c r="S438" i="1"/>
  <c r="P438" i="1"/>
  <c r="N438" i="1"/>
  <c r="C438" i="1"/>
  <c r="S437" i="1"/>
  <c r="P437" i="1"/>
  <c r="N437" i="1"/>
  <c r="C437" i="1"/>
  <c r="S436" i="1"/>
  <c r="P436" i="1"/>
  <c r="N436" i="1"/>
  <c r="C436" i="1"/>
  <c r="S435" i="1"/>
  <c r="P435" i="1"/>
  <c r="N435" i="1"/>
  <c r="C435" i="1"/>
  <c r="S434" i="1"/>
  <c r="P434" i="1"/>
  <c r="N434" i="1"/>
  <c r="C434" i="1"/>
  <c r="S433" i="1"/>
  <c r="P433" i="1"/>
  <c r="N433" i="1"/>
  <c r="C433" i="1"/>
  <c r="S432" i="1"/>
  <c r="P432" i="1"/>
  <c r="N432" i="1"/>
  <c r="C432" i="1"/>
  <c r="S431" i="1"/>
  <c r="P431" i="1"/>
  <c r="N431" i="1"/>
  <c r="C431" i="1"/>
  <c r="S430" i="1"/>
  <c r="P430" i="1"/>
  <c r="N430" i="1"/>
  <c r="C430" i="1"/>
  <c r="S429" i="1"/>
  <c r="P429" i="1"/>
  <c r="N429" i="1"/>
  <c r="C429" i="1"/>
  <c r="S428" i="1"/>
  <c r="P428" i="1"/>
  <c r="N428" i="1"/>
  <c r="C428" i="1"/>
  <c r="S427" i="1"/>
  <c r="P427" i="1"/>
  <c r="N427" i="1"/>
  <c r="C427" i="1"/>
  <c r="S426" i="1"/>
  <c r="P426" i="1"/>
  <c r="N426" i="1"/>
  <c r="C426" i="1"/>
  <c r="S425" i="1"/>
  <c r="P425" i="1"/>
  <c r="N425" i="1"/>
  <c r="C425" i="1"/>
  <c r="S424" i="1"/>
  <c r="P424" i="1"/>
  <c r="N424" i="1"/>
  <c r="C424" i="1"/>
  <c r="S423" i="1"/>
  <c r="P423" i="1"/>
  <c r="N423" i="1"/>
  <c r="C423" i="1"/>
  <c r="S422" i="1"/>
  <c r="P422" i="1"/>
  <c r="N422" i="1"/>
  <c r="C422" i="1"/>
  <c r="S421" i="1"/>
  <c r="P421" i="1"/>
  <c r="N421" i="1"/>
  <c r="C421" i="1"/>
  <c r="S420" i="1"/>
  <c r="P420" i="1"/>
  <c r="N420" i="1"/>
  <c r="C420" i="1"/>
  <c r="S419" i="1"/>
  <c r="P419" i="1"/>
  <c r="N419" i="1"/>
  <c r="C419" i="1"/>
  <c r="S418" i="1"/>
  <c r="P418" i="1"/>
  <c r="N418" i="1"/>
  <c r="C418" i="1"/>
  <c r="S417" i="1"/>
  <c r="P417" i="1"/>
  <c r="N417" i="1"/>
  <c r="C417" i="1"/>
  <c r="S416" i="1"/>
  <c r="P416" i="1"/>
  <c r="N416" i="1"/>
  <c r="C416" i="1"/>
  <c r="S415" i="1"/>
  <c r="P415" i="1"/>
  <c r="N415" i="1"/>
  <c r="C415" i="1"/>
  <c r="S414" i="1"/>
  <c r="P414" i="1"/>
  <c r="N414" i="1"/>
  <c r="C414" i="1"/>
  <c r="S413" i="1"/>
  <c r="P413" i="1"/>
  <c r="N413" i="1"/>
  <c r="C413" i="1"/>
  <c r="S412" i="1"/>
  <c r="P412" i="1"/>
  <c r="N412" i="1"/>
  <c r="C412" i="1"/>
  <c r="S411" i="1"/>
  <c r="P411" i="1"/>
  <c r="N411" i="1"/>
  <c r="C411" i="1"/>
  <c r="S410" i="1"/>
  <c r="P410" i="1"/>
  <c r="N410" i="1"/>
  <c r="C410" i="1"/>
  <c r="S409" i="1"/>
  <c r="P409" i="1"/>
  <c r="N409" i="1"/>
  <c r="C409" i="1"/>
  <c r="S408" i="1"/>
  <c r="P408" i="1"/>
  <c r="N408" i="1"/>
  <c r="C408" i="1"/>
  <c r="S407" i="1"/>
  <c r="P407" i="1"/>
  <c r="N407" i="1"/>
  <c r="C407" i="1"/>
  <c r="S406" i="1"/>
  <c r="P406" i="1"/>
  <c r="N406" i="1"/>
  <c r="C406" i="1"/>
  <c r="S405" i="1"/>
  <c r="P405" i="1"/>
  <c r="N405" i="1"/>
  <c r="C405" i="1"/>
  <c r="S404" i="1"/>
  <c r="P404" i="1"/>
  <c r="N404" i="1"/>
  <c r="C404" i="1"/>
  <c r="S403" i="1"/>
  <c r="P403" i="1"/>
  <c r="N403" i="1"/>
  <c r="C403" i="1"/>
  <c r="S402" i="1"/>
  <c r="P402" i="1"/>
  <c r="N402" i="1"/>
  <c r="C402" i="1"/>
  <c r="S401" i="1"/>
  <c r="P401" i="1"/>
  <c r="N401" i="1"/>
  <c r="C401" i="1"/>
  <c r="S400" i="1"/>
  <c r="P400" i="1"/>
  <c r="N400" i="1"/>
  <c r="C400" i="1"/>
  <c r="S399" i="1"/>
  <c r="P399" i="1"/>
  <c r="N399" i="1"/>
  <c r="C399" i="1"/>
  <c r="S398" i="1"/>
  <c r="P398" i="1"/>
  <c r="N398" i="1"/>
  <c r="C398" i="1"/>
  <c r="S397" i="1"/>
  <c r="P397" i="1"/>
  <c r="N397" i="1"/>
  <c r="C397" i="1"/>
  <c r="S396" i="1"/>
  <c r="P396" i="1"/>
  <c r="N396" i="1"/>
  <c r="C396" i="1"/>
  <c r="S395" i="1"/>
  <c r="P395" i="1"/>
  <c r="N395" i="1"/>
  <c r="C395" i="1"/>
  <c r="S394" i="1"/>
  <c r="P394" i="1"/>
  <c r="N394" i="1"/>
  <c r="C394" i="1"/>
  <c r="S393" i="1"/>
  <c r="P393" i="1"/>
  <c r="N393" i="1"/>
  <c r="C393" i="1"/>
  <c r="S392" i="1"/>
  <c r="P392" i="1"/>
  <c r="N392" i="1"/>
  <c r="C392" i="1"/>
  <c r="S391" i="1"/>
  <c r="P391" i="1"/>
  <c r="N391" i="1"/>
  <c r="C391" i="1"/>
  <c r="S390" i="1"/>
  <c r="P390" i="1"/>
  <c r="N390" i="1"/>
  <c r="C390" i="1"/>
  <c r="S389" i="1"/>
  <c r="P389" i="1"/>
  <c r="N389" i="1"/>
  <c r="C389" i="1"/>
  <c r="S388" i="1"/>
  <c r="P388" i="1"/>
  <c r="N388" i="1"/>
  <c r="C388" i="1"/>
  <c r="S387" i="1"/>
  <c r="P387" i="1"/>
  <c r="N387" i="1"/>
  <c r="C387" i="1"/>
  <c r="S386" i="1"/>
  <c r="P386" i="1"/>
  <c r="N386" i="1"/>
  <c r="C386" i="1"/>
  <c r="S385" i="1"/>
  <c r="P385" i="1"/>
  <c r="N385" i="1"/>
  <c r="C385" i="1"/>
  <c r="S384" i="1"/>
  <c r="P384" i="1"/>
  <c r="N384" i="1"/>
  <c r="C384" i="1"/>
  <c r="S383" i="1"/>
  <c r="P383" i="1"/>
  <c r="N383" i="1"/>
  <c r="C383" i="1"/>
  <c r="S382" i="1"/>
  <c r="P382" i="1"/>
  <c r="N382" i="1"/>
  <c r="C382" i="1"/>
  <c r="S381" i="1"/>
  <c r="P381" i="1"/>
  <c r="N381" i="1"/>
  <c r="C381" i="1"/>
  <c r="S380" i="1"/>
  <c r="P380" i="1"/>
  <c r="N380" i="1"/>
  <c r="C380" i="1"/>
  <c r="S379" i="1"/>
  <c r="P379" i="1"/>
  <c r="N379" i="1"/>
  <c r="C379" i="1"/>
  <c r="S378" i="1"/>
  <c r="P378" i="1"/>
  <c r="N378" i="1"/>
  <c r="C378" i="1"/>
  <c r="S377" i="1"/>
  <c r="P377" i="1"/>
  <c r="N377" i="1"/>
  <c r="C377" i="1"/>
  <c r="S376" i="1"/>
  <c r="P376" i="1"/>
  <c r="N376" i="1"/>
  <c r="C376" i="1"/>
  <c r="S375" i="1"/>
  <c r="P375" i="1"/>
  <c r="N375" i="1"/>
  <c r="C375" i="1"/>
  <c r="S374" i="1"/>
  <c r="P374" i="1"/>
  <c r="N374" i="1"/>
  <c r="C374" i="1"/>
  <c r="S373" i="1"/>
  <c r="P373" i="1"/>
  <c r="N373" i="1"/>
  <c r="C373" i="1"/>
  <c r="S372" i="1"/>
  <c r="P372" i="1"/>
  <c r="N372" i="1"/>
  <c r="C372" i="1"/>
  <c r="S371" i="1"/>
  <c r="P371" i="1"/>
  <c r="N371" i="1"/>
  <c r="C371" i="1"/>
  <c r="S370" i="1"/>
  <c r="P370" i="1"/>
  <c r="N370" i="1"/>
  <c r="C370" i="1"/>
  <c r="S369" i="1"/>
  <c r="P369" i="1"/>
  <c r="N369" i="1"/>
  <c r="C369" i="1"/>
  <c r="S368" i="1"/>
  <c r="P368" i="1"/>
  <c r="N368" i="1"/>
  <c r="C368" i="1"/>
  <c r="S367" i="1"/>
  <c r="P367" i="1"/>
  <c r="N367" i="1"/>
  <c r="C367" i="1"/>
  <c r="S366" i="1"/>
  <c r="P366" i="1"/>
  <c r="N366" i="1"/>
  <c r="C366" i="1"/>
  <c r="S365" i="1"/>
  <c r="P365" i="1"/>
  <c r="N365" i="1"/>
  <c r="C365" i="1"/>
  <c r="S364" i="1"/>
  <c r="P364" i="1"/>
  <c r="N364" i="1"/>
  <c r="C364" i="1"/>
  <c r="S363" i="1"/>
  <c r="P363" i="1"/>
  <c r="N363" i="1"/>
  <c r="C363" i="1"/>
  <c r="S362" i="1"/>
  <c r="P362" i="1"/>
  <c r="N362" i="1"/>
  <c r="C362" i="1"/>
  <c r="S361" i="1"/>
  <c r="P361" i="1"/>
  <c r="N361" i="1"/>
  <c r="C361" i="1"/>
  <c r="S360" i="1"/>
  <c r="P360" i="1"/>
  <c r="N360" i="1"/>
  <c r="C360" i="1"/>
  <c r="S359" i="1"/>
  <c r="P359" i="1"/>
  <c r="N359" i="1"/>
  <c r="C359" i="1"/>
  <c r="S358" i="1"/>
  <c r="P358" i="1"/>
  <c r="N358" i="1"/>
  <c r="C358" i="1"/>
  <c r="S357" i="1"/>
  <c r="P357" i="1"/>
  <c r="N357" i="1"/>
  <c r="C357" i="1"/>
  <c r="S356" i="1"/>
  <c r="P356" i="1"/>
  <c r="N356" i="1"/>
  <c r="C356" i="1"/>
  <c r="S355" i="1"/>
  <c r="P355" i="1"/>
  <c r="N355" i="1"/>
  <c r="C355" i="1"/>
  <c r="S354" i="1"/>
  <c r="P354" i="1"/>
  <c r="N354" i="1"/>
  <c r="C354" i="1"/>
  <c r="S353" i="1"/>
  <c r="P353" i="1"/>
  <c r="N353" i="1"/>
  <c r="C353" i="1"/>
  <c r="S352" i="1"/>
  <c r="P352" i="1"/>
  <c r="N352" i="1"/>
  <c r="C352" i="1"/>
  <c r="S351" i="1"/>
  <c r="P351" i="1"/>
  <c r="N351" i="1"/>
  <c r="C351" i="1"/>
  <c r="S350" i="1"/>
  <c r="P350" i="1"/>
  <c r="N350" i="1"/>
  <c r="C350" i="1"/>
  <c r="S349" i="1"/>
  <c r="P349" i="1"/>
  <c r="N349" i="1"/>
  <c r="C349" i="1"/>
  <c r="S348" i="1"/>
  <c r="P348" i="1"/>
  <c r="N348" i="1"/>
  <c r="C348" i="1"/>
  <c r="S347" i="1"/>
  <c r="P347" i="1"/>
  <c r="N347" i="1"/>
  <c r="C347" i="1"/>
  <c r="S346" i="1"/>
  <c r="P346" i="1"/>
  <c r="N346" i="1"/>
  <c r="C346" i="1"/>
  <c r="S345" i="1"/>
  <c r="P345" i="1"/>
  <c r="N345" i="1"/>
  <c r="C345" i="1"/>
  <c r="S344" i="1"/>
  <c r="P344" i="1"/>
  <c r="N344" i="1"/>
  <c r="C344" i="1"/>
  <c r="S343" i="1"/>
  <c r="P343" i="1"/>
  <c r="N343" i="1"/>
  <c r="C343" i="1"/>
  <c r="S342" i="1"/>
  <c r="P342" i="1"/>
  <c r="N342" i="1"/>
  <c r="C342" i="1"/>
  <c r="S341" i="1"/>
  <c r="P341" i="1"/>
  <c r="N341" i="1"/>
  <c r="C341" i="1"/>
  <c r="S340" i="1"/>
  <c r="P340" i="1"/>
  <c r="N340" i="1"/>
  <c r="C340" i="1"/>
  <c r="S339" i="1"/>
  <c r="P339" i="1"/>
  <c r="N339" i="1"/>
  <c r="C339" i="1"/>
  <c r="S338" i="1"/>
  <c r="P338" i="1"/>
  <c r="N338" i="1"/>
  <c r="C338" i="1"/>
  <c r="S337" i="1"/>
  <c r="P337" i="1"/>
  <c r="N337" i="1"/>
  <c r="C337" i="1"/>
  <c r="S336" i="1"/>
  <c r="P336" i="1"/>
  <c r="N336" i="1"/>
  <c r="C336" i="1"/>
  <c r="S335" i="1"/>
  <c r="P335" i="1"/>
  <c r="N335" i="1"/>
  <c r="C335" i="1"/>
  <c r="S334" i="1"/>
  <c r="P334" i="1"/>
  <c r="N334" i="1"/>
  <c r="C334" i="1"/>
  <c r="S333" i="1"/>
  <c r="P333" i="1"/>
  <c r="N333" i="1"/>
  <c r="C333" i="1"/>
  <c r="S332" i="1"/>
  <c r="P332" i="1"/>
  <c r="N332" i="1"/>
  <c r="C332" i="1"/>
  <c r="S331" i="1"/>
  <c r="P331" i="1"/>
  <c r="N331" i="1"/>
  <c r="C331" i="1"/>
  <c r="S330" i="1"/>
  <c r="P330" i="1"/>
  <c r="N330" i="1"/>
  <c r="C330" i="1"/>
  <c r="S329" i="1"/>
  <c r="P329" i="1"/>
  <c r="N329" i="1"/>
  <c r="C329" i="1"/>
  <c r="S328" i="1"/>
  <c r="P328" i="1"/>
  <c r="N328" i="1"/>
  <c r="C328" i="1"/>
  <c r="S327" i="1"/>
  <c r="P327" i="1"/>
  <c r="N327" i="1"/>
  <c r="C327" i="1"/>
  <c r="S326" i="1"/>
  <c r="P326" i="1"/>
  <c r="N326" i="1"/>
  <c r="C326" i="1"/>
  <c r="S325" i="1"/>
  <c r="P325" i="1"/>
  <c r="N325" i="1"/>
  <c r="C325" i="1"/>
  <c r="S324" i="1"/>
  <c r="P324" i="1"/>
  <c r="N324" i="1"/>
  <c r="C324" i="1"/>
  <c r="S323" i="1"/>
  <c r="P323" i="1"/>
  <c r="N323" i="1"/>
  <c r="C323" i="1"/>
  <c r="S322" i="1"/>
  <c r="P322" i="1"/>
  <c r="N322" i="1"/>
  <c r="C322" i="1"/>
  <c r="S321" i="1"/>
  <c r="P321" i="1"/>
  <c r="N321" i="1"/>
  <c r="C321" i="1"/>
  <c r="S320" i="1"/>
  <c r="P320" i="1"/>
  <c r="N320" i="1"/>
  <c r="C320" i="1"/>
  <c r="S319" i="1"/>
  <c r="P319" i="1"/>
  <c r="N319" i="1"/>
  <c r="C319" i="1"/>
  <c r="S318" i="1"/>
  <c r="P318" i="1"/>
  <c r="N318" i="1"/>
  <c r="C318" i="1"/>
  <c r="S317" i="1"/>
  <c r="P317" i="1"/>
  <c r="N317" i="1"/>
  <c r="C317" i="1"/>
  <c r="S316" i="1"/>
  <c r="P316" i="1"/>
  <c r="N316" i="1"/>
  <c r="C316" i="1"/>
  <c r="S315" i="1"/>
  <c r="P315" i="1"/>
  <c r="N315" i="1"/>
  <c r="C315" i="1"/>
  <c r="S314" i="1"/>
  <c r="P314" i="1"/>
  <c r="N314" i="1"/>
  <c r="C314" i="1"/>
  <c r="S313" i="1"/>
  <c r="P313" i="1"/>
  <c r="N313" i="1"/>
  <c r="C313" i="1"/>
  <c r="S312" i="1"/>
  <c r="P312" i="1"/>
  <c r="N312" i="1"/>
  <c r="C312" i="1"/>
  <c r="S311" i="1"/>
  <c r="P311" i="1"/>
  <c r="N311" i="1"/>
  <c r="C311" i="1"/>
  <c r="S310" i="1"/>
  <c r="P310" i="1"/>
  <c r="N310" i="1"/>
  <c r="C310" i="1"/>
  <c r="S309" i="1"/>
  <c r="P309" i="1"/>
  <c r="N309" i="1"/>
  <c r="C309" i="1"/>
  <c r="S308" i="1"/>
  <c r="P308" i="1"/>
  <c r="N308" i="1"/>
  <c r="C308" i="1"/>
  <c r="S307" i="1"/>
  <c r="P307" i="1"/>
  <c r="N307" i="1"/>
  <c r="C307" i="1"/>
  <c r="S306" i="1"/>
  <c r="P306" i="1"/>
  <c r="N306" i="1"/>
  <c r="C306" i="1"/>
  <c r="S305" i="1"/>
  <c r="P305" i="1"/>
  <c r="N305" i="1"/>
  <c r="C305" i="1"/>
  <c r="S304" i="1"/>
  <c r="P304" i="1"/>
  <c r="N304" i="1"/>
  <c r="C304" i="1"/>
  <c r="S303" i="1"/>
  <c r="P303" i="1"/>
  <c r="N303" i="1"/>
  <c r="C303" i="1"/>
  <c r="S302" i="1"/>
  <c r="P302" i="1"/>
  <c r="N302" i="1"/>
  <c r="C302" i="1"/>
  <c r="S301" i="1"/>
  <c r="P301" i="1"/>
  <c r="N301" i="1"/>
  <c r="C301" i="1"/>
  <c r="S300" i="1"/>
  <c r="P300" i="1"/>
  <c r="N300" i="1"/>
  <c r="C300" i="1"/>
  <c r="S299" i="1"/>
  <c r="P299" i="1"/>
  <c r="N299" i="1"/>
  <c r="C299" i="1"/>
  <c r="S298" i="1"/>
  <c r="P298" i="1"/>
  <c r="N298" i="1"/>
  <c r="C298" i="1"/>
  <c r="S297" i="1"/>
  <c r="P297" i="1"/>
  <c r="N297" i="1"/>
  <c r="C297" i="1"/>
  <c r="S296" i="1"/>
  <c r="P296" i="1"/>
  <c r="N296" i="1"/>
  <c r="C296" i="1"/>
  <c r="S295" i="1"/>
  <c r="P295" i="1"/>
  <c r="N295" i="1"/>
  <c r="C295" i="1"/>
  <c r="S294" i="1"/>
  <c r="P294" i="1"/>
  <c r="N294" i="1"/>
  <c r="C294" i="1"/>
  <c r="S293" i="1"/>
  <c r="P293" i="1"/>
  <c r="N293" i="1"/>
  <c r="C293" i="1"/>
  <c r="S292" i="1"/>
  <c r="P292" i="1"/>
  <c r="N292" i="1"/>
  <c r="C292" i="1"/>
  <c r="S291" i="1"/>
  <c r="P291" i="1"/>
  <c r="N291" i="1"/>
  <c r="C291" i="1"/>
  <c r="S290" i="1"/>
  <c r="P290" i="1"/>
  <c r="N290" i="1"/>
  <c r="C290" i="1"/>
  <c r="S289" i="1"/>
  <c r="P289" i="1"/>
  <c r="N289" i="1"/>
  <c r="C289" i="1"/>
  <c r="S288" i="1"/>
  <c r="P288" i="1"/>
  <c r="N288" i="1"/>
  <c r="C288" i="1"/>
  <c r="S287" i="1"/>
  <c r="P287" i="1"/>
  <c r="N287" i="1"/>
  <c r="C287" i="1"/>
  <c r="S286" i="1"/>
  <c r="P286" i="1"/>
  <c r="N286" i="1"/>
  <c r="H286" i="1"/>
  <c r="C286" i="1"/>
  <c r="S285" i="1"/>
  <c r="P285" i="1"/>
  <c r="N285" i="1"/>
  <c r="C285" i="1"/>
  <c r="S284" i="1"/>
  <c r="P284" i="1"/>
  <c r="N284" i="1"/>
  <c r="C284" i="1"/>
  <c r="S283" i="1"/>
  <c r="P283" i="1"/>
  <c r="N283" i="1"/>
  <c r="C283" i="1"/>
  <c r="S282" i="1"/>
  <c r="P282" i="1"/>
  <c r="N282" i="1"/>
  <c r="C282" i="1"/>
  <c r="S281" i="1"/>
  <c r="P281" i="1"/>
  <c r="N281" i="1"/>
  <c r="C281" i="1"/>
  <c r="S280" i="1"/>
  <c r="P280" i="1"/>
  <c r="N280" i="1"/>
  <c r="C280" i="1"/>
  <c r="S279" i="1"/>
  <c r="P279" i="1"/>
  <c r="N279" i="1"/>
  <c r="C279" i="1"/>
  <c r="S278" i="1"/>
  <c r="P278" i="1"/>
  <c r="N278" i="1"/>
  <c r="H278" i="1"/>
  <c r="C278" i="1"/>
  <c r="S277" i="1"/>
  <c r="P277" i="1"/>
  <c r="N277" i="1"/>
  <c r="C277" i="1"/>
  <c r="S276" i="1"/>
  <c r="P276" i="1"/>
  <c r="N276" i="1"/>
  <c r="C276" i="1"/>
  <c r="S275" i="1"/>
  <c r="P275" i="1"/>
  <c r="N275" i="1"/>
  <c r="C275" i="1"/>
  <c r="S274" i="1"/>
  <c r="P274" i="1"/>
  <c r="N274" i="1"/>
  <c r="C274" i="1"/>
  <c r="S273" i="1"/>
  <c r="P273" i="1"/>
  <c r="N273" i="1"/>
  <c r="C273" i="1"/>
  <c r="S272" i="1"/>
  <c r="P272" i="1"/>
  <c r="N272" i="1"/>
  <c r="C272" i="1"/>
  <c r="S271" i="1"/>
  <c r="P271" i="1"/>
  <c r="N271" i="1"/>
  <c r="C271" i="1"/>
  <c r="S270" i="1"/>
  <c r="P270" i="1"/>
  <c r="N270" i="1"/>
  <c r="C270" i="1"/>
  <c r="S269" i="1"/>
  <c r="P269" i="1"/>
  <c r="N269" i="1"/>
  <c r="C269" i="1"/>
  <c r="S268" i="1"/>
  <c r="P268" i="1"/>
  <c r="N268" i="1"/>
  <c r="C268" i="1"/>
  <c r="S267" i="1"/>
  <c r="P267" i="1"/>
  <c r="N267" i="1"/>
  <c r="C267" i="1"/>
  <c r="S266" i="1"/>
  <c r="P266" i="1"/>
  <c r="N266" i="1"/>
  <c r="C266" i="1"/>
  <c r="S265" i="1"/>
  <c r="P265" i="1"/>
  <c r="N265" i="1"/>
  <c r="C265" i="1"/>
  <c r="S264" i="1"/>
  <c r="P264" i="1"/>
  <c r="N264" i="1"/>
  <c r="C264" i="1"/>
  <c r="S263" i="1"/>
  <c r="P263" i="1"/>
  <c r="N263" i="1"/>
  <c r="H263" i="1"/>
  <c r="C263" i="1"/>
  <c r="S262" i="1"/>
  <c r="P262" i="1"/>
  <c r="N262" i="1"/>
  <c r="C262" i="1"/>
  <c r="S261" i="1"/>
  <c r="P261" i="1"/>
  <c r="N261" i="1"/>
  <c r="C261" i="1"/>
  <c r="S260" i="1"/>
  <c r="P260" i="1"/>
  <c r="N260" i="1"/>
  <c r="C260" i="1"/>
  <c r="S259" i="1"/>
  <c r="P259" i="1"/>
  <c r="N259" i="1"/>
  <c r="C259" i="1"/>
  <c r="S258" i="1"/>
  <c r="P258" i="1"/>
  <c r="N258" i="1"/>
  <c r="C258" i="1"/>
  <c r="S257" i="1"/>
  <c r="P257" i="1"/>
  <c r="N257" i="1"/>
  <c r="C257" i="1"/>
  <c r="S256" i="1"/>
  <c r="P256" i="1"/>
  <c r="N256" i="1"/>
  <c r="C256" i="1"/>
  <c r="S255" i="1"/>
  <c r="P255" i="1"/>
  <c r="N255" i="1"/>
  <c r="C255" i="1"/>
  <c r="S254" i="1"/>
  <c r="P254" i="1"/>
  <c r="N254" i="1"/>
  <c r="C254" i="1"/>
  <c r="S253" i="1"/>
  <c r="P253" i="1"/>
  <c r="N253" i="1"/>
  <c r="C253" i="1"/>
  <c r="S252" i="1"/>
  <c r="P252" i="1"/>
  <c r="N252" i="1"/>
  <c r="C252" i="1"/>
  <c r="S251" i="1"/>
  <c r="P251" i="1"/>
  <c r="N251" i="1"/>
  <c r="C251" i="1"/>
  <c r="S250" i="1"/>
  <c r="P250" i="1"/>
  <c r="N250" i="1"/>
  <c r="C250" i="1"/>
  <c r="S249" i="1"/>
  <c r="P249" i="1"/>
  <c r="N249" i="1"/>
  <c r="C249" i="1"/>
  <c r="S248" i="1"/>
  <c r="P248" i="1"/>
  <c r="N248" i="1"/>
  <c r="C248" i="1"/>
  <c r="S247" i="1"/>
  <c r="P247" i="1"/>
  <c r="N247" i="1"/>
  <c r="C247" i="1"/>
  <c r="S246" i="1"/>
  <c r="P246" i="1"/>
  <c r="N246" i="1"/>
  <c r="C246" i="1"/>
  <c r="S245" i="1"/>
  <c r="P245" i="1"/>
  <c r="N245" i="1"/>
  <c r="C245" i="1"/>
  <c r="S244" i="1"/>
  <c r="P244" i="1"/>
  <c r="N244" i="1"/>
  <c r="C244" i="1"/>
  <c r="S243" i="1"/>
  <c r="P243" i="1"/>
  <c r="N243" i="1"/>
  <c r="C243" i="1"/>
  <c r="S242" i="1"/>
  <c r="P242" i="1"/>
  <c r="N242" i="1"/>
  <c r="C242" i="1"/>
  <c r="S241" i="1"/>
  <c r="P241" i="1"/>
  <c r="N241" i="1"/>
  <c r="C241" i="1"/>
  <c r="S240" i="1"/>
  <c r="P240" i="1"/>
  <c r="N240" i="1"/>
  <c r="C240" i="1"/>
  <c r="S239" i="1"/>
  <c r="P239" i="1"/>
  <c r="N239" i="1"/>
  <c r="C239" i="1"/>
  <c r="S238" i="1"/>
  <c r="P238" i="1"/>
  <c r="N238" i="1"/>
  <c r="C238" i="1"/>
  <c r="S237" i="1"/>
  <c r="P237" i="1"/>
  <c r="N237" i="1"/>
  <c r="C237" i="1"/>
  <c r="S236" i="1"/>
  <c r="P236" i="1"/>
  <c r="N236" i="1"/>
  <c r="C236" i="1"/>
  <c r="S235" i="1"/>
  <c r="P235" i="1"/>
  <c r="N235" i="1"/>
  <c r="C235" i="1"/>
  <c r="S234" i="1"/>
  <c r="P234" i="1"/>
  <c r="N234" i="1"/>
  <c r="C234" i="1"/>
  <c r="S233" i="1"/>
  <c r="P233" i="1"/>
  <c r="N233" i="1"/>
  <c r="C233" i="1"/>
  <c r="S232" i="1"/>
  <c r="P232" i="1"/>
  <c r="N232" i="1"/>
  <c r="C232" i="1"/>
  <c r="S231" i="1"/>
  <c r="P231" i="1"/>
  <c r="N231" i="1"/>
  <c r="C231" i="1"/>
  <c r="S230" i="1"/>
  <c r="P230" i="1"/>
  <c r="N230" i="1"/>
  <c r="C230" i="1"/>
  <c r="S229" i="1"/>
  <c r="P229" i="1"/>
  <c r="N229" i="1"/>
  <c r="C229" i="1"/>
  <c r="S228" i="1"/>
  <c r="P228" i="1"/>
  <c r="N228" i="1"/>
  <c r="C228" i="1"/>
  <c r="S227" i="1"/>
  <c r="P227" i="1"/>
  <c r="N227" i="1"/>
  <c r="C227" i="1"/>
  <c r="S226" i="1"/>
  <c r="P226" i="1"/>
  <c r="N226" i="1"/>
  <c r="C226" i="1"/>
  <c r="S225" i="1"/>
  <c r="P225" i="1"/>
  <c r="N225" i="1"/>
  <c r="C225" i="1"/>
  <c r="S224" i="1"/>
  <c r="P224" i="1"/>
  <c r="N224" i="1"/>
  <c r="C224" i="1"/>
  <c r="S223" i="1"/>
  <c r="P223" i="1"/>
  <c r="N223" i="1"/>
  <c r="C223" i="1"/>
  <c r="S222" i="1"/>
  <c r="P222" i="1"/>
  <c r="N222" i="1"/>
  <c r="C222" i="1"/>
  <c r="S221" i="1"/>
  <c r="P221" i="1"/>
  <c r="N221" i="1"/>
  <c r="C221" i="1"/>
  <c r="S220" i="1"/>
  <c r="P220" i="1"/>
  <c r="N220" i="1"/>
  <c r="C220" i="1"/>
  <c r="S219" i="1"/>
  <c r="P219" i="1"/>
  <c r="N219" i="1"/>
  <c r="C219" i="1"/>
  <c r="S218" i="1"/>
  <c r="P218" i="1"/>
  <c r="N218" i="1"/>
  <c r="C218" i="1"/>
  <c r="S217" i="1"/>
  <c r="P217" i="1"/>
  <c r="N217" i="1"/>
  <c r="C217" i="1"/>
  <c r="S216" i="1"/>
  <c r="P216" i="1"/>
  <c r="N216" i="1"/>
  <c r="C216" i="1"/>
  <c r="S215" i="1"/>
  <c r="P215" i="1"/>
  <c r="N215" i="1"/>
  <c r="H215" i="1"/>
  <c r="C215" i="1"/>
  <c r="S214" i="1"/>
  <c r="P214" i="1"/>
  <c r="N214" i="1"/>
  <c r="C214" i="1"/>
  <c r="S213" i="1"/>
  <c r="P213" i="1"/>
  <c r="N213" i="1"/>
  <c r="C213" i="1"/>
  <c r="S212" i="1"/>
  <c r="P212" i="1"/>
  <c r="N212" i="1"/>
  <c r="C212" i="1"/>
  <c r="S211" i="1"/>
  <c r="P211" i="1"/>
  <c r="N211" i="1"/>
  <c r="C211" i="1"/>
  <c r="S210" i="1"/>
  <c r="P210" i="1"/>
  <c r="N210" i="1"/>
  <c r="C210" i="1"/>
  <c r="S209" i="1"/>
  <c r="P209" i="1"/>
  <c r="N209" i="1"/>
  <c r="C209" i="1"/>
  <c r="S208" i="1"/>
  <c r="P208" i="1"/>
  <c r="N208" i="1"/>
  <c r="C208" i="1"/>
  <c r="S207" i="1"/>
  <c r="P207" i="1"/>
  <c r="N207" i="1"/>
  <c r="C207" i="1"/>
  <c r="S206" i="1"/>
  <c r="P206" i="1"/>
  <c r="N206" i="1"/>
  <c r="C206" i="1"/>
  <c r="S205" i="1"/>
  <c r="P205" i="1"/>
  <c r="N205" i="1"/>
  <c r="C205" i="1"/>
  <c r="S204" i="1"/>
  <c r="P204" i="1"/>
  <c r="N204" i="1"/>
  <c r="C204" i="1"/>
  <c r="S203" i="1"/>
  <c r="P203" i="1"/>
  <c r="N203" i="1"/>
  <c r="C203" i="1"/>
  <c r="S202" i="1"/>
  <c r="P202" i="1"/>
  <c r="N202" i="1"/>
  <c r="C202" i="1"/>
  <c r="S201" i="1"/>
  <c r="P201" i="1"/>
  <c r="N201" i="1"/>
  <c r="C201" i="1"/>
  <c r="S200" i="1"/>
  <c r="P200" i="1"/>
  <c r="N200" i="1"/>
  <c r="C200" i="1"/>
  <c r="S199" i="1"/>
  <c r="P199" i="1"/>
  <c r="N199" i="1"/>
  <c r="C199" i="1"/>
  <c r="S198" i="1"/>
  <c r="P198" i="1"/>
  <c r="N198" i="1"/>
  <c r="C198" i="1"/>
  <c r="S197" i="1"/>
  <c r="P197" i="1"/>
  <c r="N197" i="1"/>
  <c r="C197" i="1"/>
  <c r="S196" i="1"/>
  <c r="P196" i="1"/>
  <c r="N196" i="1"/>
  <c r="C196" i="1"/>
  <c r="S195" i="1"/>
  <c r="P195" i="1"/>
  <c r="N195" i="1"/>
  <c r="C195" i="1"/>
  <c r="S194" i="1"/>
  <c r="P194" i="1"/>
  <c r="N194" i="1"/>
  <c r="C194" i="1"/>
  <c r="S193" i="1"/>
  <c r="P193" i="1"/>
  <c r="N193" i="1"/>
  <c r="C193" i="1"/>
  <c r="S192" i="1"/>
  <c r="P192" i="1"/>
  <c r="N192" i="1"/>
  <c r="C192" i="1"/>
  <c r="S191" i="1"/>
  <c r="P191" i="1"/>
  <c r="N191" i="1"/>
  <c r="C191" i="1"/>
  <c r="S190" i="1"/>
  <c r="P190" i="1"/>
  <c r="N190" i="1"/>
  <c r="C190" i="1"/>
  <c r="S189" i="1"/>
  <c r="P189" i="1"/>
  <c r="N189" i="1"/>
  <c r="C189" i="1"/>
  <c r="S188" i="1"/>
  <c r="P188" i="1"/>
  <c r="N188" i="1"/>
  <c r="C188" i="1"/>
  <c r="S187" i="1"/>
  <c r="P187" i="1"/>
  <c r="N187" i="1"/>
  <c r="C187" i="1"/>
  <c r="S186" i="1"/>
  <c r="P186" i="1"/>
  <c r="N186" i="1"/>
  <c r="C186" i="1"/>
  <c r="S185" i="1"/>
  <c r="P185" i="1"/>
  <c r="N185" i="1"/>
  <c r="C185" i="1"/>
  <c r="S184" i="1"/>
  <c r="P184" i="1"/>
  <c r="N184" i="1"/>
  <c r="C184" i="1"/>
  <c r="S183" i="1"/>
  <c r="P183" i="1"/>
  <c r="N183" i="1"/>
  <c r="C183" i="1"/>
  <c r="S182" i="1"/>
  <c r="P182" i="1"/>
  <c r="N182" i="1"/>
  <c r="C182" i="1"/>
  <c r="S181" i="1"/>
  <c r="P181" i="1"/>
  <c r="N181" i="1"/>
  <c r="C181" i="1"/>
  <c r="S180" i="1"/>
  <c r="P180" i="1"/>
  <c r="N180" i="1"/>
  <c r="C180" i="1"/>
  <c r="S179" i="1"/>
  <c r="P179" i="1"/>
  <c r="N179" i="1"/>
  <c r="C179" i="1"/>
  <c r="S178" i="1"/>
  <c r="P178" i="1"/>
  <c r="N178" i="1"/>
  <c r="C178" i="1"/>
  <c r="S177" i="1"/>
  <c r="P177" i="1"/>
  <c r="N177" i="1"/>
  <c r="C177" i="1"/>
  <c r="S176" i="1"/>
  <c r="P176" i="1"/>
  <c r="N176" i="1"/>
  <c r="C176" i="1"/>
  <c r="S175" i="1"/>
  <c r="P175" i="1"/>
  <c r="N175" i="1"/>
  <c r="C175" i="1"/>
  <c r="S174" i="1"/>
  <c r="P174" i="1"/>
  <c r="N174" i="1"/>
  <c r="H174" i="1"/>
  <c r="C174" i="1"/>
  <c r="S173" i="1"/>
  <c r="P173" i="1"/>
  <c r="N173" i="1"/>
  <c r="C173" i="1"/>
  <c r="S172" i="1"/>
  <c r="P172" i="1"/>
  <c r="N172" i="1"/>
  <c r="C172" i="1"/>
  <c r="S171" i="1"/>
  <c r="P171" i="1"/>
  <c r="N171" i="1"/>
  <c r="C171" i="1"/>
  <c r="S170" i="1"/>
  <c r="P170" i="1"/>
  <c r="N170" i="1"/>
  <c r="C170" i="1"/>
  <c r="S169" i="1"/>
  <c r="P169" i="1"/>
  <c r="N169" i="1"/>
  <c r="C169" i="1"/>
  <c r="S168" i="1"/>
  <c r="P168" i="1"/>
  <c r="N168" i="1"/>
  <c r="C168" i="1"/>
  <c r="S167" i="1"/>
  <c r="P167" i="1"/>
  <c r="N167" i="1"/>
  <c r="C167" i="1"/>
  <c r="S166" i="1"/>
  <c r="P166" i="1"/>
  <c r="N166" i="1"/>
  <c r="C166" i="1"/>
  <c r="S165" i="1"/>
  <c r="P165" i="1"/>
  <c r="N165" i="1"/>
  <c r="C165" i="1"/>
  <c r="S164" i="1"/>
  <c r="P164" i="1"/>
  <c r="N164" i="1"/>
  <c r="C164" i="1"/>
  <c r="S163" i="1"/>
  <c r="P163" i="1"/>
  <c r="N163" i="1"/>
  <c r="C163" i="1"/>
  <c r="S162" i="1"/>
  <c r="P162" i="1"/>
  <c r="N162" i="1"/>
  <c r="C162" i="1"/>
  <c r="S161" i="1"/>
  <c r="P161" i="1"/>
  <c r="N161" i="1"/>
  <c r="C161" i="1"/>
  <c r="S160" i="1"/>
  <c r="P160" i="1"/>
  <c r="N160" i="1"/>
  <c r="C160" i="1"/>
  <c r="S159" i="1"/>
  <c r="P159" i="1"/>
  <c r="N159" i="1"/>
  <c r="C159" i="1"/>
  <c r="S158" i="1"/>
  <c r="P158" i="1"/>
  <c r="N158" i="1"/>
  <c r="C158" i="1"/>
  <c r="S157" i="1"/>
  <c r="P157" i="1"/>
  <c r="N157" i="1"/>
  <c r="C157" i="1"/>
  <c r="S156" i="1"/>
  <c r="P156" i="1"/>
  <c r="N156" i="1"/>
  <c r="C156" i="1"/>
  <c r="S155" i="1"/>
  <c r="P155" i="1"/>
  <c r="N155" i="1"/>
  <c r="C155" i="1"/>
  <c r="S154" i="1"/>
  <c r="P154" i="1"/>
  <c r="N154" i="1"/>
  <c r="C154" i="1"/>
  <c r="S153" i="1"/>
  <c r="P153" i="1"/>
  <c r="N153" i="1"/>
  <c r="C153" i="1"/>
  <c r="S152" i="1"/>
  <c r="P152" i="1"/>
  <c r="N152" i="1"/>
  <c r="C152" i="1"/>
  <c r="S151" i="1"/>
  <c r="P151" i="1"/>
  <c r="N151" i="1"/>
  <c r="C151" i="1"/>
  <c r="S150" i="1"/>
  <c r="P150" i="1"/>
  <c r="N150" i="1"/>
  <c r="C150" i="1"/>
  <c r="S149" i="1"/>
  <c r="P149" i="1"/>
  <c r="N149" i="1"/>
  <c r="C149" i="1"/>
  <c r="S148" i="1"/>
  <c r="P148" i="1"/>
  <c r="N148" i="1"/>
  <c r="C148" i="1"/>
  <c r="S147" i="1"/>
  <c r="P147" i="1"/>
  <c r="N147" i="1"/>
  <c r="C147" i="1"/>
  <c r="S146" i="1"/>
  <c r="P146" i="1"/>
  <c r="N146" i="1"/>
  <c r="C146" i="1"/>
  <c r="S145" i="1"/>
  <c r="P145" i="1"/>
  <c r="N145" i="1"/>
  <c r="C145" i="1"/>
  <c r="S144" i="1"/>
  <c r="P144" i="1"/>
  <c r="N144" i="1"/>
  <c r="C144" i="1"/>
  <c r="S143" i="1"/>
  <c r="P143" i="1"/>
  <c r="N143" i="1"/>
  <c r="C143" i="1"/>
  <c r="S142" i="1"/>
  <c r="P142" i="1"/>
  <c r="N142" i="1"/>
  <c r="C142" i="1"/>
  <c r="S141" i="1"/>
  <c r="P141" i="1"/>
  <c r="N141" i="1"/>
  <c r="C141" i="1"/>
  <c r="S140" i="1"/>
  <c r="P140" i="1"/>
  <c r="N140" i="1"/>
  <c r="C140" i="1"/>
  <c r="S139" i="1"/>
  <c r="P139" i="1"/>
  <c r="N139" i="1"/>
  <c r="C139" i="1"/>
  <c r="S138" i="1"/>
  <c r="P138" i="1"/>
  <c r="N138" i="1"/>
  <c r="C138" i="1"/>
  <c r="S137" i="1"/>
  <c r="P137" i="1"/>
  <c r="N137" i="1"/>
  <c r="C137" i="1"/>
  <c r="S136" i="1"/>
  <c r="P136" i="1"/>
  <c r="N136" i="1"/>
  <c r="C136" i="1"/>
  <c r="S135" i="1"/>
  <c r="P135" i="1"/>
  <c r="N135" i="1"/>
  <c r="C135" i="1"/>
  <c r="S134" i="1"/>
  <c r="P134" i="1"/>
  <c r="N134" i="1"/>
  <c r="C134" i="1"/>
  <c r="S133" i="1"/>
  <c r="P133" i="1"/>
  <c r="N133" i="1"/>
  <c r="C133" i="1"/>
  <c r="S132" i="1"/>
  <c r="P132" i="1"/>
  <c r="N132" i="1"/>
  <c r="C132" i="1"/>
  <c r="S131" i="1"/>
  <c r="P131" i="1"/>
  <c r="N131" i="1"/>
  <c r="C131" i="1"/>
  <c r="S130" i="1"/>
  <c r="P130" i="1"/>
  <c r="N130" i="1"/>
  <c r="C130" i="1"/>
  <c r="S129" i="1"/>
  <c r="P129" i="1"/>
  <c r="N129" i="1"/>
  <c r="C129" i="1"/>
  <c r="S128" i="1"/>
  <c r="P128" i="1"/>
  <c r="N128" i="1"/>
  <c r="C128" i="1"/>
  <c r="S127" i="1"/>
  <c r="P127" i="1"/>
  <c r="N127" i="1"/>
  <c r="C127" i="1"/>
  <c r="S126" i="1"/>
  <c r="P126" i="1"/>
  <c r="N126" i="1"/>
  <c r="C126" i="1"/>
  <c r="S125" i="1"/>
  <c r="P125" i="1"/>
  <c r="N125" i="1"/>
  <c r="C125" i="1"/>
  <c r="S124" i="1"/>
  <c r="P124" i="1"/>
  <c r="N124" i="1"/>
  <c r="C124" i="1"/>
  <c r="S123" i="1"/>
  <c r="P123" i="1"/>
  <c r="N123" i="1"/>
  <c r="C123" i="1"/>
  <c r="S122" i="1"/>
  <c r="P122" i="1"/>
  <c r="N122" i="1"/>
  <c r="C122" i="1"/>
  <c r="S121" i="1"/>
  <c r="P121" i="1"/>
  <c r="N121" i="1"/>
  <c r="C121" i="1"/>
  <c r="S120" i="1"/>
  <c r="P120" i="1"/>
  <c r="N120" i="1"/>
  <c r="C120" i="1"/>
  <c r="S119" i="1"/>
  <c r="P119" i="1"/>
  <c r="N119" i="1"/>
  <c r="C119" i="1"/>
  <c r="S118" i="1"/>
  <c r="P118" i="1"/>
  <c r="N118" i="1"/>
  <c r="C118" i="1"/>
  <c r="S117" i="1"/>
  <c r="P117" i="1"/>
  <c r="N117" i="1"/>
  <c r="C117" i="1"/>
  <c r="S116" i="1"/>
  <c r="P116" i="1"/>
  <c r="N116" i="1"/>
  <c r="C116" i="1"/>
  <c r="S115" i="1"/>
  <c r="P115" i="1"/>
  <c r="N115" i="1"/>
  <c r="C115" i="1"/>
  <c r="S114" i="1"/>
  <c r="P114" i="1"/>
  <c r="N114" i="1"/>
  <c r="H114" i="1"/>
  <c r="C114" i="1"/>
  <c r="S113" i="1"/>
  <c r="P113" i="1"/>
  <c r="N113" i="1"/>
  <c r="C113" i="1"/>
  <c r="S112" i="1"/>
  <c r="P112" i="1"/>
  <c r="N112" i="1"/>
  <c r="C112" i="1"/>
  <c r="S111" i="1"/>
  <c r="P111" i="1"/>
  <c r="N111" i="1"/>
  <c r="C111" i="1"/>
  <c r="S110" i="1"/>
  <c r="P110" i="1"/>
  <c r="N110" i="1"/>
  <c r="C110" i="1"/>
  <c r="S109" i="1"/>
  <c r="P109" i="1"/>
  <c r="N109" i="1"/>
  <c r="C109" i="1"/>
  <c r="S108" i="1"/>
  <c r="P108" i="1"/>
  <c r="N108" i="1"/>
  <c r="C108" i="1"/>
  <c r="S107" i="1"/>
  <c r="P107" i="1"/>
  <c r="N107" i="1"/>
  <c r="C107" i="1"/>
  <c r="S106" i="1"/>
  <c r="P106" i="1"/>
  <c r="N106" i="1"/>
  <c r="C106" i="1"/>
  <c r="S105" i="1"/>
  <c r="P105" i="1"/>
  <c r="N105" i="1"/>
  <c r="C105" i="1"/>
  <c r="S104" i="1"/>
  <c r="P104" i="1"/>
  <c r="N104" i="1"/>
  <c r="C104" i="1"/>
  <c r="S103" i="1"/>
  <c r="P103" i="1"/>
  <c r="N103" i="1"/>
  <c r="C103" i="1"/>
  <c r="S102" i="1"/>
  <c r="P102" i="1"/>
  <c r="N102" i="1"/>
  <c r="C102" i="1"/>
  <c r="S101" i="1"/>
  <c r="P101" i="1"/>
  <c r="N101" i="1"/>
  <c r="C101" i="1"/>
  <c r="S100" i="1"/>
  <c r="P100" i="1"/>
  <c r="N100" i="1"/>
  <c r="C100" i="1"/>
  <c r="S99" i="1"/>
  <c r="P99" i="1"/>
  <c r="N99" i="1"/>
  <c r="C99" i="1"/>
  <c r="S98" i="1"/>
  <c r="P98" i="1"/>
  <c r="N98" i="1"/>
  <c r="C98" i="1"/>
  <c r="S97" i="1"/>
  <c r="P97" i="1"/>
  <c r="N97" i="1"/>
  <c r="C97" i="1"/>
  <c r="S96" i="1"/>
  <c r="P96" i="1"/>
  <c r="N96" i="1"/>
  <c r="C96" i="1"/>
  <c r="S95" i="1"/>
  <c r="P95" i="1"/>
  <c r="N95" i="1"/>
  <c r="C95" i="1"/>
  <c r="S94" i="1"/>
  <c r="P94" i="1"/>
  <c r="N94" i="1"/>
  <c r="C94" i="1"/>
  <c r="S93" i="1"/>
  <c r="P93" i="1"/>
  <c r="N93" i="1"/>
  <c r="C93" i="1"/>
  <c r="S92" i="1"/>
  <c r="P92" i="1"/>
  <c r="N92" i="1"/>
  <c r="C92" i="1"/>
  <c r="S91" i="1"/>
  <c r="P91" i="1"/>
  <c r="N91" i="1"/>
  <c r="C91" i="1"/>
  <c r="S90" i="1"/>
  <c r="P90" i="1"/>
  <c r="N90" i="1"/>
  <c r="C90" i="1"/>
  <c r="S89" i="1"/>
  <c r="P89" i="1"/>
  <c r="N89" i="1"/>
  <c r="C89" i="1"/>
  <c r="S88" i="1"/>
  <c r="P88" i="1"/>
  <c r="N88" i="1"/>
  <c r="C88" i="1"/>
  <c r="S87" i="1"/>
  <c r="P87" i="1"/>
  <c r="N87" i="1"/>
  <c r="C87" i="1"/>
  <c r="S86" i="1"/>
  <c r="P86" i="1"/>
  <c r="N86" i="1"/>
  <c r="C86" i="1"/>
  <c r="S85" i="1"/>
  <c r="P85" i="1"/>
  <c r="N85" i="1"/>
  <c r="C85" i="1"/>
  <c r="S84" i="1"/>
  <c r="P84" i="1"/>
  <c r="N84" i="1"/>
  <c r="C84" i="1"/>
  <c r="S83" i="1"/>
  <c r="P83" i="1"/>
  <c r="N83" i="1"/>
  <c r="C83" i="1"/>
  <c r="S82" i="1"/>
  <c r="P82" i="1"/>
  <c r="N82" i="1"/>
  <c r="C82" i="1"/>
  <c r="S81" i="1"/>
  <c r="P81" i="1"/>
  <c r="N81" i="1"/>
  <c r="C81" i="1"/>
  <c r="S80" i="1"/>
  <c r="P80" i="1"/>
  <c r="N80" i="1"/>
  <c r="C80" i="1"/>
  <c r="S79" i="1"/>
  <c r="P79" i="1"/>
  <c r="N79" i="1"/>
  <c r="C79" i="1"/>
  <c r="S78" i="1"/>
  <c r="P78" i="1"/>
  <c r="N78" i="1"/>
  <c r="C78" i="1"/>
  <c r="S77" i="1"/>
  <c r="P77" i="1"/>
  <c r="N77" i="1"/>
  <c r="C77" i="1"/>
  <c r="S76" i="1"/>
  <c r="P76" i="1"/>
  <c r="N76" i="1"/>
  <c r="C76" i="1"/>
  <c r="S75" i="1"/>
  <c r="P75" i="1"/>
  <c r="N75" i="1"/>
  <c r="C75" i="1"/>
  <c r="S74" i="1"/>
  <c r="P74" i="1"/>
  <c r="N74" i="1"/>
  <c r="C74" i="1"/>
  <c r="S73" i="1"/>
  <c r="P73" i="1"/>
  <c r="N73" i="1"/>
  <c r="C73" i="1"/>
  <c r="S72" i="1"/>
  <c r="P72" i="1"/>
  <c r="N72" i="1"/>
  <c r="C72" i="1"/>
  <c r="S71" i="1"/>
  <c r="P71" i="1"/>
  <c r="N71" i="1"/>
  <c r="C71" i="1"/>
  <c r="S70" i="1"/>
  <c r="P70" i="1"/>
  <c r="N70" i="1"/>
  <c r="C70" i="1"/>
  <c r="S69" i="1"/>
  <c r="P69" i="1"/>
  <c r="N69" i="1"/>
  <c r="C69" i="1"/>
  <c r="S68" i="1"/>
  <c r="P68" i="1"/>
  <c r="N68" i="1"/>
  <c r="C68" i="1"/>
  <c r="S67" i="1"/>
  <c r="P67" i="1"/>
  <c r="N67" i="1"/>
  <c r="C67" i="1"/>
  <c r="S66" i="1"/>
  <c r="P66" i="1"/>
  <c r="N66" i="1"/>
  <c r="C66" i="1"/>
  <c r="S65" i="1"/>
  <c r="P65" i="1"/>
  <c r="N65" i="1"/>
  <c r="C65" i="1"/>
  <c r="S64" i="1"/>
  <c r="P64" i="1"/>
  <c r="N64" i="1"/>
  <c r="C64" i="1"/>
  <c r="S63" i="1"/>
  <c r="P63" i="1"/>
  <c r="N63" i="1"/>
  <c r="C63" i="1"/>
  <c r="S62" i="1"/>
  <c r="P62" i="1"/>
  <c r="N62" i="1"/>
  <c r="C62" i="1"/>
  <c r="S61" i="1"/>
  <c r="P61" i="1"/>
  <c r="N61" i="1"/>
  <c r="C61" i="1"/>
  <c r="S60" i="1"/>
  <c r="P60" i="1"/>
  <c r="N60" i="1"/>
  <c r="C60" i="1"/>
  <c r="S59" i="1"/>
  <c r="P59" i="1"/>
  <c r="N59" i="1"/>
  <c r="C59" i="1"/>
  <c r="S58" i="1"/>
  <c r="P58" i="1"/>
  <c r="N58" i="1"/>
  <c r="C58" i="1"/>
  <c r="S57" i="1"/>
  <c r="P57" i="1"/>
  <c r="N57" i="1"/>
  <c r="C57" i="1"/>
  <c r="S56" i="1"/>
  <c r="P56" i="1"/>
  <c r="N56" i="1"/>
  <c r="C56" i="1"/>
  <c r="S55" i="1"/>
  <c r="P55" i="1"/>
  <c r="N55" i="1"/>
  <c r="C55" i="1"/>
  <c r="S54" i="1"/>
  <c r="P54" i="1"/>
  <c r="N54" i="1"/>
  <c r="C54" i="1"/>
  <c r="S53" i="1"/>
  <c r="P53" i="1"/>
  <c r="N53" i="1"/>
  <c r="C53" i="1"/>
  <c r="S52" i="1"/>
  <c r="P52" i="1"/>
  <c r="N52" i="1"/>
  <c r="C52" i="1"/>
  <c r="S51" i="1"/>
  <c r="P51" i="1"/>
  <c r="N51" i="1"/>
  <c r="C51" i="1"/>
  <c r="S50" i="1"/>
  <c r="P50" i="1"/>
  <c r="N50" i="1"/>
  <c r="C50" i="1"/>
  <c r="S49" i="1"/>
  <c r="P49" i="1"/>
  <c r="N49" i="1"/>
  <c r="C49" i="1"/>
  <c r="S48" i="1"/>
  <c r="P48" i="1"/>
  <c r="N48" i="1"/>
  <c r="C48" i="1"/>
  <c r="S47" i="1"/>
  <c r="P47" i="1"/>
  <c r="N47" i="1"/>
  <c r="C47" i="1"/>
  <c r="S46" i="1"/>
  <c r="P46" i="1"/>
  <c r="N46" i="1"/>
  <c r="C46" i="1"/>
  <c r="S45" i="1"/>
  <c r="P45" i="1"/>
  <c r="N45" i="1"/>
  <c r="C45" i="1"/>
  <c r="S44" i="1"/>
  <c r="P44" i="1"/>
  <c r="N44" i="1"/>
  <c r="C44" i="1"/>
  <c r="S43" i="1"/>
  <c r="P43" i="1"/>
  <c r="N43" i="1"/>
  <c r="C43" i="1"/>
  <c r="S42" i="1"/>
  <c r="P42" i="1"/>
  <c r="N42" i="1"/>
  <c r="C42" i="1"/>
  <c r="S41" i="1"/>
  <c r="P41" i="1"/>
  <c r="N41" i="1"/>
  <c r="C41" i="1"/>
  <c r="S40" i="1"/>
  <c r="P40" i="1"/>
  <c r="N40" i="1"/>
  <c r="C40" i="1"/>
  <c r="S39" i="1"/>
  <c r="P39" i="1"/>
  <c r="N39" i="1"/>
  <c r="C39" i="1"/>
  <c r="S38" i="1"/>
  <c r="P38" i="1"/>
  <c r="N38" i="1"/>
  <c r="C38" i="1"/>
  <c r="S37" i="1"/>
  <c r="P37" i="1"/>
  <c r="N37" i="1"/>
  <c r="C37" i="1"/>
  <c r="S36" i="1"/>
  <c r="P36" i="1"/>
  <c r="N36" i="1"/>
  <c r="C36" i="1"/>
  <c r="S35" i="1"/>
  <c r="P35" i="1"/>
  <c r="N35" i="1"/>
  <c r="C35" i="1"/>
  <c r="S34" i="1"/>
  <c r="P34" i="1"/>
  <c r="N34" i="1"/>
  <c r="C34" i="1"/>
  <c r="S33" i="1"/>
  <c r="P33" i="1"/>
  <c r="N33" i="1"/>
  <c r="C33" i="1"/>
  <c r="S32" i="1"/>
  <c r="P32" i="1"/>
  <c r="N32" i="1"/>
  <c r="C32" i="1"/>
  <c r="S31" i="1"/>
  <c r="P31" i="1"/>
  <c r="N31" i="1"/>
  <c r="C31" i="1"/>
  <c r="S30" i="1"/>
  <c r="P30" i="1"/>
  <c r="N30" i="1"/>
  <c r="C30" i="1"/>
  <c r="S29" i="1"/>
  <c r="P29" i="1"/>
  <c r="N29" i="1"/>
  <c r="C29" i="1"/>
  <c r="S28" i="1"/>
  <c r="P28" i="1"/>
  <c r="N28" i="1"/>
  <c r="C28" i="1"/>
  <c r="S27" i="1"/>
  <c r="P27" i="1"/>
  <c r="N27" i="1"/>
  <c r="C27" i="1"/>
  <c r="S26" i="1"/>
  <c r="P26" i="1"/>
  <c r="N26" i="1"/>
  <c r="C26" i="1"/>
  <c r="S25" i="1"/>
  <c r="P25" i="1"/>
  <c r="N25" i="1"/>
  <c r="C25" i="1"/>
  <c r="S24" i="1"/>
  <c r="P24" i="1"/>
  <c r="N24" i="1"/>
  <c r="C24" i="1"/>
  <c r="S23" i="1"/>
  <c r="P23" i="1"/>
  <c r="N23" i="1"/>
  <c r="C23" i="1"/>
  <c r="S22" i="1"/>
  <c r="P22" i="1"/>
  <c r="N22" i="1"/>
  <c r="C22" i="1"/>
  <c r="S21" i="1"/>
  <c r="P21" i="1"/>
  <c r="N21" i="1"/>
  <c r="C21" i="1"/>
  <c r="S20" i="1"/>
  <c r="P20" i="1"/>
  <c r="N20" i="1"/>
  <c r="C20" i="1"/>
  <c r="S19" i="1"/>
  <c r="P19" i="1"/>
  <c r="N19" i="1"/>
  <c r="C19" i="1"/>
  <c r="S18" i="1"/>
  <c r="P18" i="1"/>
  <c r="N18" i="1"/>
  <c r="C18" i="1"/>
  <c r="S17" i="1"/>
  <c r="P17" i="1"/>
  <c r="N17" i="1"/>
  <c r="C17" i="1"/>
  <c r="S16" i="1"/>
  <c r="P16" i="1"/>
  <c r="N16" i="1"/>
  <c r="C16" i="1"/>
  <c r="S15" i="1"/>
  <c r="P15" i="1"/>
  <c r="N15" i="1"/>
  <c r="C15" i="1"/>
  <c r="S14" i="1"/>
  <c r="P14" i="1"/>
  <c r="N14" i="1"/>
  <c r="C14" i="1"/>
  <c r="S13" i="1"/>
  <c r="P13" i="1"/>
  <c r="N13" i="1"/>
  <c r="C13" i="1"/>
  <c r="S12" i="1"/>
  <c r="P12" i="1"/>
  <c r="N12" i="1"/>
  <c r="C12" i="1"/>
  <c r="S11" i="1"/>
  <c r="P11" i="1"/>
  <c r="N11" i="1"/>
  <c r="C11" i="1"/>
  <c r="S10" i="1"/>
  <c r="P10" i="1"/>
  <c r="N10" i="1"/>
  <c r="C10" i="1"/>
  <c r="S9" i="1"/>
  <c r="P9" i="1"/>
  <c r="N9" i="1"/>
  <c r="C9" i="1"/>
  <c r="S8" i="1"/>
  <c r="P8" i="1"/>
  <c r="N8" i="1"/>
  <c r="C8" i="1"/>
  <c r="S7" i="1"/>
  <c r="P7" i="1"/>
  <c r="N7" i="1"/>
  <c r="C7" i="1"/>
  <c r="S6" i="1"/>
  <c r="P6" i="1"/>
  <c r="N6" i="1"/>
  <c r="C6" i="1"/>
  <c r="S5" i="1"/>
  <c r="P5" i="1"/>
  <c r="N5" i="1"/>
  <c r="C5" i="1"/>
  <c r="S4" i="1"/>
  <c r="P4" i="1"/>
  <c r="N4" i="1"/>
  <c r="C4" i="1"/>
  <c r="S3" i="1"/>
  <c r="P3" i="1"/>
  <c r="N3" i="1"/>
  <c r="C3" i="1"/>
  <c r="S2" i="1"/>
  <c r="P2" i="1"/>
  <c r="N2" i="1"/>
  <c r="C2" i="1"/>
</calcChain>
</file>

<file path=xl/sharedStrings.xml><?xml version="1.0" encoding="utf-8"?>
<sst xmlns="http://schemas.openxmlformats.org/spreadsheetml/2006/main" count="8008" uniqueCount="1246">
  <si>
    <t>Shipment_ID</t>
  </si>
  <si>
    <t>Order_Date</t>
  </si>
  <si>
    <t>Order_Date_Months</t>
  </si>
  <si>
    <t>Customer</t>
  </si>
  <si>
    <t>Material_Category</t>
  </si>
  <si>
    <t>Dispatch_Depot</t>
  </si>
  <si>
    <t>Vehicle_ID</t>
  </si>
  <si>
    <t>Driver</t>
  </si>
  <si>
    <t>Quantity_Units</t>
  </si>
  <si>
    <t>Unit_Price_KES</t>
  </si>
  <si>
    <t>Order_Value_KES</t>
  </si>
  <si>
    <t>Distance_km</t>
  </si>
  <si>
    <t>Planned_Delivery_Date</t>
  </si>
  <si>
    <t>Planned_Delivery_Months</t>
  </si>
  <si>
    <t>Actual_Delivery_Date</t>
  </si>
  <si>
    <t>Actual_Delivery_Months</t>
  </si>
  <si>
    <t>Delivery_Status</t>
  </si>
  <si>
    <t>Transport_Cost_KES</t>
  </si>
  <si>
    <t>Total_Cost</t>
  </si>
  <si>
    <t>SHP-00001</t>
  </si>
  <si>
    <t>2025-04-27</t>
  </si>
  <si>
    <t>UrbanWorks Contractors</t>
  </si>
  <si>
    <t>Construction Additives</t>
  </si>
  <si>
    <t>Nairobi Depot</t>
  </si>
  <si>
    <t>TRK-026</t>
  </si>
  <si>
    <t>P. Maina</t>
  </si>
  <si>
    <t>2025-04-29</t>
  </si>
  <si>
    <t>2025-05-03</t>
  </si>
  <si>
    <t>Late</t>
  </si>
  <si>
    <t>SHP-00002</t>
  </si>
  <si>
    <t>2025-02-16</t>
  </si>
  <si>
    <t>Lake Region Water Services</t>
  </si>
  <si>
    <t>Industrial Cleaning Supplies</t>
  </si>
  <si>
    <t>Eldoret Depot</t>
  </si>
  <si>
    <t>TRK-013</t>
  </si>
  <si>
    <t>K. Barasa</t>
  </si>
  <si>
    <t>2025-02-17</t>
  </si>
  <si>
    <t>On Time</t>
  </si>
  <si>
    <t>SHP-00003</t>
  </si>
  <si>
    <t>2025-11-24</t>
  </si>
  <si>
    <t>Metro Packaging Ltd</t>
  </si>
  <si>
    <t>2025-11-26</t>
  </si>
  <si>
    <t>2025-11-27</t>
  </si>
  <si>
    <t>SHP-00004</t>
  </si>
  <si>
    <t>2025-01-15</t>
  </si>
  <si>
    <t>Nakuru Depot</t>
  </si>
  <si>
    <t>TRK-025</t>
  </si>
  <si>
    <t>M. Otieno</t>
  </si>
  <si>
    <t>2025-01-17</t>
  </si>
  <si>
    <t>2025-01-21</t>
  </si>
  <si>
    <t>SHP-00005</t>
  </si>
  <si>
    <t>2025-03-13</t>
  </si>
  <si>
    <t>Rift Valley Manufacturing</t>
  </si>
  <si>
    <t>Protective Coatings</t>
  </si>
  <si>
    <t>TRK-012</t>
  </si>
  <si>
    <t>S. Chebet</t>
  </si>
  <si>
    <t>2025-03-14</t>
  </si>
  <si>
    <t>2025-03-17</t>
  </si>
  <si>
    <t>SHP-00006</t>
  </si>
  <si>
    <t>Mombasa Depot</t>
  </si>
  <si>
    <t>TRK-009</t>
  </si>
  <si>
    <t>D. Said</t>
  </si>
  <si>
    <t>2025-03-20</t>
  </si>
  <si>
    <t>SHP-00007</t>
  </si>
  <si>
    <t>2025-03-10</t>
  </si>
  <si>
    <t>Highland Agro Processors</t>
  </si>
  <si>
    <t>TRK-020</t>
  </si>
  <si>
    <t>2025-03-12</t>
  </si>
  <si>
    <t>SHP-00008</t>
  </si>
  <si>
    <t>2025-10-09</t>
  </si>
  <si>
    <t>Packaging Materials</t>
  </si>
  <si>
    <t>TRK-028</t>
  </si>
  <si>
    <t>2025-10-10</t>
  </si>
  <si>
    <t>SHP-00009</t>
  </si>
  <si>
    <t>2025-04-13</t>
  </si>
  <si>
    <t>Maintenance Parts</t>
  </si>
  <si>
    <t>TRK-030</t>
  </si>
  <si>
    <t>B. Kiprono</t>
  </si>
  <si>
    <t>2025-04-14</t>
  </si>
  <si>
    <t>2025-04-17</t>
  </si>
  <si>
    <t>SHP-00010</t>
  </si>
  <si>
    <t>2025-08-04</t>
  </si>
  <si>
    <t>TRK-011</t>
  </si>
  <si>
    <t>2025-08-05</t>
  </si>
  <si>
    <t>SHP-00011</t>
  </si>
  <si>
    <t>2025-04-28</t>
  </si>
  <si>
    <t>TRK-006</t>
  </si>
  <si>
    <t>SHP-00012</t>
  </si>
  <si>
    <t>TRK-014</t>
  </si>
  <si>
    <t>SHP-00013</t>
  </si>
  <si>
    <t>2025-10-18</t>
  </si>
  <si>
    <t>A. Hassan</t>
  </si>
  <si>
    <t>2025-10-20</t>
  </si>
  <si>
    <t>2025-10-21</t>
  </si>
  <si>
    <t>SHP-00014</t>
  </si>
  <si>
    <t>2025-07-16</t>
  </si>
  <si>
    <t>BlueWave Facilities</t>
  </si>
  <si>
    <t>TRK-018</t>
  </si>
  <si>
    <t>2025-07-19</t>
  </si>
  <si>
    <t>2025-07-20</t>
  </si>
  <si>
    <t>SHP-00015</t>
  </si>
  <si>
    <t>2025-07-23</t>
  </si>
  <si>
    <t>2025-07-25</t>
  </si>
  <si>
    <t>2025-07-29</t>
  </si>
  <si>
    <t>SHP-00016</t>
  </si>
  <si>
    <t>2025-11-10</t>
  </si>
  <si>
    <t>2025-11-12</t>
  </si>
  <si>
    <t>SHP-00017</t>
  </si>
  <si>
    <t>2025-12-06</t>
  </si>
  <si>
    <t>CoastBuild Ltd</t>
  </si>
  <si>
    <t>TRK-007</t>
  </si>
  <si>
    <t>2025-12-09</t>
  </si>
  <si>
    <t>SHP-00018</t>
  </si>
  <si>
    <t>2025-06-10</t>
  </si>
  <si>
    <t>2025-06-11</t>
  </si>
  <si>
    <t>2025-06-12</t>
  </si>
  <si>
    <t>SHP-00019</t>
  </si>
  <si>
    <t>2025-12-10</t>
  </si>
  <si>
    <t>TRK-019</t>
  </si>
  <si>
    <t>2025-12-11</t>
  </si>
  <si>
    <t>2025-12-15</t>
  </si>
  <si>
    <t>SHP-00020</t>
  </si>
  <si>
    <t>2025-12-16</t>
  </si>
  <si>
    <t>L. Wekesa</t>
  </si>
  <si>
    <t>2025-12-17</t>
  </si>
  <si>
    <t>2025-12-20</t>
  </si>
  <si>
    <t>SHP-00021</t>
  </si>
  <si>
    <t>2025-07-03</t>
  </si>
  <si>
    <t>Eastern Industrial Supplies</t>
  </si>
  <si>
    <t>2025-07-05</t>
  </si>
  <si>
    <t>SHP-00022</t>
  </si>
  <si>
    <t>2025-04-07</t>
  </si>
  <si>
    <t>E. Achieng</t>
  </si>
  <si>
    <t>2025-04-08</t>
  </si>
  <si>
    <t>SHP-00023</t>
  </si>
  <si>
    <t>2025-05-02</t>
  </si>
  <si>
    <t>2025-05-04</t>
  </si>
  <si>
    <t>SHP-00024</t>
  </si>
  <si>
    <t>TRK-024</t>
  </si>
  <si>
    <t>2025-10-12</t>
  </si>
  <si>
    <t>2025-10-16</t>
  </si>
  <si>
    <t>SHP-00025</t>
  </si>
  <si>
    <t>2025-06-29</t>
  </si>
  <si>
    <t>Water Treatment Chemicals</t>
  </si>
  <si>
    <t>2025-07-01</t>
  </si>
  <si>
    <t>SHP-00026</t>
  </si>
  <si>
    <t>SHP-00027</t>
  </si>
  <si>
    <t>2025-07-07</t>
  </si>
  <si>
    <t>2025-07-08</t>
  </si>
  <si>
    <t>SHP-00028</t>
  </si>
  <si>
    <t>2025-02-22</t>
  </si>
  <si>
    <t>2025-02-24</t>
  </si>
  <si>
    <t>2025-02-27</t>
  </si>
  <si>
    <t>SHP-00029</t>
  </si>
  <si>
    <t>2025-09-30</t>
  </si>
  <si>
    <t>J. Mutua</t>
  </si>
  <si>
    <t>2025-10-02</t>
  </si>
  <si>
    <t>SHP-00030</t>
  </si>
  <si>
    <t>2025-06-16</t>
  </si>
  <si>
    <t>TRK-010</t>
  </si>
  <si>
    <t>2025-06-17</t>
  </si>
  <si>
    <t>SHP-00031</t>
  </si>
  <si>
    <t>2025-09-07</t>
  </si>
  <si>
    <t>TRK-005</t>
  </si>
  <si>
    <t>2025-09-08</t>
  </si>
  <si>
    <t>2025-09-11</t>
  </si>
  <si>
    <t>SHP-00032</t>
  </si>
  <si>
    <t>2025-08-09</t>
  </si>
  <si>
    <t>TRK-023</t>
  </si>
  <si>
    <t>2025-08-10</t>
  </si>
  <si>
    <t>SHP-00033</t>
  </si>
  <si>
    <t>2025-04-23</t>
  </si>
  <si>
    <t>TRK-027</t>
  </si>
  <si>
    <t>2025-04-25</t>
  </si>
  <si>
    <t>SHP-00034</t>
  </si>
  <si>
    <t>2025-09-01</t>
  </si>
  <si>
    <t>2025-09-03</t>
  </si>
  <si>
    <t>SHP-00035</t>
  </si>
  <si>
    <t>2025-02-04</t>
  </si>
  <si>
    <t>TRK-003</t>
  </si>
  <si>
    <t>2025-02-05</t>
  </si>
  <si>
    <t>SHP-00036</t>
  </si>
  <si>
    <t>2025-05-15</t>
  </si>
  <si>
    <t>2025-05-17</t>
  </si>
  <si>
    <t>SHP-00037</t>
  </si>
  <si>
    <t>2025-11-14</t>
  </si>
  <si>
    <t>2025-11-15</t>
  </si>
  <si>
    <t>2025-11-18</t>
  </si>
  <si>
    <t>SHP-00038</t>
  </si>
  <si>
    <t>2025-10-07</t>
  </si>
  <si>
    <t>TRK-021</t>
  </si>
  <si>
    <t>2025-10-14</t>
  </si>
  <si>
    <t>SHP-00039</t>
  </si>
  <si>
    <t>2025-01-03</t>
  </si>
  <si>
    <t>2025-01-06</t>
  </si>
  <si>
    <t>2025-01-09</t>
  </si>
  <si>
    <t>SHP-00040</t>
  </si>
  <si>
    <t>2025-06-14</t>
  </si>
  <si>
    <t>SHP-00041</t>
  </si>
  <si>
    <t>2025-10-17</t>
  </si>
  <si>
    <t>2025-10-19</t>
  </si>
  <si>
    <t>SHP-00042</t>
  </si>
  <si>
    <t>TRK-002</t>
  </si>
  <si>
    <t>SHP-00043</t>
  </si>
  <si>
    <t>2025-08-14</t>
  </si>
  <si>
    <t>2025-08-16</t>
  </si>
  <si>
    <t>2025-08-19</t>
  </si>
  <si>
    <t>SHP-00044</t>
  </si>
  <si>
    <t>2025-05-30</t>
  </si>
  <si>
    <t>2025-05-31</t>
  </si>
  <si>
    <t>SHP-00045</t>
  </si>
  <si>
    <t>2025-09-04</t>
  </si>
  <si>
    <t>2025-09-06</t>
  </si>
  <si>
    <t>SHP-00046</t>
  </si>
  <si>
    <t>2025-01-08</t>
  </si>
  <si>
    <t>2025-01-10</t>
  </si>
  <si>
    <t>SHP-00047</t>
  </si>
  <si>
    <t>2025-06-01</t>
  </si>
  <si>
    <t>2025-06-05</t>
  </si>
  <si>
    <t>SHP-00048</t>
  </si>
  <si>
    <t>SHP-00049</t>
  </si>
  <si>
    <t>2025-05-06</t>
  </si>
  <si>
    <t>TRK-016</t>
  </si>
  <si>
    <t>2025-05-08</t>
  </si>
  <si>
    <t>2025-05-07</t>
  </si>
  <si>
    <t>SHP-00050</t>
  </si>
  <si>
    <t>2025-08-25</t>
  </si>
  <si>
    <t>TRK-017</t>
  </si>
  <si>
    <t>2025-08-26</t>
  </si>
  <si>
    <t>SHP-00051</t>
  </si>
  <si>
    <t>2025-12-25</t>
  </si>
  <si>
    <t>2025-12-27</t>
  </si>
  <si>
    <t>SHP-00052</t>
  </si>
  <si>
    <t>2025-10-29</t>
  </si>
  <si>
    <t>2025-10-30</t>
  </si>
  <si>
    <t>2025-11-02</t>
  </si>
  <si>
    <t>SHP-00053</t>
  </si>
  <si>
    <t>2025-11-01</t>
  </si>
  <si>
    <t>2025-11-03</t>
  </si>
  <si>
    <t>2025-11-06</t>
  </si>
  <si>
    <t>SHP-00054</t>
  </si>
  <si>
    <t>TRK-029</t>
  </si>
  <si>
    <t>2025-09-05</t>
  </si>
  <si>
    <t>SHP-00055</t>
  </si>
  <si>
    <t>2025-11-07</t>
  </si>
  <si>
    <t>2025-11-09</t>
  </si>
  <si>
    <t>SHP-00056</t>
  </si>
  <si>
    <t>2025-11-16</t>
  </si>
  <si>
    <t>2025-11-17</t>
  </si>
  <si>
    <t>SHP-00057</t>
  </si>
  <si>
    <t>2025-08-23</t>
  </si>
  <si>
    <t>2025-08-24</t>
  </si>
  <si>
    <t>2025-08-27</t>
  </si>
  <si>
    <t>SHP-00058</t>
  </si>
  <si>
    <t>2025-09-20</t>
  </si>
  <si>
    <t>2025-09-21</t>
  </si>
  <si>
    <t>2025-09-23</t>
  </si>
  <si>
    <t>SHP-00059</t>
  </si>
  <si>
    <t>2025-10-23</t>
  </si>
  <si>
    <t>2025-10-25</t>
  </si>
  <si>
    <t>SHP-00060</t>
  </si>
  <si>
    <t>2025-04-16</t>
  </si>
  <si>
    <t>2025-04-15</t>
  </si>
  <si>
    <t>SHP-00061</t>
  </si>
  <si>
    <t>2025-04-12</t>
  </si>
  <si>
    <t>TRK-008</t>
  </si>
  <si>
    <t>SHP-00062</t>
  </si>
  <si>
    <t>2025-08-18</t>
  </si>
  <si>
    <t>SHP-00063</t>
  </si>
  <si>
    <t>2025-03-04</t>
  </si>
  <si>
    <t>2025-03-06</t>
  </si>
  <si>
    <t>SHP-00064</t>
  </si>
  <si>
    <t>2025-05-10</t>
  </si>
  <si>
    <t>SHP-00065</t>
  </si>
  <si>
    <t>2025-03-15</t>
  </si>
  <si>
    <t>2025-03-16</t>
  </si>
  <si>
    <t>SHP-00066</t>
  </si>
  <si>
    <t>2025-05-29</t>
  </si>
  <si>
    <t>2025-06-03</t>
  </si>
  <si>
    <t>SHP-00067</t>
  </si>
  <si>
    <t>2025-06-02</t>
  </si>
  <si>
    <t>SHP-00068</t>
  </si>
  <si>
    <t>2025-05-23</t>
  </si>
  <si>
    <t>TRK-001</t>
  </si>
  <si>
    <t>2025-05-25</t>
  </si>
  <si>
    <t>2025-05-24</t>
  </si>
  <si>
    <t>SHP-00069</t>
  </si>
  <si>
    <t>2025-01-14</t>
  </si>
  <si>
    <t>SHP-00070</t>
  </si>
  <si>
    <t>2025-09-19</t>
  </si>
  <si>
    <t>2025-09-24</t>
  </si>
  <si>
    <t>SHP-00071</t>
  </si>
  <si>
    <t>SHP-00072</t>
  </si>
  <si>
    <t>2025-06-06</t>
  </si>
  <si>
    <t>SHP-00073</t>
  </si>
  <si>
    <t>2025-03-28</t>
  </si>
  <si>
    <t>2025-03-30</t>
  </si>
  <si>
    <t>SHP-00074</t>
  </si>
  <si>
    <t>2025-04-05</t>
  </si>
  <si>
    <t>SHP-00075</t>
  </si>
  <si>
    <t>2025-06-21</t>
  </si>
  <si>
    <t>2025-06-22</t>
  </si>
  <si>
    <t>2025-06-23</t>
  </si>
  <si>
    <t>SHP-00076</t>
  </si>
  <si>
    <t>2025-11-08</t>
  </si>
  <si>
    <t>SHP-00077</t>
  </si>
  <si>
    <t>2025-10-05</t>
  </si>
  <si>
    <t>SHP-00078</t>
  </si>
  <si>
    <t>2025-01-22</t>
  </si>
  <si>
    <t>2025-01-23</t>
  </si>
  <si>
    <t>SHP-00079</t>
  </si>
  <si>
    <t>2025-11-19</t>
  </si>
  <si>
    <t>2025-11-21</t>
  </si>
  <si>
    <t>SHP-00080</t>
  </si>
  <si>
    <t>2025-08-03</t>
  </si>
  <si>
    <t>SHP-00081</t>
  </si>
  <si>
    <t>2025-07-11</t>
  </si>
  <si>
    <t>2025-07-12</t>
  </si>
  <si>
    <t>SHP-00082</t>
  </si>
  <si>
    <t>2025-01-11</t>
  </si>
  <si>
    <t>2025-01-13</t>
  </si>
  <si>
    <t>SHP-00083</t>
  </si>
  <si>
    <t>2025-05-28</t>
  </si>
  <si>
    <t>SHP-00084</t>
  </si>
  <si>
    <t>2025-02-28</t>
  </si>
  <si>
    <t>2025-03-02</t>
  </si>
  <si>
    <t>SHP-00085</t>
  </si>
  <si>
    <t>2025-01-19</t>
  </si>
  <si>
    <t>2025-01-18</t>
  </si>
  <si>
    <t>SHP-00086</t>
  </si>
  <si>
    <t>2025-06-28</t>
  </si>
  <si>
    <t>2025-06-30</t>
  </si>
  <si>
    <t>SHP-00087</t>
  </si>
  <si>
    <t>2025-12-03</t>
  </si>
  <si>
    <t>2025-12-04</t>
  </si>
  <si>
    <t>SHP-00088</t>
  </si>
  <si>
    <t>2025-05-09</t>
  </si>
  <si>
    <t>SHP-00089</t>
  </si>
  <si>
    <t>2025-07-06</t>
  </si>
  <si>
    <t>2025-07-09</t>
  </si>
  <si>
    <t>SHP-00090</t>
  </si>
  <si>
    <t>2025-07-26</t>
  </si>
  <si>
    <t>2025-07-27</t>
  </si>
  <si>
    <t>2025-07-30</t>
  </si>
  <si>
    <t>SHP-00091</t>
  </si>
  <si>
    <t>2025-01-30</t>
  </si>
  <si>
    <t>2025-01-31</t>
  </si>
  <si>
    <t>2025-02-01</t>
  </si>
  <si>
    <t>SHP-00092</t>
  </si>
  <si>
    <t>SHP-00093</t>
  </si>
  <si>
    <t>2025-12-31</t>
  </si>
  <si>
    <t>TRK-015</t>
  </si>
  <si>
    <t>2026-01-01</t>
  </si>
  <si>
    <t>2026-01-03</t>
  </si>
  <si>
    <t>SHP-00094</t>
  </si>
  <si>
    <t>2025-12-24</t>
  </si>
  <si>
    <t>2025-12-26</t>
  </si>
  <si>
    <t>2025-12-29</t>
  </si>
  <si>
    <t>SHP-00095</t>
  </si>
  <si>
    <t>2025-03-09</t>
  </si>
  <si>
    <t>SHP-00096</t>
  </si>
  <si>
    <t>2025-11-20</t>
  </si>
  <si>
    <t>2025-11-22</t>
  </si>
  <si>
    <t>SHP-00097</t>
  </si>
  <si>
    <t>SHP-00098</t>
  </si>
  <si>
    <t>2025-06-07</t>
  </si>
  <si>
    <t>SHP-00099</t>
  </si>
  <si>
    <t>2025-11-13</t>
  </si>
  <si>
    <t>SHP-00100</t>
  </si>
  <si>
    <t>2025-10-22</t>
  </si>
  <si>
    <t>SHP-00101</t>
  </si>
  <si>
    <t>2025-08-07</t>
  </si>
  <si>
    <t>2025-08-08</t>
  </si>
  <si>
    <t>SHP-00102</t>
  </si>
  <si>
    <t>2025-07-10</t>
  </si>
  <si>
    <t>SHP-00103</t>
  </si>
  <si>
    <t>2025-04-30</t>
  </si>
  <si>
    <t>2025-05-01</t>
  </si>
  <si>
    <t>SHP-00104</t>
  </si>
  <si>
    <t>2025-09-13</t>
  </si>
  <si>
    <t>2025-09-15</t>
  </si>
  <si>
    <t>SHP-00105</t>
  </si>
  <si>
    <t>SHP-00106</t>
  </si>
  <si>
    <t>SHP-00107</t>
  </si>
  <si>
    <t>TRK-004</t>
  </si>
  <si>
    <t>2025-11-23</t>
  </si>
  <si>
    <t>SHP-00108</t>
  </si>
  <si>
    <t>2025-04-01</t>
  </si>
  <si>
    <t>2025-04-03</t>
  </si>
  <si>
    <t>SHP-00109</t>
  </si>
  <si>
    <t>SHP-00110</t>
  </si>
  <si>
    <t>2025-12-28</t>
  </si>
  <si>
    <t>2025-12-30</t>
  </si>
  <si>
    <t>SHP-00111</t>
  </si>
  <si>
    <t>SHP-00112</t>
  </si>
  <si>
    <t>2025-08-30</t>
  </si>
  <si>
    <t>SHP-00113</t>
  </si>
  <si>
    <t>SHP-00114</t>
  </si>
  <si>
    <t>2025-12-07</t>
  </si>
  <si>
    <t>2025-12-08</t>
  </si>
  <si>
    <t>SHP-00115</t>
  </si>
  <si>
    <t>2025-07-31</t>
  </si>
  <si>
    <t>2025-08-02</t>
  </si>
  <si>
    <t>SHP-00116</t>
  </si>
  <si>
    <t>2025-06-08</t>
  </si>
  <si>
    <t>SHP-00117</t>
  </si>
  <si>
    <t>2025-01-24</t>
  </si>
  <si>
    <t>2025-01-25</t>
  </si>
  <si>
    <t>SHP-00118</t>
  </si>
  <si>
    <t>2025-08-01</t>
  </si>
  <si>
    <t>SHP-00119</t>
  </si>
  <si>
    <t>2025-12-02</t>
  </si>
  <si>
    <t>SHP-00120</t>
  </si>
  <si>
    <t>2025-02-09</t>
  </si>
  <si>
    <t>2025-02-11</t>
  </si>
  <si>
    <t>SHP-00121</t>
  </si>
  <si>
    <t>SHP-00122</t>
  </si>
  <si>
    <t>2025-04-10</t>
  </si>
  <si>
    <t>SHP-00123</t>
  </si>
  <si>
    <t>SHP-00124</t>
  </si>
  <si>
    <t>2025-12-13</t>
  </si>
  <si>
    <t>SHP-00125</t>
  </si>
  <si>
    <t>SHP-00126</t>
  </si>
  <si>
    <t>2025-11-11</t>
  </si>
  <si>
    <t>SHP-00127</t>
  </si>
  <si>
    <t>2025-07-15</t>
  </si>
  <si>
    <t>SHP-00128</t>
  </si>
  <si>
    <t>2025-09-25</t>
  </si>
  <si>
    <t>SHP-00129</t>
  </si>
  <si>
    <t>2025-04-24</t>
  </si>
  <si>
    <t>SHP-00130</t>
  </si>
  <si>
    <t>2025-02-18</t>
  </si>
  <si>
    <t>SHP-00131</t>
  </si>
  <si>
    <t>SHP-00132</t>
  </si>
  <si>
    <t>SHP-00133</t>
  </si>
  <si>
    <t>SHP-00134</t>
  </si>
  <si>
    <t>2025-03-18</t>
  </si>
  <si>
    <t>2025-03-21</t>
  </si>
  <si>
    <t>SHP-00135</t>
  </si>
  <si>
    <t>2025-05-18</t>
  </si>
  <si>
    <t>2025-05-19</t>
  </si>
  <si>
    <t>SHP-00136</t>
  </si>
  <si>
    <t>2025-05-26</t>
  </si>
  <si>
    <t>2025-05-27</t>
  </si>
  <si>
    <t>SHP-00137</t>
  </si>
  <si>
    <t>2025-06-13</t>
  </si>
  <si>
    <t>SHP-00138</t>
  </si>
  <si>
    <t>2025-10-01</t>
  </si>
  <si>
    <t>2025-10-03</t>
  </si>
  <si>
    <t>SHP-00139</t>
  </si>
  <si>
    <t>2025-02-12</t>
  </si>
  <si>
    <t>2025-02-13</t>
  </si>
  <si>
    <t>SHP-00140</t>
  </si>
  <si>
    <t>2025-03-26</t>
  </si>
  <si>
    <t>2025-03-31</t>
  </si>
  <si>
    <t>SHP-00141</t>
  </si>
  <si>
    <t>SHP-00142</t>
  </si>
  <si>
    <t>SHP-00143</t>
  </si>
  <si>
    <t>SHP-00144</t>
  </si>
  <si>
    <t>2025-10-24</t>
  </si>
  <si>
    <t>SHP-00145</t>
  </si>
  <si>
    <t>2025-03-07</t>
  </si>
  <si>
    <t>SHP-00146</t>
  </si>
  <si>
    <t>2025-07-13</t>
  </si>
  <si>
    <t>2025-07-14</t>
  </si>
  <si>
    <t>SHP-00147</t>
  </si>
  <si>
    <t>2025-07-24</t>
  </si>
  <si>
    <t>SHP-00148</t>
  </si>
  <si>
    <t>SHP-00149</t>
  </si>
  <si>
    <t>2025-02-07</t>
  </si>
  <si>
    <t>2025-02-08</t>
  </si>
  <si>
    <t>SHP-00150</t>
  </si>
  <si>
    <t>SHP-00151</t>
  </si>
  <si>
    <t>2025-07-02</t>
  </si>
  <si>
    <t>SHP-00152</t>
  </si>
  <si>
    <t>2025-09-16</t>
  </si>
  <si>
    <t>2025-09-18</t>
  </si>
  <si>
    <t>SHP-00153</t>
  </si>
  <si>
    <t>2025-01-07</t>
  </si>
  <si>
    <t>SHP-00154</t>
  </si>
  <si>
    <t>2025-05-05</t>
  </si>
  <si>
    <t>SHP-00155</t>
  </si>
  <si>
    <t>2025-09-29</t>
  </si>
  <si>
    <t>SHP-00156</t>
  </si>
  <si>
    <t>SHP-00157</t>
  </si>
  <si>
    <t>SHP-00158</t>
  </si>
  <si>
    <t>2025-02-26</t>
  </si>
  <si>
    <t>SHP-00159</t>
  </si>
  <si>
    <t>SHP-00160</t>
  </si>
  <si>
    <t>SHP-00161</t>
  </si>
  <si>
    <t>2025-12-12</t>
  </si>
  <si>
    <t>SHP-00162</t>
  </si>
  <si>
    <t>SHP-00163</t>
  </si>
  <si>
    <t>SHP-00164</t>
  </si>
  <si>
    <t>TRK-022</t>
  </si>
  <si>
    <t>SHP-00165</t>
  </si>
  <si>
    <t>2025-02-03</t>
  </si>
  <si>
    <t>SHP-00166</t>
  </si>
  <si>
    <t>SHP-00167</t>
  </si>
  <si>
    <t>SHP-00168</t>
  </si>
  <si>
    <t>2025-02-20</t>
  </si>
  <si>
    <t>SHP-00169</t>
  </si>
  <si>
    <t>SHP-00170</t>
  </si>
  <si>
    <t>SHP-00171</t>
  </si>
  <si>
    <t>SHP-00172</t>
  </si>
  <si>
    <t>2025-07-17</t>
  </si>
  <si>
    <t>SHP-00173</t>
  </si>
  <si>
    <t>2025-04-26</t>
  </si>
  <si>
    <t>SHP-00174</t>
  </si>
  <si>
    <t>2025-03-01</t>
  </si>
  <si>
    <t>SHP-00175</t>
  </si>
  <si>
    <t>2025-05-22</t>
  </si>
  <si>
    <t>SHP-00176</t>
  </si>
  <si>
    <t>2025-07-18</t>
  </si>
  <si>
    <t>SHP-00177</t>
  </si>
  <si>
    <t>SHP-00178</t>
  </si>
  <si>
    <t>2025-10-08</t>
  </si>
  <si>
    <t>SHP-00179</t>
  </si>
  <si>
    <t>SHP-00180</t>
  </si>
  <si>
    <t>SHP-00181</t>
  </si>
  <si>
    <t>2025-09-12</t>
  </si>
  <si>
    <t>2025-09-17</t>
  </si>
  <si>
    <t>SHP-00182</t>
  </si>
  <si>
    <t>SHP-00183</t>
  </si>
  <si>
    <t>SHP-00184</t>
  </si>
  <si>
    <t>2025-06-25</t>
  </si>
  <si>
    <t>2025-06-26</t>
  </si>
  <si>
    <t>SHP-00185</t>
  </si>
  <si>
    <t>2025-08-06</t>
  </si>
  <si>
    <t>SHP-00186</t>
  </si>
  <si>
    <t>2025-04-19</t>
  </si>
  <si>
    <t>2025-04-20</t>
  </si>
  <si>
    <t>SHP-00187</t>
  </si>
  <si>
    <t>SHP-00188</t>
  </si>
  <si>
    <t>SHP-00189</t>
  </si>
  <si>
    <t>2025-02-14</t>
  </si>
  <si>
    <t>SHP-00190</t>
  </si>
  <si>
    <t>SHP-00191</t>
  </si>
  <si>
    <t>2025-07-04</t>
  </si>
  <si>
    <t>SHP-00192</t>
  </si>
  <si>
    <t>2025-09-10</t>
  </si>
  <si>
    <t>2025-09-09</t>
  </si>
  <si>
    <t>SHP-00193</t>
  </si>
  <si>
    <t>2025-06-19</t>
  </si>
  <si>
    <t>SHP-00194</t>
  </si>
  <si>
    <t>2025-12-05</t>
  </si>
  <si>
    <t>SHP-00195</t>
  </si>
  <si>
    <t>SHP-00196</t>
  </si>
  <si>
    <t>SHP-00197</t>
  </si>
  <si>
    <t>SHP-00198</t>
  </si>
  <si>
    <t>2025-09-26</t>
  </si>
  <si>
    <t>2025-09-27</t>
  </si>
  <si>
    <t>SHP-00199</t>
  </si>
  <si>
    <t>SHP-00200</t>
  </si>
  <si>
    <t>2025-08-22</t>
  </si>
  <si>
    <t>SHP-00201</t>
  </si>
  <si>
    <t>SHP-00202</t>
  </si>
  <si>
    <t>2025-08-11</t>
  </si>
  <si>
    <t>SHP-00203</t>
  </si>
  <si>
    <t>SHP-00204</t>
  </si>
  <si>
    <t>2025-01-12</t>
  </si>
  <si>
    <t>SHP-00205</t>
  </si>
  <si>
    <t>SHP-00206</t>
  </si>
  <si>
    <t>2025-12-01</t>
  </si>
  <si>
    <t>SHP-00207</t>
  </si>
  <si>
    <t>2025-08-12</t>
  </si>
  <si>
    <t>2025-08-13</t>
  </si>
  <si>
    <t>SHP-00208</t>
  </si>
  <si>
    <t>SHP-00209</t>
  </si>
  <si>
    <t>2025-05-11</t>
  </si>
  <si>
    <t>2025-05-13</t>
  </si>
  <si>
    <t>SHP-00210</t>
  </si>
  <si>
    <t>2025-08-20</t>
  </si>
  <si>
    <t>2025-08-21</t>
  </si>
  <si>
    <t>SHP-00211</t>
  </si>
  <si>
    <t>SHP-00212</t>
  </si>
  <si>
    <t>2025-10-26</t>
  </si>
  <si>
    <t>SHP-00213</t>
  </si>
  <si>
    <t>2025-06-27</t>
  </si>
  <si>
    <t>SHP-00214</t>
  </si>
  <si>
    <t>2025-01-16</t>
  </si>
  <si>
    <t>SHP-00215</t>
  </si>
  <si>
    <t>SHP-00216</t>
  </si>
  <si>
    <t>SHP-00217</t>
  </si>
  <si>
    <t>SHP-00218</t>
  </si>
  <si>
    <t>2025-09-28</t>
  </si>
  <si>
    <t>SHP-00219</t>
  </si>
  <si>
    <t>SHP-00220</t>
  </si>
  <si>
    <t>2025-06-20</t>
  </si>
  <si>
    <t>2025-06-24</t>
  </si>
  <si>
    <t>SHP-00221</t>
  </si>
  <si>
    <t>2025-03-19</t>
  </si>
  <si>
    <t>SHP-00222</t>
  </si>
  <si>
    <t>2025-04-11</t>
  </si>
  <si>
    <t>SHP-00223</t>
  </si>
  <si>
    <t>SHP-00224</t>
  </si>
  <si>
    <t>SHP-00225</t>
  </si>
  <si>
    <t>SHP-00226</t>
  </si>
  <si>
    <t>SHP-00227</t>
  </si>
  <si>
    <t>2025-07-22</t>
  </si>
  <si>
    <t>SHP-00228</t>
  </si>
  <si>
    <t>SHP-00229</t>
  </si>
  <si>
    <t>SHP-00230</t>
  </si>
  <si>
    <t>2025-03-03</t>
  </si>
  <si>
    <t>2025-03-05</t>
  </si>
  <si>
    <t>SHP-00231</t>
  </si>
  <si>
    <t>2025-10-11</t>
  </si>
  <si>
    <t>2025-10-15</t>
  </si>
  <si>
    <t>SHP-00232</t>
  </si>
  <si>
    <t>SHP-00233</t>
  </si>
  <si>
    <t>SHP-00234</t>
  </si>
  <si>
    <t>SHP-00235</t>
  </si>
  <si>
    <t>2025-12-22</t>
  </si>
  <si>
    <t>2025-12-23</t>
  </si>
  <si>
    <t>SHP-00236</t>
  </si>
  <si>
    <t>SHP-00237</t>
  </si>
  <si>
    <t>SHP-00238</t>
  </si>
  <si>
    <t>2025-12-18</t>
  </si>
  <si>
    <t>2025-12-19</t>
  </si>
  <si>
    <t>SHP-00239</t>
  </si>
  <si>
    <t>SHP-00240</t>
  </si>
  <si>
    <t>SHP-00241</t>
  </si>
  <si>
    <t>2025-10-27</t>
  </si>
  <si>
    <t>SHP-00242</t>
  </si>
  <si>
    <t>SHP-00243</t>
  </si>
  <si>
    <t>2025-02-19</t>
  </si>
  <si>
    <t>SHP-00244</t>
  </si>
  <si>
    <t>2026-01-05</t>
  </si>
  <si>
    <t>SHP-00245</t>
  </si>
  <si>
    <t>2025-02-25</t>
  </si>
  <si>
    <t>SHP-00246</t>
  </si>
  <si>
    <t>2025-11-28</t>
  </si>
  <si>
    <t>2025-11-29</t>
  </si>
  <si>
    <t>SHP-00247</t>
  </si>
  <si>
    <t>SHP-00248</t>
  </si>
  <si>
    <t>SHP-00249</t>
  </si>
  <si>
    <t>SHP-00250</t>
  </si>
  <si>
    <t>SHP-00251</t>
  </si>
  <si>
    <t>SHP-00252</t>
  </si>
  <si>
    <t>2025-11-04</t>
  </si>
  <si>
    <t>2025-11-05</t>
  </si>
  <si>
    <t>SHP-00253</t>
  </si>
  <si>
    <t>2025-05-14</t>
  </si>
  <si>
    <t>SHP-00254</t>
  </si>
  <si>
    <t>SHP-00255</t>
  </si>
  <si>
    <t>2025-10-04</t>
  </si>
  <si>
    <t>SHP-00256</t>
  </si>
  <si>
    <t>SHP-00257</t>
  </si>
  <si>
    <t>SHP-00258</t>
  </si>
  <si>
    <t>SHP-00259</t>
  </si>
  <si>
    <t>SHP-00260</t>
  </si>
  <si>
    <t>SHP-00261</t>
  </si>
  <si>
    <t>SHP-00262</t>
  </si>
  <si>
    <t>2025-10-28</t>
  </si>
  <si>
    <t>SHP-00263</t>
  </si>
  <si>
    <t>SHP-00264</t>
  </si>
  <si>
    <t>SHP-00265</t>
  </si>
  <si>
    <t>SHP-00266</t>
  </si>
  <si>
    <t>SHP-00267</t>
  </si>
  <si>
    <t>2025-04-18</t>
  </si>
  <si>
    <t>2025-04-21</t>
  </si>
  <si>
    <t>SHP-00268</t>
  </si>
  <si>
    <t>2025-02-15</t>
  </si>
  <si>
    <t>SHP-00269</t>
  </si>
  <si>
    <t>2025-01-29</t>
  </si>
  <si>
    <t>2025-02-02</t>
  </si>
  <si>
    <t>SHP-00270</t>
  </si>
  <si>
    <t>SHP-00271</t>
  </si>
  <si>
    <t>SHP-00272</t>
  </si>
  <si>
    <t>SHP-00273</t>
  </si>
  <si>
    <t>SHP-00274</t>
  </si>
  <si>
    <t>SHP-00275</t>
  </si>
  <si>
    <t>2025-09-22</t>
  </si>
  <si>
    <t>SHP-00276</t>
  </si>
  <si>
    <t>SHP-00277</t>
  </si>
  <si>
    <t>2025-02-21</t>
  </si>
  <si>
    <t>SHP-00278</t>
  </si>
  <si>
    <t>SHP-00279</t>
  </si>
  <si>
    <t>SHP-00280</t>
  </si>
  <si>
    <t>2025-03-25</t>
  </si>
  <si>
    <t>2025-03-27</t>
  </si>
  <si>
    <t>SHP-00281</t>
  </si>
  <si>
    <t>SHP-00282</t>
  </si>
  <si>
    <t>SHP-00283</t>
  </si>
  <si>
    <t>SHP-00284</t>
  </si>
  <si>
    <t>2025-12-21</t>
  </si>
  <si>
    <t>SHP-00285</t>
  </si>
  <si>
    <t>SHP-00286</t>
  </si>
  <si>
    <t>SHP-00287</t>
  </si>
  <si>
    <t>2025-04-02</t>
  </si>
  <si>
    <t>2025-04-04</t>
  </si>
  <si>
    <t>SHP-00288</t>
  </si>
  <si>
    <t>2025-07-21</t>
  </si>
  <si>
    <t>SHP-00289</t>
  </si>
  <si>
    <t>SHP-00290</t>
  </si>
  <si>
    <t>SHP-00291</t>
  </si>
  <si>
    <t>2025-08-15</t>
  </si>
  <si>
    <t>SHP-00292</t>
  </si>
  <si>
    <t>SHP-00293</t>
  </si>
  <si>
    <t>SHP-00294</t>
  </si>
  <si>
    <t>SHP-00295</t>
  </si>
  <si>
    <t>2025-06-04</t>
  </si>
  <si>
    <t>2025-06-09</t>
  </si>
  <si>
    <t>SHP-00296</t>
  </si>
  <si>
    <t>2025-06-18</t>
  </si>
  <si>
    <t>SHP-00297</t>
  </si>
  <si>
    <t>SHP-00298</t>
  </si>
  <si>
    <t>SHP-00299</t>
  </si>
  <si>
    <t>2025-04-09</t>
  </si>
  <si>
    <t>SHP-00300</t>
  </si>
  <si>
    <t>SHP-00301</t>
  </si>
  <si>
    <t>SHP-00302</t>
  </si>
  <si>
    <t>SHP-00303</t>
  </si>
  <si>
    <t>SHP-00304</t>
  </si>
  <si>
    <t>SHP-00305</t>
  </si>
  <si>
    <t>SHP-00306</t>
  </si>
  <si>
    <t>SHP-00307</t>
  </si>
  <si>
    <t>SHP-00308</t>
  </si>
  <si>
    <t>SHP-00309</t>
  </si>
  <si>
    <t>SHP-00310</t>
  </si>
  <si>
    <t>SHP-00311</t>
  </si>
  <si>
    <t>SHP-00312</t>
  </si>
  <si>
    <t>SHP-00313</t>
  </si>
  <si>
    <t>SHP-00314</t>
  </si>
  <si>
    <t>SHP-00315</t>
  </si>
  <si>
    <t>SHP-00316</t>
  </si>
  <si>
    <t>SHP-00317</t>
  </si>
  <si>
    <t>SHP-00318</t>
  </si>
  <si>
    <t>SHP-00319</t>
  </si>
  <si>
    <t>SHP-00320</t>
  </si>
  <si>
    <t>SHP-00321</t>
  </si>
  <si>
    <t>SHP-00322</t>
  </si>
  <si>
    <t>SHP-00323</t>
  </si>
  <si>
    <t>SHP-00324</t>
  </si>
  <si>
    <t>SHP-00325</t>
  </si>
  <si>
    <t>SHP-00326</t>
  </si>
  <si>
    <t>2025-08-31</t>
  </si>
  <si>
    <t>SHP-00327</t>
  </si>
  <si>
    <t>SHP-00328</t>
  </si>
  <si>
    <t>2025-03-29</t>
  </si>
  <si>
    <t>SHP-00329</t>
  </si>
  <si>
    <t>2025-06-15</t>
  </si>
  <si>
    <t>SHP-00330</t>
  </si>
  <si>
    <t>SHP-00331</t>
  </si>
  <si>
    <t>SHP-00332</t>
  </si>
  <si>
    <t>SHP-00333</t>
  </si>
  <si>
    <t>2025-12-14</t>
  </si>
  <si>
    <t>SHP-00334</t>
  </si>
  <si>
    <t>SHP-00335</t>
  </si>
  <si>
    <t>SHP-00336</t>
  </si>
  <si>
    <t>SHP-00337</t>
  </si>
  <si>
    <t>SHP-00338</t>
  </si>
  <si>
    <t>SHP-00339</t>
  </si>
  <si>
    <t>SHP-00340</t>
  </si>
  <si>
    <t>SHP-00341</t>
  </si>
  <si>
    <t>SHP-00342</t>
  </si>
  <si>
    <t>SHP-00343</t>
  </si>
  <si>
    <t>SHP-00344</t>
  </si>
  <si>
    <t>SHP-00345</t>
  </si>
  <si>
    <t>SHP-00346</t>
  </si>
  <si>
    <t>SHP-00347</t>
  </si>
  <si>
    <t>SHP-00348</t>
  </si>
  <si>
    <t>SHP-00349</t>
  </si>
  <si>
    <t>2025-10-13</t>
  </si>
  <si>
    <t>SHP-00350</t>
  </si>
  <si>
    <t>2025-07-28</t>
  </si>
  <si>
    <t>SHP-00351</t>
  </si>
  <si>
    <t>2025-08-17</t>
  </si>
  <si>
    <t>SHP-00352</t>
  </si>
  <si>
    <t>SHP-00353</t>
  </si>
  <si>
    <t>SHP-00354</t>
  </si>
  <si>
    <t>SHP-00355</t>
  </si>
  <si>
    <t>SHP-00356</t>
  </si>
  <si>
    <t>SHP-00357</t>
  </si>
  <si>
    <t>SHP-00358</t>
  </si>
  <si>
    <t>SHP-00359</t>
  </si>
  <si>
    <t>SHP-00360</t>
  </si>
  <si>
    <t>SHP-00361</t>
  </si>
  <si>
    <t>SHP-00362</t>
  </si>
  <si>
    <t>SHP-00363</t>
  </si>
  <si>
    <t>SHP-00364</t>
  </si>
  <si>
    <t>SHP-00365</t>
  </si>
  <si>
    <t>SHP-00366</t>
  </si>
  <si>
    <t>SHP-00367</t>
  </si>
  <si>
    <t>SHP-00368</t>
  </si>
  <si>
    <t>SHP-00369</t>
  </si>
  <si>
    <t>SHP-00370</t>
  </si>
  <si>
    <t>2025-09-14</t>
  </si>
  <si>
    <t>SHP-00371</t>
  </si>
  <si>
    <t>SHP-00372</t>
  </si>
  <si>
    <t>SHP-00373</t>
  </si>
  <si>
    <t>2025-03-11</t>
  </si>
  <si>
    <t>SHP-00374</t>
  </si>
  <si>
    <t>SHP-00375</t>
  </si>
  <si>
    <t>SHP-00376</t>
  </si>
  <si>
    <t>SHP-00377</t>
  </si>
  <si>
    <t>2025-05-12</t>
  </si>
  <si>
    <t>SHP-00378</t>
  </si>
  <si>
    <t>2025-01-05</t>
  </si>
  <si>
    <t>SHP-00379</t>
  </si>
  <si>
    <t>SHP-00380</t>
  </si>
  <si>
    <t>SHP-00381</t>
  </si>
  <si>
    <t>SHP-00382</t>
  </si>
  <si>
    <t>SHP-00383</t>
  </si>
  <si>
    <t>SHP-00384</t>
  </si>
  <si>
    <t>SHP-00385</t>
  </si>
  <si>
    <t>SHP-00386</t>
  </si>
  <si>
    <t>SHP-00387</t>
  </si>
  <si>
    <t>SHP-00388</t>
  </si>
  <si>
    <t>SHP-00389</t>
  </si>
  <si>
    <t>SHP-00390</t>
  </si>
  <si>
    <t>SHP-00391</t>
  </si>
  <si>
    <t>SHP-00392</t>
  </si>
  <si>
    <t>SHP-00393</t>
  </si>
  <si>
    <t>SHP-00394</t>
  </si>
  <si>
    <t>SHP-00395</t>
  </si>
  <si>
    <t>SHP-00396</t>
  </si>
  <si>
    <t>SHP-00397</t>
  </si>
  <si>
    <t>SHP-00398</t>
  </si>
  <si>
    <t>SHP-00399</t>
  </si>
  <si>
    <t>SHP-00400</t>
  </si>
  <si>
    <t>SHP-00401</t>
  </si>
  <si>
    <t>SHP-00402</t>
  </si>
  <si>
    <t>SHP-00403</t>
  </si>
  <si>
    <t>2025-08-28</t>
  </si>
  <si>
    <t>SHP-00404</t>
  </si>
  <si>
    <t>SHP-00405</t>
  </si>
  <si>
    <t>SHP-00406</t>
  </si>
  <si>
    <t>SHP-00407</t>
  </si>
  <si>
    <t>SHP-00408</t>
  </si>
  <si>
    <t>SHP-00409</t>
  </si>
  <si>
    <t>SHP-00410</t>
  </si>
  <si>
    <t>SHP-00411</t>
  </si>
  <si>
    <t>SHP-00412</t>
  </si>
  <si>
    <t>2025-10-06</t>
  </si>
  <si>
    <t>SHP-00413</t>
  </si>
  <si>
    <t>2025-03-22</t>
  </si>
  <si>
    <t>SHP-00414</t>
  </si>
  <si>
    <t>SHP-00415</t>
  </si>
  <si>
    <t>SHP-00416</t>
  </si>
  <si>
    <t>SHP-00417</t>
  </si>
  <si>
    <t>SHP-00418</t>
  </si>
  <si>
    <t>SHP-00419</t>
  </si>
  <si>
    <t>2025-01-20</t>
  </si>
  <si>
    <t>SHP-00420</t>
  </si>
  <si>
    <t>SHP-00421</t>
  </si>
  <si>
    <t>2025-02-06</t>
  </si>
  <si>
    <t>SHP-00422</t>
  </si>
  <si>
    <t>2025-01-28</t>
  </si>
  <si>
    <t>SHP-00423</t>
  </si>
  <si>
    <t>SHP-00424</t>
  </si>
  <si>
    <t>SHP-00425</t>
  </si>
  <si>
    <t>SHP-00426</t>
  </si>
  <si>
    <t>SHP-00427</t>
  </si>
  <si>
    <t>SHP-00428</t>
  </si>
  <si>
    <t>SHP-00429</t>
  </si>
  <si>
    <t>SHP-00430</t>
  </si>
  <si>
    <t>SHP-00431</t>
  </si>
  <si>
    <t>SHP-00432</t>
  </si>
  <si>
    <t>SHP-00433</t>
  </si>
  <si>
    <t>SHP-00434</t>
  </si>
  <si>
    <t>SHP-00435</t>
  </si>
  <si>
    <t>SHP-00436</t>
  </si>
  <si>
    <t>SHP-00437</t>
  </si>
  <si>
    <t>SHP-00438</t>
  </si>
  <si>
    <t>SHP-00439</t>
  </si>
  <si>
    <t>2025-03-23</t>
  </si>
  <si>
    <t>SHP-00440</t>
  </si>
  <si>
    <t>SHP-00441</t>
  </si>
  <si>
    <t>SHP-00442</t>
  </si>
  <si>
    <t>SHP-00443</t>
  </si>
  <si>
    <t>SHP-00444</t>
  </si>
  <si>
    <t>SHP-00445</t>
  </si>
  <si>
    <t>SHP-00446</t>
  </si>
  <si>
    <t>SHP-00447</t>
  </si>
  <si>
    <t>SHP-00448</t>
  </si>
  <si>
    <t>SHP-00449</t>
  </si>
  <si>
    <t>SHP-00450</t>
  </si>
  <si>
    <t>SHP-00451</t>
  </si>
  <si>
    <t>SHP-00452</t>
  </si>
  <si>
    <t>SHP-00453</t>
  </si>
  <si>
    <t>SHP-00454</t>
  </si>
  <si>
    <t>SHP-00455</t>
  </si>
  <si>
    <t>SHP-00456</t>
  </si>
  <si>
    <t>SHP-00457</t>
  </si>
  <si>
    <t>SHP-00458</t>
  </si>
  <si>
    <t>SHP-00459</t>
  </si>
  <si>
    <t>SHP-00460</t>
  </si>
  <si>
    <t>SHP-00461</t>
  </si>
  <si>
    <t>SHP-00462</t>
  </si>
  <si>
    <t>SHP-00463</t>
  </si>
  <si>
    <t>2025-04-06</t>
  </si>
  <si>
    <t>SHP-00464</t>
  </si>
  <si>
    <t>SHP-00465</t>
  </si>
  <si>
    <t>SHP-00466</t>
  </si>
  <si>
    <t>SHP-00467</t>
  </si>
  <si>
    <t>2025-01-26</t>
  </si>
  <si>
    <t>2025-01-27</t>
  </si>
  <si>
    <t>SHP-00468</t>
  </si>
  <si>
    <t>SHP-00469</t>
  </si>
  <si>
    <t>SHP-00470</t>
  </si>
  <si>
    <t>SHP-00471</t>
  </si>
  <si>
    <t>SHP-00472</t>
  </si>
  <si>
    <t>SHP-00473</t>
  </si>
  <si>
    <t>SHP-00474</t>
  </si>
  <si>
    <t>SHP-00475</t>
  </si>
  <si>
    <t>SHP-00476</t>
  </si>
  <si>
    <t>SHP-00477</t>
  </si>
  <si>
    <t>SHP-00478</t>
  </si>
  <si>
    <t>SHP-00479</t>
  </si>
  <si>
    <t>SHP-00480</t>
  </si>
  <si>
    <t>SHP-00481</t>
  </si>
  <si>
    <t>2025-02-23</t>
  </si>
  <si>
    <t>SHP-00482</t>
  </si>
  <si>
    <t>SHP-00483</t>
  </si>
  <si>
    <t>SHP-00484</t>
  </si>
  <si>
    <t>SHP-00485</t>
  </si>
  <si>
    <t>2025-03-08</t>
  </si>
  <si>
    <t>SHP-00486</t>
  </si>
  <si>
    <t>SHP-00487</t>
  </si>
  <si>
    <t>2025-05-21</t>
  </si>
  <si>
    <t>SHP-00488</t>
  </si>
  <si>
    <t>2025-04-22</t>
  </si>
  <si>
    <t>SHP-00489</t>
  </si>
  <si>
    <t>SHP-00490</t>
  </si>
  <si>
    <t>SHP-00491</t>
  </si>
  <si>
    <t>SHP-00492</t>
  </si>
  <si>
    <t>SHP-00493</t>
  </si>
  <si>
    <t>SHP-00494</t>
  </si>
  <si>
    <t>SHP-00495</t>
  </si>
  <si>
    <t>SHP-00496</t>
  </si>
  <si>
    <t>SHP-00497</t>
  </si>
  <si>
    <t>SHP-00498</t>
  </si>
  <si>
    <t>SHP-00499</t>
  </si>
  <si>
    <t>2025-09-02</t>
  </si>
  <si>
    <t>SHP-00500</t>
  </si>
  <si>
    <t>SHP-00501</t>
  </si>
  <si>
    <t>SHP-00502</t>
  </si>
  <si>
    <t>SHP-00503</t>
  </si>
  <si>
    <t>SHP-00504</t>
  </si>
  <si>
    <t>SHP-00505</t>
  </si>
  <si>
    <t>SHP-00506</t>
  </si>
  <si>
    <t>SHP-00507</t>
  </si>
  <si>
    <t>SHP-00508</t>
  </si>
  <si>
    <t>SHP-00509</t>
  </si>
  <si>
    <t>SHP-00510</t>
  </si>
  <si>
    <t>SHP-00511</t>
  </si>
  <si>
    <t>SHP-00512</t>
  </si>
  <si>
    <t>SHP-00513</t>
  </si>
  <si>
    <t>SHP-00514</t>
  </si>
  <si>
    <t>SHP-00515</t>
  </si>
  <si>
    <t>SHP-00516</t>
  </si>
  <si>
    <t>SHP-00517</t>
  </si>
  <si>
    <t>SHP-00518</t>
  </si>
  <si>
    <t>SHP-00519</t>
  </si>
  <si>
    <t>SHP-00520</t>
  </si>
  <si>
    <t>SHP-00521</t>
  </si>
  <si>
    <t>SHP-00522</t>
  </si>
  <si>
    <t>SHP-00523</t>
  </si>
  <si>
    <t>SHP-00524</t>
  </si>
  <si>
    <t>2025-03-24</t>
  </si>
  <si>
    <t>SHP-00525</t>
  </si>
  <si>
    <t>SHP-00526</t>
  </si>
  <si>
    <t>SHP-00527</t>
  </si>
  <si>
    <t>SHP-00528</t>
  </si>
  <si>
    <t>SHP-00529</t>
  </si>
  <si>
    <t>SHP-00530</t>
  </si>
  <si>
    <t>SHP-00531</t>
  </si>
  <si>
    <t>SHP-00532</t>
  </si>
  <si>
    <t>SHP-00533</t>
  </si>
  <si>
    <t>SHP-00534</t>
  </si>
  <si>
    <t>SHP-00535</t>
  </si>
  <si>
    <t>SHP-00536</t>
  </si>
  <si>
    <t>SHP-00537</t>
  </si>
  <si>
    <t>SHP-00538</t>
  </si>
  <si>
    <t>SHP-00539</t>
  </si>
  <si>
    <t>SHP-00540</t>
  </si>
  <si>
    <t>SHP-00541</t>
  </si>
  <si>
    <t>2025-05-16</t>
  </si>
  <si>
    <t>SHP-00542</t>
  </si>
  <si>
    <t>SHP-00543</t>
  </si>
  <si>
    <t>SHP-00544</t>
  </si>
  <si>
    <t>SHP-00545</t>
  </si>
  <si>
    <t>SHP-00546</t>
  </si>
  <si>
    <t>SHP-00547</t>
  </si>
  <si>
    <t>SHP-00548</t>
  </si>
  <si>
    <t>SHP-00549</t>
  </si>
  <si>
    <t>SHP-00550</t>
  </si>
  <si>
    <t>SHP-00551</t>
  </si>
  <si>
    <t>SHP-00552</t>
  </si>
  <si>
    <t>SHP-00553</t>
  </si>
  <si>
    <t>SHP-00554</t>
  </si>
  <si>
    <t>SHP-00555</t>
  </si>
  <si>
    <t>SHP-00556</t>
  </si>
  <si>
    <t>SHP-00557</t>
  </si>
  <si>
    <t>SHP-00558</t>
  </si>
  <si>
    <t>SHP-00559</t>
  </si>
  <si>
    <t>SHP-00560</t>
  </si>
  <si>
    <t>SHP-00561</t>
  </si>
  <si>
    <t>SHP-00562</t>
  </si>
  <si>
    <t>SHP-00563</t>
  </si>
  <si>
    <t>SHP-00564</t>
  </si>
  <si>
    <t>SHP-00565</t>
  </si>
  <si>
    <t>SHP-00566</t>
  </si>
  <si>
    <t>SHP-00567</t>
  </si>
  <si>
    <t>SHP-00568</t>
  </si>
  <si>
    <t>SHP-00569</t>
  </si>
  <si>
    <t>SHP-00570</t>
  </si>
  <si>
    <t>2025-05-20</t>
  </si>
  <si>
    <t>SHP-00571</t>
  </si>
  <si>
    <t>SHP-00572</t>
  </si>
  <si>
    <t>SHP-00573</t>
  </si>
  <si>
    <t>SHP-00574</t>
  </si>
  <si>
    <t>SHP-00575</t>
  </si>
  <si>
    <t>SHP-00576</t>
  </si>
  <si>
    <t>SHP-00577</t>
  </si>
  <si>
    <t>SHP-00578</t>
  </si>
  <si>
    <t>SHP-00579</t>
  </si>
  <si>
    <t>SHP-00580</t>
  </si>
  <si>
    <t>SHP-00581</t>
  </si>
  <si>
    <t>2025-01-02</t>
  </si>
  <si>
    <t>SHP-00582</t>
  </si>
  <si>
    <t>SHP-00583</t>
  </si>
  <si>
    <t>SHP-00584</t>
  </si>
  <si>
    <t>SHP-00585</t>
  </si>
  <si>
    <t>SHP-00586</t>
  </si>
  <si>
    <t>SHP-00587</t>
  </si>
  <si>
    <t>SHP-00588</t>
  </si>
  <si>
    <t>SHP-00589</t>
  </si>
  <si>
    <t>SHP-00590</t>
  </si>
  <si>
    <t>SHP-00591</t>
  </si>
  <si>
    <t>SHP-00592</t>
  </si>
  <si>
    <t>SHP-00593</t>
  </si>
  <si>
    <t>SHP-00594</t>
  </si>
  <si>
    <t>SHP-00595</t>
  </si>
  <si>
    <t>SHP-00596</t>
  </si>
  <si>
    <t>SHP-00597</t>
  </si>
  <si>
    <t>SHP-00598</t>
  </si>
  <si>
    <t>SHP-00599</t>
  </si>
  <si>
    <t>SHP-00600</t>
  </si>
  <si>
    <t>SHP-00601</t>
  </si>
  <si>
    <t>SHP-00602</t>
  </si>
  <si>
    <t>SHP-00603</t>
  </si>
  <si>
    <t>SHP-00604</t>
  </si>
  <si>
    <t>SHP-00605</t>
  </si>
  <si>
    <t>SHP-00606</t>
  </si>
  <si>
    <t>SHP-00607</t>
  </si>
  <si>
    <t>SHP-00608</t>
  </si>
  <si>
    <t>SHP-00609</t>
  </si>
  <si>
    <t>SHP-00610</t>
  </si>
  <si>
    <t>SHP-00611</t>
  </si>
  <si>
    <t>SHP-00612</t>
  </si>
  <si>
    <t>SHP-00613</t>
  </si>
  <si>
    <t>SHP-00614</t>
  </si>
  <si>
    <t>SHP-00615</t>
  </si>
  <si>
    <t>SHP-00616</t>
  </si>
  <si>
    <t>SHP-00617</t>
  </si>
  <si>
    <t>SHP-00618</t>
  </si>
  <si>
    <t>SHP-00619</t>
  </si>
  <si>
    <t>SHP-00620</t>
  </si>
  <si>
    <t>SHP-00621</t>
  </si>
  <si>
    <t>SHP-00622</t>
  </si>
  <si>
    <t>SHP-00623</t>
  </si>
  <si>
    <t>SHP-00624</t>
  </si>
  <si>
    <t>SHP-00625</t>
  </si>
  <si>
    <t>SHP-00626</t>
  </si>
  <si>
    <t>SHP-00627</t>
  </si>
  <si>
    <t>SHP-00628</t>
  </si>
  <si>
    <t>SHP-00629</t>
  </si>
  <si>
    <t>SHP-00630</t>
  </si>
  <si>
    <t>SHP-00631</t>
  </si>
  <si>
    <t>SHP-00632</t>
  </si>
  <si>
    <t>SHP-00633</t>
  </si>
  <si>
    <t>SHP-00634</t>
  </si>
  <si>
    <t>SHP-00635</t>
  </si>
  <si>
    <t>SHP-00636</t>
  </si>
  <si>
    <t>SHP-00637</t>
  </si>
  <si>
    <t>SHP-00638</t>
  </si>
  <si>
    <t>SHP-00639</t>
  </si>
  <si>
    <t>SHP-00640</t>
  </si>
  <si>
    <t>SHP-00641</t>
  </si>
  <si>
    <t>SHP-00642</t>
  </si>
  <si>
    <t>2025-11-30</t>
  </si>
  <si>
    <t>SHP-00643</t>
  </si>
  <si>
    <t>SHP-00644</t>
  </si>
  <si>
    <t>SHP-00645</t>
  </si>
  <si>
    <t>SHP-00646</t>
  </si>
  <si>
    <t>SHP-00647</t>
  </si>
  <si>
    <t>SHP-00648</t>
  </si>
  <si>
    <t>SHP-00649</t>
  </si>
  <si>
    <t>SHP-00650</t>
  </si>
  <si>
    <t>SHP-00651</t>
  </si>
  <si>
    <t>SHP-00652</t>
  </si>
  <si>
    <t>SHP-00653</t>
  </si>
  <si>
    <t>SHP-00654</t>
  </si>
  <si>
    <t>SHP-00655</t>
  </si>
  <si>
    <t>SHP-00656</t>
  </si>
  <si>
    <t>SHP-00657</t>
  </si>
  <si>
    <t>SHP-00658</t>
  </si>
  <si>
    <t>SHP-00659</t>
  </si>
  <si>
    <t>SHP-00660</t>
  </si>
  <si>
    <t>SHP-00661</t>
  </si>
  <si>
    <t>SHP-00662</t>
  </si>
  <si>
    <t>SHP-00663</t>
  </si>
  <si>
    <t>SHP-00664</t>
  </si>
  <si>
    <t>SHP-00665</t>
  </si>
  <si>
    <t>SHP-00666</t>
  </si>
  <si>
    <t>SHP-00667</t>
  </si>
  <si>
    <t>SHP-00668</t>
  </si>
  <si>
    <t>SHP-00669</t>
  </si>
  <si>
    <t>2025-11-25</t>
  </si>
  <si>
    <t>SHP-00670</t>
  </si>
  <si>
    <t>SHP-00671</t>
  </si>
  <si>
    <t>SHP-00672</t>
  </si>
  <si>
    <t>2025-02-10</t>
  </si>
  <si>
    <t>SHP-00673</t>
  </si>
  <si>
    <t>SHP-00674</t>
  </si>
  <si>
    <t>SHP-00675</t>
  </si>
  <si>
    <t>SHP-00676</t>
  </si>
  <si>
    <t>SHP-00677</t>
  </si>
  <si>
    <t>SHP-00678</t>
  </si>
  <si>
    <t>SHP-00679</t>
  </si>
  <si>
    <t>SHP-00680</t>
  </si>
  <si>
    <t>SHP-00681</t>
  </si>
  <si>
    <t>SHP-00682</t>
  </si>
  <si>
    <t>SHP-00683</t>
  </si>
  <si>
    <t>SHP-00684</t>
  </si>
  <si>
    <t>SHP-00685</t>
  </si>
  <si>
    <t>SHP-00686</t>
  </si>
  <si>
    <t>SHP-00687</t>
  </si>
  <si>
    <t>SHP-00688</t>
  </si>
  <si>
    <t>SHP-00689</t>
  </si>
  <si>
    <t>SHP-00690</t>
  </si>
  <si>
    <t>SHP-00691</t>
  </si>
  <si>
    <t>SHP-00692</t>
  </si>
  <si>
    <t>SHP-00693</t>
  </si>
  <si>
    <t>SHP-00694</t>
  </si>
  <si>
    <t>SHP-00695</t>
  </si>
  <si>
    <t>SHP-00696</t>
  </si>
  <si>
    <t>SHP-00697</t>
  </si>
  <si>
    <t>2025-01-04</t>
  </si>
  <si>
    <t>SHP-00698</t>
  </si>
  <si>
    <t>SHP-00699</t>
  </si>
  <si>
    <t>SHP-00700</t>
  </si>
  <si>
    <t>SHP-00701</t>
  </si>
  <si>
    <t>SHP-00702</t>
  </si>
  <si>
    <t>SHP-00703</t>
  </si>
  <si>
    <t>SHP-00704</t>
  </si>
  <si>
    <t>SHP-00705</t>
  </si>
  <si>
    <t>SHP-00706</t>
  </si>
  <si>
    <t>SHP-00707</t>
  </si>
  <si>
    <t>SHP-00708</t>
  </si>
  <si>
    <t>SHP-00709</t>
  </si>
  <si>
    <t>SHP-00710</t>
  </si>
  <si>
    <t>SHP-00711</t>
  </si>
  <si>
    <t>SHP-00712</t>
  </si>
  <si>
    <t>SHP-00713</t>
  </si>
  <si>
    <t>SHP-00714</t>
  </si>
  <si>
    <t>SHP-00715</t>
  </si>
  <si>
    <t>SHP-00716</t>
  </si>
  <si>
    <t>SHP-00717</t>
  </si>
  <si>
    <t>SHP-00718</t>
  </si>
  <si>
    <t>2025-10-31</t>
  </si>
  <si>
    <t>SHP-00719</t>
  </si>
  <si>
    <t>SHP-00720</t>
  </si>
  <si>
    <t>SHP-00721</t>
  </si>
  <si>
    <t>SHP-00722</t>
  </si>
  <si>
    <t>SHP-00723</t>
  </si>
  <si>
    <t>2025-08-29</t>
  </si>
  <si>
    <t>SHP-00724</t>
  </si>
  <si>
    <t>SHP-00725</t>
  </si>
  <si>
    <t>SHP-00726</t>
  </si>
  <si>
    <t>SHP-00727</t>
  </si>
  <si>
    <t>SHP-00728</t>
  </si>
  <si>
    <t>SHP-00729</t>
  </si>
  <si>
    <t>SHP-00730</t>
  </si>
  <si>
    <t>SHP-00731</t>
  </si>
  <si>
    <t>SHP-00732</t>
  </si>
  <si>
    <t>SHP-00733</t>
  </si>
  <si>
    <t>SHP-00734</t>
  </si>
  <si>
    <t>SHP-00735</t>
  </si>
  <si>
    <t>SHP-00736</t>
  </si>
  <si>
    <t>SHP-00737</t>
  </si>
  <si>
    <t>SHP-00738</t>
  </si>
  <si>
    <t>SHP-00739</t>
  </si>
  <si>
    <t>SHP-00740</t>
  </si>
  <si>
    <t>SHP-00741</t>
  </si>
  <si>
    <t>SHP-00742</t>
  </si>
  <si>
    <t>SHP-00743</t>
  </si>
  <si>
    <t>SHP-00744</t>
  </si>
  <si>
    <t>SHP-00745</t>
  </si>
  <si>
    <t>SHP-00746</t>
  </si>
  <si>
    <t>SHP-00747</t>
  </si>
  <si>
    <t>SHP-00748</t>
  </si>
  <si>
    <t>SHP-00749</t>
  </si>
  <si>
    <t>SHP-00750</t>
  </si>
  <si>
    <t>SHP-00751</t>
  </si>
  <si>
    <t>SHP-00752</t>
  </si>
  <si>
    <t>SHP-00753</t>
  </si>
  <si>
    <t>SHP-00754</t>
  </si>
  <si>
    <t>SHP-00755</t>
  </si>
  <si>
    <t>SHP-00756</t>
  </si>
  <si>
    <t>SHP-00757</t>
  </si>
  <si>
    <t>SHP-00758</t>
  </si>
  <si>
    <t>SHP-00759</t>
  </si>
  <si>
    <t>SHP-00760</t>
  </si>
  <si>
    <t>SHP-00761</t>
  </si>
  <si>
    <t>SHP-00762</t>
  </si>
  <si>
    <t>SHP-00763</t>
  </si>
  <si>
    <t>SHP-00764</t>
  </si>
  <si>
    <t>SHP-00765</t>
  </si>
  <si>
    <t>SHP-00766</t>
  </si>
  <si>
    <t>SHP-00767</t>
  </si>
  <si>
    <t>SHP-00768</t>
  </si>
  <si>
    <t>SHP-00769</t>
  </si>
  <si>
    <t>SHP-00770</t>
  </si>
  <si>
    <t>SHP-00771</t>
  </si>
  <si>
    <t>SHP-00772</t>
  </si>
  <si>
    <t>SHP-00773</t>
  </si>
  <si>
    <t>SHP-00774</t>
  </si>
  <si>
    <t>SHP-00775</t>
  </si>
  <si>
    <t>SHP-00776</t>
  </si>
  <si>
    <t>SHP-00777</t>
  </si>
  <si>
    <t>SHP-00778</t>
  </si>
  <si>
    <t>SHP-00779</t>
  </si>
  <si>
    <t>SHP-00780</t>
  </si>
  <si>
    <t>SHP-00781</t>
  </si>
  <si>
    <t>SHP-00782</t>
  </si>
  <si>
    <t>SHP-00783</t>
  </si>
  <si>
    <t>SHP-00784</t>
  </si>
  <si>
    <t>SHP-00785</t>
  </si>
  <si>
    <t>SHP-00786</t>
  </si>
  <si>
    <t>SHP-00787</t>
  </si>
  <si>
    <t>SHP-00788</t>
  </si>
  <si>
    <t>SHP-00789</t>
  </si>
  <si>
    <t>SHP-00790</t>
  </si>
  <si>
    <t>SHP-00791</t>
  </si>
  <si>
    <t>SHP-00792</t>
  </si>
  <si>
    <t>SHP-00793</t>
  </si>
  <si>
    <t>SHP-00794</t>
  </si>
  <si>
    <t>SHP-00795</t>
  </si>
  <si>
    <t>SHP-00796</t>
  </si>
  <si>
    <t>SHP-00797</t>
  </si>
  <si>
    <t>SHP-00798</t>
  </si>
  <si>
    <t>SHP-00799</t>
  </si>
  <si>
    <t>SHP-00800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</si>
</sst>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yyyy"/>
    <numFmt numFmtId="165" formatCode="_([$KES]\ * #,##0.00_);_([$KES]\ * \(#,##0.00\);_([$KES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415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2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0546-8525-498C-8173-D2FE939269E4}">
  <dimension ref="A1:S801"/>
  <sheetViews>
    <sheetView tabSelected="1" topLeftCell="A773" workbookViewId="0">
      <selection activeCell="M790" sqref="M790"/>
    </sheetView>
  </sheetViews>
  <sheetFormatPr defaultRowHeight="14.4" x14ac:dyDescent="0.3"/>
  <cols>
    <col min="3" max="3" width="14.33203125" bestFit="1" customWidth="1"/>
    <col min="10" max="10" width="11" bestFit="1" customWidth="1"/>
    <col min="11" max="11" width="16" bestFit="1" customWidth="1"/>
    <col min="13" max="13" width="9.5546875" bestFit="1" customWidth="1"/>
    <col min="14" max="14" width="14.33203125" bestFit="1" customWidth="1"/>
    <col min="18" max="18" width="13.6640625" style="7" bestFit="1" customWidth="1"/>
    <col min="19" max="19" width="16.109375" style="7" bestFit="1" customWidth="1"/>
  </cols>
  <sheetData>
    <row r="1" spans="1:19" ht="43.2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8" t="s">
        <v>18</v>
      </c>
    </row>
    <row r="2" spans="1:19" x14ac:dyDescent="0.3">
      <c r="A2" t="s">
        <v>19</v>
      </c>
      <c r="B2" s="5" t="s">
        <v>20</v>
      </c>
      <c r="C2" s="6">
        <f>DATE(YEAR(B2), MONTH(B2), 1)</f>
        <v>45748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1086</v>
      </c>
      <c r="J2" s="7">
        <v>742.25</v>
      </c>
      <c r="K2" s="7">
        <v>806083.5</v>
      </c>
      <c r="L2">
        <v>406</v>
      </c>
      <c r="M2" t="s">
        <v>26</v>
      </c>
      <c r="N2" s="6">
        <f>DATE(YEAR(M2), MONTH(M2),1)</f>
        <v>45748</v>
      </c>
      <c r="O2" t="s">
        <v>27</v>
      </c>
      <c r="P2" t="str">
        <f>TEXT(O2, "mmmm yyyy")</f>
        <v>May 2025</v>
      </c>
      <c r="Q2" t="s">
        <v>28</v>
      </c>
      <c r="R2" s="7">
        <v>19455.45</v>
      </c>
      <c r="S2" s="7">
        <f>K2 +R2</f>
        <v>825538.95</v>
      </c>
    </row>
    <row r="3" spans="1:19" x14ac:dyDescent="0.3">
      <c r="A3" t="s">
        <v>29</v>
      </c>
      <c r="B3" s="5" t="s">
        <v>30</v>
      </c>
      <c r="C3" s="6">
        <f t="shared" ref="C3:C66" si="0">DATE(YEAR(B3), MONTH(B3), 1)</f>
        <v>45689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2027</v>
      </c>
      <c r="J3" s="7">
        <v>782.42</v>
      </c>
      <c r="K3" s="7">
        <v>1585965.34</v>
      </c>
      <c r="L3">
        <v>80</v>
      </c>
      <c r="M3" t="s">
        <v>36</v>
      </c>
      <c r="N3" s="6">
        <f t="shared" ref="N3:N66" si="1">DATE(YEAR(M3), MONTH(M3),1)</f>
        <v>45689</v>
      </c>
      <c r="O3" t="s">
        <v>36</v>
      </c>
      <c r="P3" t="str">
        <f t="shared" ref="P3:P66" si="2">TEXT(O3, "mmmm yyyy")</f>
        <v>February 2025</v>
      </c>
      <c r="Q3" t="s">
        <v>37</v>
      </c>
      <c r="R3" s="7">
        <v>4650.55</v>
      </c>
      <c r="S3" s="7">
        <f t="shared" ref="S3:S66" si="3">K3 +R3</f>
        <v>1590615.8900000001</v>
      </c>
    </row>
    <row r="4" spans="1:19" x14ac:dyDescent="0.3">
      <c r="A4" t="s">
        <v>38</v>
      </c>
      <c r="B4" s="5" t="s">
        <v>39</v>
      </c>
      <c r="C4" s="6">
        <f t="shared" si="0"/>
        <v>45962</v>
      </c>
      <c r="D4" t="s">
        <v>40</v>
      </c>
      <c r="E4" t="s">
        <v>22</v>
      </c>
      <c r="F4" t="s">
        <v>33</v>
      </c>
      <c r="G4" t="s">
        <v>34</v>
      </c>
      <c r="H4" t="s">
        <v>35</v>
      </c>
      <c r="I4">
        <v>758</v>
      </c>
      <c r="J4" s="7">
        <v>643.51</v>
      </c>
      <c r="K4" s="7">
        <v>487780.58</v>
      </c>
      <c r="L4">
        <v>697</v>
      </c>
      <c r="M4" t="s">
        <v>41</v>
      </c>
      <c r="N4" s="6">
        <f t="shared" si="1"/>
        <v>45962</v>
      </c>
      <c r="O4" t="s">
        <v>42</v>
      </c>
      <c r="P4" t="str">
        <f t="shared" si="2"/>
        <v>November 2025</v>
      </c>
      <c r="Q4" t="s">
        <v>28</v>
      </c>
      <c r="R4" s="7">
        <v>26836.9</v>
      </c>
      <c r="S4" s="7">
        <f t="shared" si="3"/>
        <v>514617.48000000004</v>
      </c>
    </row>
    <row r="5" spans="1:19" x14ac:dyDescent="0.3">
      <c r="A5" t="s">
        <v>43</v>
      </c>
      <c r="B5" s="5" t="s">
        <v>44</v>
      </c>
      <c r="C5" s="6">
        <f t="shared" si="0"/>
        <v>45658</v>
      </c>
      <c r="D5" t="s">
        <v>40</v>
      </c>
      <c r="E5" t="s">
        <v>32</v>
      </c>
      <c r="F5" t="s">
        <v>45</v>
      </c>
      <c r="G5" t="s">
        <v>46</v>
      </c>
      <c r="H5" t="s">
        <v>47</v>
      </c>
      <c r="I5">
        <v>2247</v>
      </c>
      <c r="J5" s="7">
        <v>178.61</v>
      </c>
      <c r="K5" s="7">
        <v>401336.67</v>
      </c>
      <c r="L5">
        <v>652</v>
      </c>
      <c r="M5" t="s">
        <v>48</v>
      </c>
      <c r="N5" s="6">
        <f t="shared" si="1"/>
        <v>45658</v>
      </c>
      <c r="O5" t="s">
        <v>49</v>
      </c>
      <c r="P5" t="str">
        <f t="shared" si="2"/>
        <v>January 2025</v>
      </c>
      <c r="Q5" t="s">
        <v>28</v>
      </c>
      <c r="R5" s="7">
        <v>33466</v>
      </c>
      <c r="S5" s="7">
        <f t="shared" si="3"/>
        <v>434802.67</v>
      </c>
    </row>
    <row r="6" spans="1:19" x14ac:dyDescent="0.3">
      <c r="A6" t="s">
        <v>50</v>
      </c>
      <c r="B6" s="5" t="s">
        <v>51</v>
      </c>
      <c r="C6" s="6">
        <f t="shared" si="0"/>
        <v>45717</v>
      </c>
      <c r="D6" t="s">
        <v>52</v>
      </c>
      <c r="E6" t="s">
        <v>53</v>
      </c>
      <c r="F6" t="s">
        <v>23</v>
      </c>
      <c r="G6" t="s">
        <v>54</v>
      </c>
      <c r="H6" t="s">
        <v>55</v>
      </c>
      <c r="I6">
        <v>256</v>
      </c>
      <c r="J6" s="7">
        <v>100.81</v>
      </c>
      <c r="K6" s="7">
        <v>25807.360000000001</v>
      </c>
      <c r="L6">
        <v>152</v>
      </c>
      <c r="M6" t="s">
        <v>56</v>
      </c>
      <c r="N6" s="6">
        <f t="shared" si="1"/>
        <v>45717</v>
      </c>
      <c r="O6" t="s">
        <v>57</v>
      </c>
      <c r="P6" t="str">
        <f t="shared" si="2"/>
        <v>March 2025</v>
      </c>
      <c r="Q6" t="s">
        <v>28</v>
      </c>
      <c r="R6" s="7">
        <v>6973.76</v>
      </c>
      <c r="S6" s="7">
        <f t="shared" si="3"/>
        <v>32781.120000000003</v>
      </c>
    </row>
    <row r="7" spans="1:19" x14ac:dyDescent="0.3">
      <c r="A7" t="s">
        <v>58</v>
      </c>
      <c r="B7" s="5" t="s">
        <v>57</v>
      </c>
      <c r="C7" s="6">
        <f t="shared" si="0"/>
        <v>45717</v>
      </c>
      <c r="D7" t="s">
        <v>40</v>
      </c>
      <c r="E7" t="s">
        <v>22</v>
      </c>
      <c r="F7" t="s">
        <v>59</v>
      </c>
      <c r="G7" t="s">
        <v>60</v>
      </c>
      <c r="H7" t="s">
        <v>61</v>
      </c>
      <c r="I7">
        <v>1140</v>
      </c>
      <c r="J7" s="7">
        <v>548.84</v>
      </c>
      <c r="K7" s="7">
        <v>625677.6</v>
      </c>
      <c r="L7">
        <v>718</v>
      </c>
      <c r="M7" t="s">
        <v>62</v>
      </c>
      <c r="N7" s="6">
        <f t="shared" si="1"/>
        <v>45717</v>
      </c>
      <c r="O7" t="s">
        <v>62</v>
      </c>
      <c r="P7" t="str">
        <f t="shared" si="2"/>
        <v>March 2025</v>
      </c>
      <c r="Q7" t="s">
        <v>37</v>
      </c>
      <c r="R7" s="7">
        <v>38968.9</v>
      </c>
      <c r="S7" s="7">
        <f t="shared" si="3"/>
        <v>664646.5</v>
      </c>
    </row>
    <row r="8" spans="1:19" x14ac:dyDescent="0.3">
      <c r="A8" t="s">
        <v>63</v>
      </c>
      <c r="B8" s="5" t="s">
        <v>64</v>
      </c>
      <c r="C8" s="6">
        <f t="shared" si="0"/>
        <v>45717</v>
      </c>
      <c r="D8" t="s">
        <v>65</v>
      </c>
      <c r="E8" t="s">
        <v>53</v>
      </c>
      <c r="F8" t="s">
        <v>33</v>
      </c>
      <c r="G8" t="s">
        <v>66</v>
      </c>
      <c r="H8" t="s">
        <v>25</v>
      </c>
      <c r="I8">
        <v>2494</v>
      </c>
      <c r="J8" s="7">
        <v>344.5</v>
      </c>
      <c r="K8" s="7">
        <v>859183</v>
      </c>
      <c r="L8">
        <v>527</v>
      </c>
      <c r="M8" t="s">
        <v>67</v>
      </c>
      <c r="N8" s="6">
        <f t="shared" si="1"/>
        <v>45717</v>
      </c>
      <c r="O8" t="s">
        <v>51</v>
      </c>
      <c r="P8" t="str">
        <f t="shared" si="2"/>
        <v>March 2025</v>
      </c>
      <c r="Q8" t="s">
        <v>28</v>
      </c>
      <c r="R8" s="7">
        <v>23343.439999999999</v>
      </c>
      <c r="S8" s="7">
        <f t="shared" si="3"/>
        <v>882526.44</v>
      </c>
    </row>
    <row r="9" spans="1:19" x14ac:dyDescent="0.3">
      <c r="A9" t="s">
        <v>68</v>
      </c>
      <c r="B9" s="5" t="s">
        <v>69</v>
      </c>
      <c r="C9" s="6">
        <f t="shared" si="0"/>
        <v>45931</v>
      </c>
      <c r="D9" t="s">
        <v>52</v>
      </c>
      <c r="E9" t="s">
        <v>70</v>
      </c>
      <c r="F9" t="s">
        <v>45</v>
      </c>
      <c r="G9" t="s">
        <v>71</v>
      </c>
      <c r="H9" t="s">
        <v>61</v>
      </c>
      <c r="I9">
        <v>2353</v>
      </c>
      <c r="J9" s="7">
        <v>581.47</v>
      </c>
      <c r="K9" s="7">
        <v>1368198.91</v>
      </c>
      <c r="L9">
        <v>33</v>
      </c>
      <c r="M9" t="s">
        <v>72</v>
      </c>
      <c r="N9" s="6">
        <f t="shared" si="1"/>
        <v>45931</v>
      </c>
      <c r="O9" t="s">
        <v>72</v>
      </c>
      <c r="P9" t="str">
        <f t="shared" si="2"/>
        <v>October 2025</v>
      </c>
      <c r="Q9" t="s">
        <v>37</v>
      </c>
      <c r="R9" s="7">
        <v>1885.39</v>
      </c>
      <c r="S9" s="7">
        <f t="shared" si="3"/>
        <v>1370084.2999999998</v>
      </c>
    </row>
    <row r="10" spans="1:19" x14ac:dyDescent="0.3">
      <c r="A10" t="s">
        <v>73</v>
      </c>
      <c r="B10" s="5" t="s">
        <v>74</v>
      </c>
      <c r="C10" s="6">
        <f t="shared" si="0"/>
        <v>45748</v>
      </c>
      <c r="D10" t="s">
        <v>31</v>
      </c>
      <c r="E10" t="s">
        <v>75</v>
      </c>
      <c r="F10" t="s">
        <v>45</v>
      </c>
      <c r="G10" t="s">
        <v>76</v>
      </c>
      <c r="H10" t="s">
        <v>77</v>
      </c>
      <c r="I10">
        <v>57</v>
      </c>
      <c r="J10" s="7">
        <v>574.82000000000005</v>
      </c>
      <c r="K10" s="7">
        <v>32764.74</v>
      </c>
      <c r="L10">
        <v>327</v>
      </c>
      <c r="M10" t="s">
        <v>78</v>
      </c>
      <c r="N10" s="6">
        <f t="shared" si="1"/>
        <v>45748</v>
      </c>
      <c r="O10" t="s">
        <v>79</v>
      </c>
      <c r="P10" t="str">
        <f t="shared" si="2"/>
        <v>April 2025</v>
      </c>
      <c r="Q10" t="s">
        <v>28</v>
      </c>
      <c r="R10" s="7">
        <v>14949.71</v>
      </c>
      <c r="S10" s="7">
        <f t="shared" si="3"/>
        <v>47714.45</v>
      </c>
    </row>
    <row r="11" spans="1:19" x14ac:dyDescent="0.3">
      <c r="A11" t="s">
        <v>80</v>
      </c>
      <c r="B11" s="5" t="s">
        <v>81</v>
      </c>
      <c r="C11" s="6">
        <f t="shared" si="0"/>
        <v>45870</v>
      </c>
      <c r="D11" t="s">
        <v>52</v>
      </c>
      <c r="E11" t="s">
        <v>75</v>
      </c>
      <c r="F11" t="s">
        <v>23</v>
      </c>
      <c r="G11" t="s">
        <v>82</v>
      </c>
      <c r="H11" t="s">
        <v>47</v>
      </c>
      <c r="I11">
        <v>2070</v>
      </c>
      <c r="J11" s="7">
        <v>515.96</v>
      </c>
      <c r="K11" s="7">
        <v>1068037.2</v>
      </c>
      <c r="L11">
        <v>44</v>
      </c>
      <c r="M11" t="s">
        <v>83</v>
      </c>
      <c r="N11" s="6">
        <f t="shared" si="1"/>
        <v>45870</v>
      </c>
      <c r="O11" t="s">
        <v>83</v>
      </c>
      <c r="P11" t="str">
        <f t="shared" si="2"/>
        <v>August 2025</v>
      </c>
      <c r="Q11" t="s">
        <v>37</v>
      </c>
      <c r="R11" s="7">
        <v>2194.5500000000002</v>
      </c>
      <c r="S11" s="7">
        <f t="shared" si="3"/>
        <v>1070231.75</v>
      </c>
    </row>
    <row r="12" spans="1:19" x14ac:dyDescent="0.3">
      <c r="A12" t="s">
        <v>84</v>
      </c>
      <c r="B12" s="5" t="s">
        <v>85</v>
      </c>
      <c r="C12" s="6">
        <f t="shared" si="0"/>
        <v>45748</v>
      </c>
      <c r="D12" t="s">
        <v>40</v>
      </c>
      <c r="E12" t="s">
        <v>70</v>
      </c>
      <c r="F12" t="s">
        <v>59</v>
      </c>
      <c r="G12" t="s">
        <v>86</v>
      </c>
      <c r="H12" t="s">
        <v>55</v>
      </c>
      <c r="I12">
        <v>194</v>
      </c>
      <c r="J12" s="7">
        <v>678.94</v>
      </c>
      <c r="K12" s="7">
        <v>131714.35999999999</v>
      </c>
      <c r="L12">
        <v>280</v>
      </c>
      <c r="M12" t="s">
        <v>26</v>
      </c>
      <c r="N12" s="6">
        <f t="shared" si="1"/>
        <v>45748</v>
      </c>
      <c r="O12" t="s">
        <v>85</v>
      </c>
      <c r="P12" t="str">
        <f t="shared" si="2"/>
        <v>April 2025</v>
      </c>
      <c r="Q12" t="s">
        <v>37</v>
      </c>
      <c r="R12" s="7">
        <v>16904.29</v>
      </c>
      <c r="S12" s="7">
        <f t="shared" si="3"/>
        <v>148618.65</v>
      </c>
    </row>
    <row r="13" spans="1:19" x14ac:dyDescent="0.3">
      <c r="A13" t="s">
        <v>87</v>
      </c>
      <c r="B13" s="5" t="s">
        <v>85</v>
      </c>
      <c r="C13" s="6">
        <f t="shared" si="0"/>
        <v>45748</v>
      </c>
      <c r="D13" t="s">
        <v>31</v>
      </c>
      <c r="E13" t="s">
        <v>53</v>
      </c>
      <c r="F13" t="s">
        <v>33</v>
      </c>
      <c r="G13" t="s">
        <v>88</v>
      </c>
      <c r="H13" t="s">
        <v>77</v>
      </c>
      <c r="I13">
        <v>215</v>
      </c>
      <c r="J13" s="7">
        <v>450.32</v>
      </c>
      <c r="K13" s="7">
        <v>96818.8</v>
      </c>
      <c r="L13">
        <v>34</v>
      </c>
      <c r="M13" t="s">
        <v>26</v>
      </c>
      <c r="N13" s="6">
        <f t="shared" si="1"/>
        <v>45748</v>
      </c>
      <c r="O13" t="s">
        <v>85</v>
      </c>
      <c r="P13" t="str">
        <f t="shared" si="2"/>
        <v>April 2025</v>
      </c>
      <c r="Q13" t="s">
        <v>37</v>
      </c>
      <c r="R13" s="7">
        <v>1212.9000000000001</v>
      </c>
      <c r="S13" s="7">
        <f t="shared" si="3"/>
        <v>98031.7</v>
      </c>
    </row>
    <row r="14" spans="1:19" x14ac:dyDescent="0.3">
      <c r="A14" t="s">
        <v>89</v>
      </c>
      <c r="B14" s="5" t="s">
        <v>90</v>
      </c>
      <c r="C14" s="6">
        <f t="shared" si="0"/>
        <v>45931</v>
      </c>
      <c r="D14" t="s">
        <v>31</v>
      </c>
      <c r="E14" t="s">
        <v>53</v>
      </c>
      <c r="F14" t="s">
        <v>33</v>
      </c>
      <c r="G14" t="s">
        <v>88</v>
      </c>
      <c r="H14" t="s">
        <v>91</v>
      </c>
      <c r="I14">
        <v>1303</v>
      </c>
      <c r="J14" s="7">
        <v>738.92</v>
      </c>
      <c r="K14" s="7">
        <v>962812.76</v>
      </c>
      <c r="L14">
        <v>645</v>
      </c>
      <c r="M14" t="s">
        <v>92</v>
      </c>
      <c r="N14" s="6">
        <f t="shared" si="1"/>
        <v>45931</v>
      </c>
      <c r="O14" t="s">
        <v>93</v>
      </c>
      <c r="P14" t="str">
        <f t="shared" si="2"/>
        <v>October 2025</v>
      </c>
      <c r="Q14" t="s">
        <v>28</v>
      </c>
      <c r="R14" s="7">
        <v>26655.26</v>
      </c>
      <c r="S14" s="7">
        <f t="shared" si="3"/>
        <v>989468.02</v>
      </c>
    </row>
    <row r="15" spans="1:19" x14ac:dyDescent="0.3">
      <c r="A15" t="s">
        <v>94</v>
      </c>
      <c r="B15" s="5" t="s">
        <v>95</v>
      </c>
      <c r="C15" s="6">
        <f t="shared" si="0"/>
        <v>45839</v>
      </c>
      <c r="D15" t="s">
        <v>96</v>
      </c>
      <c r="E15" t="s">
        <v>75</v>
      </c>
      <c r="F15" t="s">
        <v>23</v>
      </c>
      <c r="G15" t="s">
        <v>97</v>
      </c>
      <c r="H15" t="s">
        <v>91</v>
      </c>
      <c r="I15">
        <v>1839</v>
      </c>
      <c r="J15" s="7">
        <v>856.94</v>
      </c>
      <c r="K15" s="7">
        <v>1575912.66</v>
      </c>
      <c r="L15">
        <v>714</v>
      </c>
      <c r="M15" t="s">
        <v>98</v>
      </c>
      <c r="N15" s="6">
        <f t="shared" si="1"/>
        <v>45839</v>
      </c>
      <c r="O15" t="s">
        <v>99</v>
      </c>
      <c r="P15" t="str">
        <f t="shared" si="2"/>
        <v>July 2025</v>
      </c>
      <c r="Q15" t="s">
        <v>28</v>
      </c>
      <c r="R15" s="7">
        <v>41035.449999999997</v>
      </c>
      <c r="S15" s="7">
        <f t="shared" si="3"/>
        <v>1616948.1099999999</v>
      </c>
    </row>
    <row r="16" spans="1:19" x14ac:dyDescent="0.3">
      <c r="A16" t="s">
        <v>100</v>
      </c>
      <c r="B16" s="5" t="s">
        <v>101</v>
      </c>
      <c r="C16" s="6">
        <f t="shared" si="0"/>
        <v>45839</v>
      </c>
      <c r="D16" t="s">
        <v>96</v>
      </c>
      <c r="E16" t="s">
        <v>70</v>
      </c>
      <c r="F16" t="s">
        <v>23</v>
      </c>
      <c r="G16" t="s">
        <v>86</v>
      </c>
      <c r="H16" t="s">
        <v>55</v>
      </c>
      <c r="I16">
        <v>498</v>
      </c>
      <c r="J16" s="7">
        <v>103.44</v>
      </c>
      <c r="K16" s="7">
        <v>51513.120000000003</v>
      </c>
      <c r="L16">
        <v>504</v>
      </c>
      <c r="M16" t="s">
        <v>102</v>
      </c>
      <c r="N16" s="6">
        <f t="shared" si="1"/>
        <v>45839</v>
      </c>
      <c r="O16" t="s">
        <v>103</v>
      </c>
      <c r="P16" t="str">
        <f t="shared" si="2"/>
        <v>July 2025</v>
      </c>
      <c r="Q16" t="s">
        <v>28</v>
      </c>
      <c r="R16" s="7">
        <v>27050.67</v>
      </c>
      <c r="S16" s="7">
        <f t="shared" si="3"/>
        <v>78563.790000000008</v>
      </c>
    </row>
    <row r="17" spans="1:19" x14ac:dyDescent="0.3">
      <c r="A17" t="s">
        <v>104</v>
      </c>
      <c r="B17" s="5" t="s">
        <v>105</v>
      </c>
      <c r="C17" s="6">
        <f t="shared" si="0"/>
        <v>45962</v>
      </c>
      <c r="D17" t="s">
        <v>96</v>
      </c>
      <c r="E17" t="s">
        <v>53</v>
      </c>
      <c r="F17" t="s">
        <v>59</v>
      </c>
      <c r="G17" t="s">
        <v>71</v>
      </c>
      <c r="H17" t="s">
        <v>55</v>
      </c>
      <c r="I17">
        <v>2383</v>
      </c>
      <c r="J17" s="7">
        <v>313.37</v>
      </c>
      <c r="K17" s="7">
        <v>746760.71</v>
      </c>
      <c r="L17">
        <v>508</v>
      </c>
      <c r="M17" t="s">
        <v>106</v>
      </c>
      <c r="N17" s="6">
        <f t="shared" si="1"/>
        <v>45962</v>
      </c>
      <c r="O17" t="s">
        <v>106</v>
      </c>
      <c r="P17" t="str">
        <f t="shared" si="2"/>
        <v>November 2025</v>
      </c>
      <c r="Q17" t="s">
        <v>37</v>
      </c>
      <c r="R17" s="7">
        <v>25212</v>
      </c>
      <c r="S17" s="7">
        <f t="shared" si="3"/>
        <v>771972.71</v>
      </c>
    </row>
    <row r="18" spans="1:19" x14ac:dyDescent="0.3">
      <c r="A18" t="s">
        <v>107</v>
      </c>
      <c r="B18" s="5" t="s">
        <v>108</v>
      </c>
      <c r="C18" s="6">
        <f t="shared" si="0"/>
        <v>45992</v>
      </c>
      <c r="D18" t="s">
        <v>109</v>
      </c>
      <c r="E18" t="s">
        <v>22</v>
      </c>
      <c r="F18" t="s">
        <v>23</v>
      </c>
      <c r="G18" t="s">
        <v>110</v>
      </c>
      <c r="H18" t="s">
        <v>25</v>
      </c>
      <c r="I18">
        <v>1666</v>
      </c>
      <c r="J18" s="7">
        <v>881.88</v>
      </c>
      <c r="K18" s="7">
        <v>1469212.08</v>
      </c>
      <c r="L18">
        <v>716</v>
      </c>
      <c r="M18" t="s">
        <v>111</v>
      </c>
      <c r="N18" s="6">
        <f t="shared" si="1"/>
        <v>45992</v>
      </c>
      <c r="O18" t="s">
        <v>111</v>
      </c>
      <c r="P18" t="str">
        <f t="shared" si="2"/>
        <v>December 2025</v>
      </c>
      <c r="Q18" t="s">
        <v>37</v>
      </c>
      <c r="R18" s="7">
        <v>36442.120000000003</v>
      </c>
      <c r="S18" s="7">
        <f t="shared" si="3"/>
        <v>1505654.2000000002</v>
      </c>
    </row>
    <row r="19" spans="1:19" x14ac:dyDescent="0.3">
      <c r="A19" t="s">
        <v>112</v>
      </c>
      <c r="B19" s="5" t="s">
        <v>113</v>
      </c>
      <c r="C19" s="6">
        <f t="shared" si="0"/>
        <v>45809</v>
      </c>
      <c r="D19" t="s">
        <v>96</v>
      </c>
      <c r="E19" t="s">
        <v>22</v>
      </c>
      <c r="F19" t="s">
        <v>33</v>
      </c>
      <c r="G19" t="s">
        <v>88</v>
      </c>
      <c r="H19" t="s">
        <v>61</v>
      </c>
      <c r="I19">
        <v>409</v>
      </c>
      <c r="J19" s="7">
        <v>414.33</v>
      </c>
      <c r="K19" s="7">
        <v>169460.97</v>
      </c>
      <c r="L19">
        <v>40</v>
      </c>
      <c r="M19" t="s">
        <v>114</v>
      </c>
      <c r="N19" s="6">
        <f t="shared" si="1"/>
        <v>45809</v>
      </c>
      <c r="O19" t="s">
        <v>115</v>
      </c>
      <c r="P19" t="str">
        <f t="shared" si="2"/>
        <v>June 2025</v>
      </c>
      <c r="Q19" t="s">
        <v>28</v>
      </c>
      <c r="R19" s="7">
        <v>1578.88</v>
      </c>
      <c r="S19" s="7">
        <f t="shared" si="3"/>
        <v>171039.85</v>
      </c>
    </row>
    <row r="20" spans="1:19" x14ac:dyDescent="0.3">
      <c r="A20" t="s">
        <v>116</v>
      </c>
      <c r="B20" s="5" t="s">
        <v>117</v>
      </c>
      <c r="C20" s="6">
        <f t="shared" si="0"/>
        <v>45992</v>
      </c>
      <c r="D20" t="s">
        <v>96</v>
      </c>
      <c r="E20" t="s">
        <v>32</v>
      </c>
      <c r="F20" t="s">
        <v>59</v>
      </c>
      <c r="G20" t="s">
        <v>118</v>
      </c>
      <c r="H20" t="s">
        <v>35</v>
      </c>
      <c r="I20">
        <v>1497</v>
      </c>
      <c r="J20" s="7">
        <v>190.09</v>
      </c>
      <c r="K20" s="7">
        <v>284564.73</v>
      </c>
      <c r="L20">
        <v>315</v>
      </c>
      <c r="M20" t="s">
        <v>119</v>
      </c>
      <c r="N20" s="6">
        <f t="shared" si="1"/>
        <v>45992</v>
      </c>
      <c r="O20" t="s">
        <v>120</v>
      </c>
      <c r="P20" t="str">
        <f t="shared" si="2"/>
        <v>December 2025</v>
      </c>
      <c r="Q20" t="s">
        <v>28</v>
      </c>
      <c r="R20" s="7">
        <v>11247.91</v>
      </c>
      <c r="S20" s="7">
        <f t="shared" si="3"/>
        <v>295812.63999999996</v>
      </c>
    </row>
    <row r="21" spans="1:19" x14ac:dyDescent="0.3">
      <c r="A21" t="s">
        <v>121</v>
      </c>
      <c r="B21" s="5" t="s">
        <v>122</v>
      </c>
      <c r="C21" s="6">
        <f t="shared" si="0"/>
        <v>45992</v>
      </c>
      <c r="D21" t="s">
        <v>40</v>
      </c>
      <c r="E21" t="s">
        <v>70</v>
      </c>
      <c r="F21" t="s">
        <v>59</v>
      </c>
      <c r="G21" t="s">
        <v>60</v>
      </c>
      <c r="H21" t="s">
        <v>123</v>
      </c>
      <c r="I21">
        <v>1329</v>
      </c>
      <c r="J21" s="7">
        <v>318.69</v>
      </c>
      <c r="K21" s="7">
        <v>423539.01</v>
      </c>
      <c r="L21">
        <v>225</v>
      </c>
      <c r="M21" t="s">
        <v>124</v>
      </c>
      <c r="N21" s="6">
        <f t="shared" si="1"/>
        <v>45992</v>
      </c>
      <c r="O21" t="s">
        <v>125</v>
      </c>
      <c r="P21" t="str">
        <f t="shared" si="2"/>
        <v>December 2025</v>
      </c>
      <c r="Q21" t="s">
        <v>28</v>
      </c>
      <c r="R21" s="7">
        <v>13435.31</v>
      </c>
      <c r="S21" s="7">
        <f t="shared" si="3"/>
        <v>436974.32</v>
      </c>
    </row>
    <row r="22" spans="1:19" x14ac:dyDescent="0.3">
      <c r="A22" t="s">
        <v>126</v>
      </c>
      <c r="B22" s="5" t="s">
        <v>127</v>
      </c>
      <c r="C22" s="6">
        <f t="shared" si="0"/>
        <v>45839</v>
      </c>
      <c r="D22" t="s">
        <v>128</v>
      </c>
      <c r="E22" t="s">
        <v>32</v>
      </c>
      <c r="F22" t="s">
        <v>33</v>
      </c>
      <c r="G22" t="s">
        <v>118</v>
      </c>
      <c r="H22" t="s">
        <v>61</v>
      </c>
      <c r="I22">
        <v>793</v>
      </c>
      <c r="J22" s="7">
        <v>176.88</v>
      </c>
      <c r="K22" s="7">
        <v>140265.84</v>
      </c>
      <c r="L22">
        <v>595</v>
      </c>
      <c r="M22" t="s">
        <v>129</v>
      </c>
      <c r="N22" s="6">
        <f t="shared" si="1"/>
        <v>45839</v>
      </c>
      <c r="O22" t="s">
        <v>129</v>
      </c>
      <c r="P22" t="str">
        <f t="shared" si="2"/>
        <v>July 2025</v>
      </c>
      <c r="Q22" t="s">
        <v>37</v>
      </c>
      <c r="R22" s="7">
        <v>33039.15</v>
      </c>
      <c r="S22" s="7">
        <f t="shared" si="3"/>
        <v>173304.99</v>
      </c>
    </row>
    <row r="23" spans="1:19" x14ac:dyDescent="0.3">
      <c r="A23" t="s">
        <v>130</v>
      </c>
      <c r="B23" s="5" t="s">
        <v>131</v>
      </c>
      <c r="C23" s="6">
        <f t="shared" si="0"/>
        <v>45748</v>
      </c>
      <c r="D23" t="s">
        <v>52</v>
      </c>
      <c r="E23" t="s">
        <v>53</v>
      </c>
      <c r="F23" t="s">
        <v>59</v>
      </c>
      <c r="G23" t="s">
        <v>60</v>
      </c>
      <c r="H23" t="s">
        <v>132</v>
      </c>
      <c r="I23">
        <v>1321</v>
      </c>
      <c r="J23" s="7">
        <v>603.65</v>
      </c>
      <c r="K23" s="7">
        <v>797421.65</v>
      </c>
      <c r="L23">
        <v>49</v>
      </c>
      <c r="M23" t="s">
        <v>133</v>
      </c>
      <c r="N23" s="6">
        <f>DATE(YEAR(M23), MONTH(M23),1)</f>
        <v>45748</v>
      </c>
      <c r="O23" t="s">
        <v>133</v>
      </c>
      <c r="P23" t="str">
        <f t="shared" si="2"/>
        <v>April 2025</v>
      </c>
      <c r="Q23" t="s">
        <v>37</v>
      </c>
      <c r="R23" s="7">
        <v>0</v>
      </c>
      <c r="S23" s="7">
        <f t="shared" si="3"/>
        <v>797421.65</v>
      </c>
    </row>
    <row r="24" spans="1:19" x14ac:dyDescent="0.3">
      <c r="A24" t="s">
        <v>134</v>
      </c>
      <c r="B24" s="5" t="s">
        <v>135</v>
      </c>
      <c r="C24" s="6">
        <f t="shared" si="0"/>
        <v>45778</v>
      </c>
      <c r="D24" t="s">
        <v>65</v>
      </c>
      <c r="E24" t="s">
        <v>53</v>
      </c>
      <c r="F24" t="s">
        <v>59</v>
      </c>
      <c r="G24" t="s">
        <v>46</v>
      </c>
      <c r="H24" t="s">
        <v>61</v>
      </c>
      <c r="I24">
        <v>434</v>
      </c>
      <c r="J24" s="7">
        <v>710.45</v>
      </c>
      <c r="K24" s="7">
        <v>308335.3</v>
      </c>
      <c r="L24">
        <v>494</v>
      </c>
      <c r="M24" t="s">
        <v>136</v>
      </c>
      <c r="N24" s="6">
        <f t="shared" si="1"/>
        <v>45778</v>
      </c>
      <c r="O24" t="s">
        <v>27</v>
      </c>
      <c r="P24" t="str">
        <f t="shared" si="2"/>
        <v>May 2025</v>
      </c>
      <c r="Q24" t="s">
        <v>37</v>
      </c>
      <c r="R24" s="7">
        <v>20933.05</v>
      </c>
      <c r="S24" s="7">
        <f t="shared" si="3"/>
        <v>329268.34999999998</v>
      </c>
    </row>
    <row r="25" spans="1:19" x14ac:dyDescent="0.3">
      <c r="A25" t="s">
        <v>137</v>
      </c>
      <c r="B25" s="5" t="s">
        <v>72</v>
      </c>
      <c r="C25" s="6">
        <f t="shared" si="0"/>
        <v>45931</v>
      </c>
      <c r="D25" t="s">
        <v>40</v>
      </c>
      <c r="E25" t="s">
        <v>22</v>
      </c>
      <c r="F25" t="s">
        <v>59</v>
      </c>
      <c r="G25" t="s">
        <v>138</v>
      </c>
      <c r="H25" t="s">
        <v>123</v>
      </c>
      <c r="I25">
        <v>1197</v>
      </c>
      <c r="J25" s="7">
        <v>554.19000000000005</v>
      </c>
      <c r="K25" s="7">
        <v>663365.43000000005</v>
      </c>
      <c r="L25">
        <v>403</v>
      </c>
      <c r="M25" t="s">
        <v>139</v>
      </c>
      <c r="N25" s="6">
        <f t="shared" si="1"/>
        <v>45931</v>
      </c>
      <c r="O25" t="s">
        <v>140</v>
      </c>
      <c r="P25" t="str">
        <f t="shared" si="2"/>
        <v>October 2025</v>
      </c>
      <c r="Q25" t="s">
        <v>28</v>
      </c>
      <c r="R25" s="7">
        <v>15883.27</v>
      </c>
      <c r="S25" s="7">
        <f t="shared" si="3"/>
        <v>679248.70000000007</v>
      </c>
    </row>
    <row r="26" spans="1:19" x14ac:dyDescent="0.3">
      <c r="A26" t="s">
        <v>141</v>
      </c>
      <c r="B26" s="5" t="s">
        <v>142</v>
      </c>
      <c r="C26" s="6">
        <f t="shared" si="0"/>
        <v>45809</v>
      </c>
      <c r="D26" t="s">
        <v>128</v>
      </c>
      <c r="E26" t="s">
        <v>143</v>
      </c>
      <c r="F26" t="s">
        <v>33</v>
      </c>
      <c r="G26" t="s">
        <v>60</v>
      </c>
      <c r="H26" t="s">
        <v>55</v>
      </c>
      <c r="I26">
        <v>960</v>
      </c>
      <c r="J26" s="7">
        <v>89.7</v>
      </c>
      <c r="K26" s="7">
        <v>86112</v>
      </c>
      <c r="L26">
        <v>518</v>
      </c>
      <c r="M26" t="s">
        <v>144</v>
      </c>
      <c r="N26" s="6">
        <f t="shared" si="1"/>
        <v>45839</v>
      </c>
      <c r="O26" t="s">
        <v>144</v>
      </c>
      <c r="P26" t="str">
        <f t="shared" si="2"/>
        <v>July 2025</v>
      </c>
      <c r="Q26" t="s">
        <v>37</v>
      </c>
      <c r="R26" s="7">
        <v>28972.41</v>
      </c>
      <c r="S26" s="7">
        <f t="shared" si="3"/>
        <v>115084.41</v>
      </c>
    </row>
    <row r="27" spans="1:19" x14ac:dyDescent="0.3">
      <c r="A27" t="s">
        <v>145</v>
      </c>
      <c r="B27" s="5" t="s">
        <v>120</v>
      </c>
      <c r="C27" s="6">
        <f t="shared" si="0"/>
        <v>45992</v>
      </c>
      <c r="D27" t="s">
        <v>52</v>
      </c>
      <c r="E27" t="s">
        <v>22</v>
      </c>
      <c r="F27" t="s">
        <v>59</v>
      </c>
      <c r="G27" t="s">
        <v>46</v>
      </c>
      <c r="H27" t="s">
        <v>123</v>
      </c>
      <c r="I27">
        <v>1360</v>
      </c>
      <c r="J27" s="7">
        <v>56.95</v>
      </c>
      <c r="K27" s="7">
        <v>77452</v>
      </c>
      <c r="L27">
        <v>219</v>
      </c>
      <c r="M27" t="s">
        <v>122</v>
      </c>
      <c r="N27" s="6">
        <f t="shared" si="1"/>
        <v>45992</v>
      </c>
      <c r="O27" t="s">
        <v>122</v>
      </c>
      <c r="P27" t="str">
        <f t="shared" si="2"/>
        <v>December 2025</v>
      </c>
      <c r="Q27" t="s">
        <v>37</v>
      </c>
      <c r="R27" s="7">
        <v>8731.18</v>
      </c>
      <c r="S27" s="7">
        <f t="shared" si="3"/>
        <v>86183.18</v>
      </c>
    </row>
    <row r="28" spans="1:19" x14ac:dyDescent="0.3">
      <c r="A28" t="s">
        <v>146</v>
      </c>
      <c r="B28" s="5" t="s">
        <v>147</v>
      </c>
      <c r="C28" s="6">
        <f t="shared" si="0"/>
        <v>45839</v>
      </c>
      <c r="D28" t="s">
        <v>40</v>
      </c>
      <c r="E28" t="s">
        <v>75</v>
      </c>
      <c r="F28" t="s">
        <v>45</v>
      </c>
      <c r="G28" t="s">
        <v>71</v>
      </c>
      <c r="H28" t="s">
        <v>77</v>
      </c>
      <c r="I28">
        <v>1553</v>
      </c>
      <c r="J28" s="7">
        <v>240.31</v>
      </c>
      <c r="K28" s="7">
        <v>373201.43</v>
      </c>
      <c r="L28">
        <v>264</v>
      </c>
      <c r="M28" t="s">
        <v>148</v>
      </c>
      <c r="N28" s="6">
        <f t="shared" si="1"/>
        <v>45839</v>
      </c>
      <c r="O28" t="s">
        <v>148</v>
      </c>
      <c r="P28" t="str">
        <f t="shared" si="2"/>
        <v>July 2025</v>
      </c>
      <c r="Q28" t="s">
        <v>37</v>
      </c>
      <c r="R28" s="7">
        <v>10224.41</v>
      </c>
      <c r="S28" s="7">
        <f t="shared" si="3"/>
        <v>383425.83999999997</v>
      </c>
    </row>
    <row r="29" spans="1:19" x14ac:dyDescent="0.3">
      <c r="A29" t="s">
        <v>149</v>
      </c>
      <c r="B29" s="5" t="s">
        <v>150</v>
      </c>
      <c r="C29" s="6">
        <f t="shared" si="0"/>
        <v>45689</v>
      </c>
      <c r="D29" t="s">
        <v>21</v>
      </c>
      <c r="E29" t="s">
        <v>32</v>
      </c>
      <c r="F29" t="s">
        <v>23</v>
      </c>
      <c r="G29" t="s">
        <v>24</v>
      </c>
      <c r="H29" t="s">
        <v>123</v>
      </c>
      <c r="I29">
        <v>630</v>
      </c>
      <c r="J29" s="7">
        <v>70.510000000000005</v>
      </c>
      <c r="K29" s="7">
        <v>44421.3</v>
      </c>
      <c r="L29">
        <v>692</v>
      </c>
      <c r="M29" t="s">
        <v>151</v>
      </c>
      <c r="N29" s="6">
        <f t="shared" si="1"/>
        <v>45689</v>
      </c>
      <c r="O29" t="s">
        <v>152</v>
      </c>
      <c r="P29" t="str">
        <f t="shared" si="2"/>
        <v>February 2025</v>
      </c>
      <c r="Q29" t="s">
        <v>28</v>
      </c>
      <c r="R29" s="7">
        <v>0</v>
      </c>
      <c r="S29" s="7">
        <f t="shared" si="3"/>
        <v>44421.3</v>
      </c>
    </row>
    <row r="30" spans="1:19" x14ac:dyDescent="0.3">
      <c r="A30" t="s">
        <v>153</v>
      </c>
      <c r="B30" s="5" t="s">
        <v>154</v>
      </c>
      <c r="C30" s="6">
        <f t="shared" si="0"/>
        <v>45901</v>
      </c>
      <c r="D30" t="s">
        <v>40</v>
      </c>
      <c r="E30" t="s">
        <v>143</v>
      </c>
      <c r="F30" t="s">
        <v>45</v>
      </c>
      <c r="G30" t="s">
        <v>97</v>
      </c>
      <c r="H30" t="s">
        <v>155</v>
      </c>
      <c r="I30">
        <v>1461</v>
      </c>
      <c r="J30" s="7">
        <v>530.09</v>
      </c>
      <c r="K30" s="7">
        <v>774461.49</v>
      </c>
      <c r="L30">
        <v>582</v>
      </c>
      <c r="M30" t="s">
        <v>156</v>
      </c>
      <c r="N30" s="6">
        <f t="shared" si="1"/>
        <v>45931</v>
      </c>
      <c r="O30" t="s">
        <v>156</v>
      </c>
      <c r="P30" t="str">
        <f t="shared" si="2"/>
        <v>October 2025</v>
      </c>
      <c r="Q30" t="s">
        <v>37</v>
      </c>
      <c r="R30" s="7">
        <v>25112.26</v>
      </c>
      <c r="S30" s="7">
        <f t="shared" si="3"/>
        <v>799573.75</v>
      </c>
    </row>
    <row r="31" spans="1:19" x14ac:dyDescent="0.3">
      <c r="A31" t="s">
        <v>157</v>
      </c>
      <c r="B31" s="5" t="s">
        <v>158</v>
      </c>
      <c r="C31" s="6">
        <f t="shared" si="0"/>
        <v>45809</v>
      </c>
      <c r="D31" t="s">
        <v>31</v>
      </c>
      <c r="E31" t="s">
        <v>70</v>
      </c>
      <c r="F31" t="s">
        <v>45</v>
      </c>
      <c r="G31" t="s">
        <v>159</v>
      </c>
      <c r="H31" t="s">
        <v>77</v>
      </c>
      <c r="I31">
        <v>150</v>
      </c>
      <c r="J31" s="7">
        <v>314.06</v>
      </c>
      <c r="K31" s="7">
        <v>47109</v>
      </c>
      <c r="L31">
        <v>123</v>
      </c>
      <c r="M31" t="s">
        <v>160</v>
      </c>
      <c r="N31" s="6">
        <f t="shared" si="1"/>
        <v>45809</v>
      </c>
      <c r="O31" t="s">
        <v>158</v>
      </c>
      <c r="P31" t="str">
        <f t="shared" si="2"/>
        <v>June 2025</v>
      </c>
      <c r="Q31" t="s">
        <v>37</v>
      </c>
      <c r="R31" s="7">
        <v>5826.21</v>
      </c>
      <c r="S31" s="7">
        <f t="shared" si="3"/>
        <v>52935.21</v>
      </c>
    </row>
    <row r="32" spans="1:19" x14ac:dyDescent="0.3">
      <c r="A32" t="s">
        <v>161</v>
      </c>
      <c r="B32" s="5" t="s">
        <v>162</v>
      </c>
      <c r="C32" s="6">
        <f t="shared" si="0"/>
        <v>45901</v>
      </c>
      <c r="D32" t="s">
        <v>128</v>
      </c>
      <c r="E32" t="s">
        <v>53</v>
      </c>
      <c r="F32" t="s">
        <v>59</v>
      </c>
      <c r="G32" t="s">
        <v>163</v>
      </c>
      <c r="H32" t="s">
        <v>25</v>
      </c>
      <c r="I32">
        <v>984</v>
      </c>
      <c r="J32" s="7">
        <v>463.4</v>
      </c>
      <c r="K32" s="7">
        <v>455985.6</v>
      </c>
      <c r="L32">
        <v>215</v>
      </c>
      <c r="M32" t="s">
        <v>164</v>
      </c>
      <c r="N32" s="6">
        <f t="shared" si="1"/>
        <v>45901</v>
      </c>
      <c r="O32" t="s">
        <v>165</v>
      </c>
      <c r="P32" t="str">
        <f t="shared" si="2"/>
        <v>September 2025</v>
      </c>
      <c r="Q32" t="s">
        <v>28</v>
      </c>
      <c r="R32" s="7">
        <v>13177.12</v>
      </c>
      <c r="S32" s="7">
        <f t="shared" si="3"/>
        <v>469162.72</v>
      </c>
    </row>
    <row r="33" spans="1:19" x14ac:dyDescent="0.3">
      <c r="A33" t="s">
        <v>166</v>
      </c>
      <c r="B33" s="5" t="s">
        <v>167</v>
      </c>
      <c r="C33" s="6">
        <f t="shared" si="0"/>
        <v>45870</v>
      </c>
      <c r="D33" t="s">
        <v>109</v>
      </c>
      <c r="E33" t="s">
        <v>70</v>
      </c>
      <c r="F33" t="s">
        <v>23</v>
      </c>
      <c r="G33" t="s">
        <v>168</v>
      </c>
      <c r="H33" t="s">
        <v>91</v>
      </c>
      <c r="I33">
        <v>1651</v>
      </c>
      <c r="J33" s="7">
        <v>609.69000000000005</v>
      </c>
      <c r="K33" s="7">
        <v>1006598.19</v>
      </c>
      <c r="L33">
        <v>247</v>
      </c>
      <c r="M33" t="s">
        <v>169</v>
      </c>
      <c r="N33" s="6">
        <f t="shared" si="1"/>
        <v>45870</v>
      </c>
      <c r="O33" t="s">
        <v>169</v>
      </c>
      <c r="P33" t="str">
        <f t="shared" si="2"/>
        <v>August 2025</v>
      </c>
      <c r="Q33" t="s">
        <v>37</v>
      </c>
      <c r="R33" s="7">
        <v>12540.12</v>
      </c>
      <c r="S33" s="7">
        <f t="shared" si="3"/>
        <v>1019138.3099999999</v>
      </c>
    </row>
    <row r="34" spans="1:19" x14ac:dyDescent="0.3">
      <c r="A34" t="s">
        <v>170</v>
      </c>
      <c r="B34" s="5" t="s">
        <v>171</v>
      </c>
      <c r="C34" s="6">
        <f t="shared" si="0"/>
        <v>45748</v>
      </c>
      <c r="D34" t="s">
        <v>40</v>
      </c>
      <c r="E34" t="s">
        <v>32</v>
      </c>
      <c r="F34" t="s">
        <v>45</v>
      </c>
      <c r="G34" t="s">
        <v>172</v>
      </c>
      <c r="H34" t="s">
        <v>123</v>
      </c>
      <c r="I34">
        <v>160</v>
      </c>
      <c r="J34" s="7">
        <v>749.95</v>
      </c>
      <c r="K34" s="7">
        <v>119992</v>
      </c>
      <c r="L34">
        <v>529</v>
      </c>
      <c r="M34" t="s">
        <v>173</v>
      </c>
      <c r="N34" s="6">
        <f t="shared" si="1"/>
        <v>45748</v>
      </c>
      <c r="O34" t="s">
        <v>173</v>
      </c>
      <c r="P34" t="str">
        <f t="shared" si="2"/>
        <v>April 2025</v>
      </c>
      <c r="Q34" t="s">
        <v>37</v>
      </c>
      <c r="R34" s="7">
        <v>32360.28</v>
      </c>
      <c r="S34" s="7">
        <f t="shared" si="3"/>
        <v>152352.28</v>
      </c>
    </row>
    <row r="35" spans="1:19" x14ac:dyDescent="0.3">
      <c r="A35" t="s">
        <v>174</v>
      </c>
      <c r="B35" s="5" t="s">
        <v>175</v>
      </c>
      <c r="C35" s="6">
        <f t="shared" si="0"/>
        <v>45901</v>
      </c>
      <c r="D35" t="s">
        <v>21</v>
      </c>
      <c r="E35" t="s">
        <v>22</v>
      </c>
      <c r="F35" t="s">
        <v>23</v>
      </c>
      <c r="G35" t="s">
        <v>118</v>
      </c>
      <c r="H35" t="s">
        <v>155</v>
      </c>
      <c r="I35">
        <v>478</v>
      </c>
      <c r="J35" s="7">
        <v>174.37</v>
      </c>
      <c r="K35" s="7">
        <v>83348.86</v>
      </c>
      <c r="L35">
        <v>433</v>
      </c>
      <c r="M35" t="s">
        <v>176</v>
      </c>
      <c r="N35" s="6">
        <f t="shared" si="1"/>
        <v>45901</v>
      </c>
      <c r="O35" t="s">
        <v>162</v>
      </c>
      <c r="P35" t="str">
        <f t="shared" si="2"/>
        <v>September 2025</v>
      </c>
      <c r="Q35" t="s">
        <v>28</v>
      </c>
      <c r="R35" s="7">
        <v>17907.939999999999</v>
      </c>
      <c r="S35" s="7">
        <f t="shared" si="3"/>
        <v>101256.8</v>
      </c>
    </row>
    <row r="36" spans="1:19" x14ac:dyDescent="0.3">
      <c r="A36" t="s">
        <v>177</v>
      </c>
      <c r="B36" s="5" t="s">
        <v>178</v>
      </c>
      <c r="C36" s="6">
        <f t="shared" si="0"/>
        <v>45689</v>
      </c>
      <c r="D36" t="s">
        <v>21</v>
      </c>
      <c r="E36" t="s">
        <v>22</v>
      </c>
      <c r="F36" t="s">
        <v>33</v>
      </c>
      <c r="G36" t="s">
        <v>179</v>
      </c>
      <c r="H36" t="s">
        <v>47</v>
      </c>
      <c r="I36">
        <v>2269</v>
      </c>
      <c r="J36" s="7">
        <v>283.22000000000003</v>
      </c>
      <c r="K36" s="7">
        <v>642626.18000000005</v>
      </c>
      <c r="L36">
        <v>28</v>
      </c>
      <c r="M36" t="s">
        <v>180</v>
      </c>
      <c r="N36" s="6">
        <f t="shared" si="1"/>
        <v>45689</v>
      </c>
      <c r="O36" t="s">
        <v>180</v>
      </c>
      <c r="P36" t="str">
        <f t="shared" si="2"/>
        <v>February 2025</v>
      </c>
      <c r="Q36" t="s">
        <v>37</v>
      </c>
      <c r="R36" s="7">
        <v>1474.85</v>
      </c>
      <c r="S36" s="7">
        <f t="shared" si="3"/>
        <v>644101.03</v>
      </c>
    </row>
    <row r="37" spans="1:19" x14ac:dyDescent="0.3">
      <c r="A37" t="s">
        <v>181</v>
      </c>
      <c r="B37" s="5" t="s">
        <v>182</v>
      </c>
      <c r="C37" s="6">
        <f t="shared" si="0"/>
        <v>45778</v>
      </c>
      <c r="D37" t="s">
        <v>21</v>
      </c>
      <c r="E37" t="s">
        <v>53</v>
      </c>
      <c r="F37" t="s">
        <v>45</v>
      </c>
      <c r="G37" t="s">
        <v>168</v>
      </c>
      <c r="H37" t="s">
        <v>55</v>
      </c>
      <c r="I37">
        <v>1364</v>
      </c>
      <c r="J37" s="7">
        <v>248.35</v>
      </c>
      <c r="K37" s="7">
        <v>338749.4</v>
      </c>
      <c r="L37">
        <v>470</v>
      </c>
      <c r="M37" t="s">
        <v>183</v>
      </c>
      <c r="N37" s="6">
        <f t="shared" si="1"/>
        <v>45778</v>
      </c>
      <c r="O37" t="s">
        <v>183</v>
      </c>
      <c r="P37" t="str">
        <f t="shared" si="2"/>
        <v>May 2025</v>
      </c>
      <c r="Q37" t="s">
        <v>37</v>
      </c>
      <c r="R37" s="7">
        <v>24519.82</v>
      </c>
      <c r="S37" s="7">
        <f t="shared" si="3"/>
        <v>363269.22000000003</v>
      </c>
    </row>
    <row r="38" spans="1:19" x14ac:dyDescent="0.3">
      <c r="A38" t="s">
        <v>184</v>
      </c>
      <c r="B38" s="5" t="s">
        <v>185</v>
      </c>
      <c r="C38" s="6">
        <f t="shared" si="0"/>
        <v>45962</v>
      </c>
      <c r="D38" t="s">
        <v>96</v>
      </c>
      <c r="E38" t="s">
        <v>22</v>
      </c>
      <c r="F38" t="s">
        <v>45</v>
      </c>
      <c r="G38" t="s">
        <v>118</v>
      </c>
      <c r="H38" t="s">
        <v>35</v>
      </c>
      <c r="I38">
        <v>1987</v>
      </c>
      <c r="J38" s="7">
        <v>251.47</v>
      </c>
      <c r="K38" s="7">
        <v>499670.89</v>
      </c>
      <c r="L38">
        <v>296</v>
      </c>
      <c r="M38" t="s">
        <v>186</v>
      </c>
      <c r="N38" s="6">
        <f t="shared" si="1"/>
        <v>45962</v>
      </c>
      <c r="O38" t="s">
        <v>187</v>
      </c>
      <c r="P38" t="str">
        <f t="shared" si="2"/>
        <v>November 2025</v>
      </c>
      <c r="Q38" t="s">
        <v>28</v>
      </c>
      <c r="R38" s="7">
        <v>11255.9</v>
      </c>
      <c r="S38" s="7">
        <f t="shared" si="3"/>
        <v>510926.79000000004</v>
      </c>
    </row>
    <row r="39" spans="1:19" x14ac:dyDescent="0.3">
      <c r="A39" t="s">
        <v>188</v>
      </c>
      <c r="B39" s="5" t="s">
        <v>189</v>
      </c>
      <c r="C39" s="6">
        <f t="shared" si="0"/>
        <v>45931</v>
      </c>
      <c r="D39" t="s">
        <v>52</v>
      </c>
      <c r="E39" t="s">
        <v>75</v>
      </c>
      <c r="F39" t="s">
        <v>33</v>
      </c>
      <c r="G39" t="s">
        <v>190</v>
      </c>
      <c r="H39" t="s">
        <v>55</v>
      </c>
      <c r="I39">
        <v>756</v>
      </c>
      <c r="J39" s="7">
        <v>501.25</v>
      </c>
      <c r="K39" s="7">
        <v>378945</v>
      </c>
      <c r="L39">
        <v>718</v>
      </c>
      <c r="M39" t="s">
        <v>72</v>
      </c>
      <c r="N39" s="6">
        <f t="shared" si="1"/>
        <v>45931</v>
      </c>
      <c r="O39" t="s">
        <v>191</v>
      </c>
      <c r="P39" t="str">
        <f t="shared" si="2"/>
        <v>October 2025</v>
      </c>
      <c r="Q39" t="s">
        <v>28</v>
      </c>
      <c r="R39" s="7">
        <v>27208.39</v>
      </c>
      <c r="S39" s="7">
        <f t="shared" si="3"/>
        <v>406153.39</v>
      </c>
    </row>
    <row r="40" spans="1:19" x14ac:dyDescent="0.3">
      <c r="A40" t="s">
        <v>192</v>
      </c>
      <c r="B40" s="5" t="s">
        <v>193</v>
      </c>
      <c r="C40" s="6">
        <f t="shared" si="0"/>
        <v>45658</v>
      </c>
      <c r="D40" t="s">
        <v>52</v>
      </c>
      <c r="E40" t="s">
        <v>53</v>
      </c>
      <c r="F40" t="s">
        <v>33</v>
      </c>
      <c r="G40" t="s">
        <v>110</v>
      </c>
      <c r="H40" t="s">
        <v>25</v>
      </c>
      <c r="I40">
        <v>715</v>
      </c>
      <c r="J40" s="7">
        <v>350.75</v>
      </c>
      <c r="K40" s="7">
        <v>250786.25</v>
      </c>
      <c r="L40">
        <v>717</v>
      </c>
      <c r="M40" t="s">
        <v>194</v>
      </c>
      <c r="N40" s="6">
        <f t="shared" si="1"/>
        <v>45658</v>
      </c>
      <c r="O40" t="s">
        <v>195</v>
      </c>
      <c r="P40" t="str">
        <f t="shared" si="2"/>
        <v>January 2025</v>
      </c>
      <c r="Q40" t="s">
        <v>28</v>
      </c>
      <c r="R40" s="7">
        <v>40012.26</v>
      </c>
      <c r="S40" s="7">
        <f t="shared" si="3"/>
        <v>290798.51</v>
      </c>
    </row>
    <row r="41" spans="1:19" x14ac:dyDescent="0.3">
      <c r="A41" t="s">
        <v>196</v>
      </c>
      <c r="B41" s="5" t="s">
        <v>115</v>
      </c>
      <c r="C41" s="6">
        <f t="shared" si="0"/>
        <v>45809</v>
      </c>
      <c r="D41" t="s">
        <v>40</v>
      </c>
      <c r="E41" t="s">
        <v>22</v>
      </c>
      <c r="F41" t="s">
        <v>45</v>
      </c>
      <c r="G41" t="s">
        <v>82</v>
      </c>
      <c r="H41" t="s">
        <v>155</v>
      </c>
      <c r="I41">
        <v>96</v>
      </c>
      <c r="J41" s="7">
        <v>434.04</v>
      </c>
      <c r="K41" s="7">
        <v>41667.839999999997</v>
      </c>
      <c r="L41">
        <v>558</v>
      </c>
      <c r="M41" t="s">
        <v>197</v>
      </c>
      <c r="N41" s="6">
        <f t="shared" si="1"/>
        <v>45809</v>
      </c>
      <c r="O41" t="s">
        <v>197</v>
      </c>
      <c r="P41" t="str">
        <f t="shared" si="2"/>
        <v>June 2025</v>
      </c>
      <c r="Q41" t="s">
        <v>37</v>
      </c>
      <c r="R41" s="7">
        <v>25518.34</v>
      </c>
      <c r="S41" s="7">
        <f t="shared" si="3"/>
        <v>67186.179999999993</v>
      </c>
    </row>
    <row r="42" spans="1:19" x14ac:dyDescent="0.3">
      <c r="A42" t="s">
        <v>198</v>
      </c>
      <c r="B42" s="5" t="s">
        <v>199</v>
      </c>
      <c r="C42" s="6">
        <f t="shared" si="0"/>
        <v>45931</v>
      </c>
      <c r="D42" t="s">
        <v>65</v>
      </c>
      <c r="E42" t="s">
        <v>53</v>
      </c>
      <c r="F42" t="s">
        <v>23</v>
      </c>
      <c r="G42" t="s">
        <v>118</v>
      </c>
      <c r="H42" t="s">
        <v>61</v>
      </c>
      <c r="I42">
        <v>1058</v>
      </c>
      <c r="J42" s="7">
        <v>205.5</v>
      </c>
      <c r="K42" s="7">
        <v>217419</v>
      </c>
      <c r="L42">
        <v>286</v>
      </c>
      <c r="M42" t="s">
        <v>90</v>
      </c>
      <c r="N42" s="6">
        <f t="shared" si="1"/>
        <v>45931</v>
      </c>
      <c r="O42" t="s">
        <v>200</v>
      </c>
      <c r="P42" t="str">
        <f t="shared" si="2"/>
        <v>October 2025</v>
      </c>
      <c r="Q42" t="s">
        <v>28</v>
      </c>
      <c r="R42" s="7">
        <v>13992.47</v>
      </c>
      <c r="S42" s="7">
        <f t="shared" si="3"/>
        <v>231411.47</v>
      </c>
    </row>
    <row r="43" spans="1:19" x14ac:dyDescent="0.3">
      <c r="A43" t="s">
        <v>201</v>
      </c>
      <c r="B43" s="5" t="s">
        <v>105</v>
      </c>
      <c r="C43" s="6">
        <f t="shared" si="0"/>
        <v>45962</v>
      </c>
      <c r="D43" t="s">
        <v>65</v>
      </c>
      <c r="E43" t="s">
        <v>75</v>
      </c>
      <c r="F43" t="s">
        <v>59</v>
      </c>
      <c r="G43" t="s">
        <v>202</v>
      </c>
      <c r="H43" t="s">
        <v>47</v>
      </c>
      <c r="I43">
        <v>2200</v>
      </c>
      <c r="J43" s="7">
        <v>149.32</v>
      </c>
      <c r="K43" s="7">
        <v>328504</v>
      </c>
      <c r="L43">
        <v>431</v>
      </c>
      <c r="M43" t="s">
        <v>106</v>
      </c>
      <c r="N43" s="6">
        <f t="shared" si="1"/>
        <v>45962</v>
      </c>
      <c r="O43" t="s">
        <v>106</v>
      </c>
      <c r="P43" t="str">
        <f t="shared" si="2"/>
        <v>November 2025</v>
      </c>
      <c r="Q43" t="s">
        <v>37</v>
      </c>
      <c r="R43" s="7">
        <v>18559.14</v>
      </c>
      <c r="S43" s="7">
        <f t="shared" si="3"/>
        <v>347063.14</v>
      </c>
    </row>
    <row r="44" spans="1:19" x14ac:dyDescent="0.3">
      <c r="A44" t="s">
        <v>203</v>
      </c>
      <c r="B44" s="5" t="s">
        <v>204</v>
      </c>
      <c r="C44" s="6">
        <f t="shared" si="0"/>
        <v>45870</v>
      </c>
      <c r="D44" t="s">
        <v>96</v>
      </c>
      <c r="E44" t="s">
        <v>143</v>
      </c>
      <c r="F44" t="s">
        <v>59</v>
      </c>
      <c r="G44" t="s">
        <v>76</v>
      </c>
      <c r="H44" t="s">
        <v>91</v>
      </c>
      <c r="I44">
        <v>1920</v>
      </c>
      <c r="J44" s="7">
        <v>254.7</v>
      </c>
      <c r="K44" s="7">
        <v>489024</v>
      </c>
      <c r="L44">
        <v>532</v>
      </c>
      <c r="M44" t="s">
        <v>205</v>
      </c>
      <c r="N44" s="6">
        <f t="shared" si="1"/>
        <v>45870</v>
      </c>
      <c r="O44" t="s">
        <v>206</v>
      </c>
      <c r="P44" t="str">
        <f t="shared" si="2"/>
        <v>August 2025</v>
      </c>
      <c r="Q44" t="s">
        <v>28</v>
      </c>
      <c r="R44" s="7">
        <v>30837.47</v>
      </c>
      <c r="S44" s="7">
        <f t="shared" si="3"/>
        <v>519861.47</v>
      </c>
    </row>
    <row r="45" spans="1:19" x14ac:dyDescent="0.3">
      <c r="A45" t="s">
        <v>207</v>
      </c>
      <c r="B45" s="5" t="s">
        <v>208</v>
      </c>
      <c r="C45" s="6">
        <f t="shared" si="0"/>
        <v>45778</v>
      </c>
      <c r="D45" t="s">
        <v>96</v>
      </c>
      <c r="E45" t="s">
        <v>22</v>
      </c>
      <c r="F45" t="s">
        <v>59</v>
      </c>
      <c r="G45" t="s">
        <v>88</v>
      </c>
      <c r="H45" t="s">
        <v>123</v>
      </c>
      <c r="I45">
        <v>1847</v>
      </c>
      <c r="J45" s="7">
        <v>521.99</v>
      </c>
      <c r="K45" s="7">
        <v>964115.53</v>
      </c>
      <c r="L45">
        <v>48</v>
      </c>
      <c r="M45" t="s">
        <v>209</v>
      </c>
      <c r="N45" s="6">
        <f t="shared" si="1"/>
        <v>45778</v>
      </c>
      <c r="O45" t="s">
        <v>209</v>
      </c>
      <c r="P45" t="str">
        <f t="shared" si="2"/>
        <v>May 2025</v>
      </c>
      <c r="Q45" t="s">
        <v>37</v>
      </c>
      <c r="R45" s="7">
        <v>2393.7800000000002</v>
      </c>
      <c r="S45" s="7">
        <f t="shared" si="3"/>
        <v>966509.31</v>
      </c>
    </row>
    <row r="46" spans="1:19" x14ac:dyDescent="0.3">
      <c r="A46" t="s">
        <v>210</v>
      </c>
      <c r="B46" s="5" t="s">
        <v>211</v>
      </c>
      <c r="C46" s="6">
        <f t="shared" si="0"/>
        <v>45901</v>
      </c>
      <c r="D46" t="s">
        <v>31</v>
      </c>
      <c r="E46" t="s">
        <v>75</v>
      </c>
      <c r="F46" t="s">
        <v>45</v>
      </c>
      <c r="G46" t="s">
        <v>86</v>
      </c>
      <c r="H46" t="s">
        <v>155</v>
      </c>
      <c r="I46">
        <v>1938</v>
      </c>
      <c r="J46" s="7">
        <v>316.14</v>
      </c>
      <c r="K46" s="7">
        <v>612679.31999999995</v>
      </c>
      <c r="L46">
        <v>446</v>
      </c>
      <c r="M46" t="s">
        <v>212</v>
      </c>
      <c r="N46" s="6">
        <f t="shared" si="1"/>
        <v>45901</v>
      </c>
      <c r="O46" t="s">
        <v>162</v>
      </c>
      <c r="P46" t="str">
        <f t="shared" si="2"/>
        <v>September 2025</v>
      </c>
      <c r="Q46" t="s">
        <v>28</v>
      </c>
      <c r="R46" s="7">
        <v>16694.439999999999</v>
      </c>
      <c r="S46" s="7">
        <f t="shared" si="3"/>
        <v>629373.75999999989</v>
      </c>
    </row>
    <row r="47" spans="1:19" x14ac:dyDescent="0.3">
      <c r="A47" t="s">
        <v>213</v>
      </c>
      <c r="B47" s="5" t="s">
        <v>214</v>
      </c>
      <c r="C47" s="6">
        <f t="shared" si="0"/>
        <v>45658</v>
      </c>
      <c r="D47" t="s">
        <v>52</v>
      </c>
      <c r="E47" t="s">
        <v>75</v>
      </c>
      <c r="F47" t="s">
        <v>45</v>
      </c>
      <c r="G47" t="s">
        <v>60</v>
      </c>
      <c r="H47" t="s">
        <v>47</v>
      </c>
      <c r="I47">
        <v>1682</v>
      </c>
      <c r="J47" s="7">
        <v>785.16</v>
      </c>
      <c r="K47" s="7">
        <v>1320639.1200000001</v>
      </c>
      <c r="L47">
        <v>510</v>
      </c>
      <c r="M47" t="s">
        <v>215</v>
      </c>
      <c r="N47" s="6">
        <f t="shared" si="1"/>
        <v>45658</v>
      </c>
      <c r="O47" t="s">
        <v>195</v>
      </c>
      <c r="P47" t="str">
        <f t="shared" si="2"/>
        <v>January 2025</v>
      </c>
      <c r="Q47" t="s">
        <v>37</v>
      </c>
      <c r="R47" s="7">
        <v>18258.03</v>
      </c>
      <c r="S47" s="7">
        <f t="shared" si="3"/>
        <v>1338897.1500000001</v>
      </c>
    </row>
    <row r="48" spans="1:19" x14ac:dyDescent="0.3">
      <c r="A48" t="s">
        <v>216</v>
      </c>
      <c r="B48" s="5" t="s">
        <v>209</v>
      </c>
      <c r="C48" s="6">
        <f t="shared" si="0"/>
        <v>45778</v>
      </c>
      <c r="D48" t="s">
        <v>65</v>
      </c>
      <c r="E48" t="s">
        <v>75</v>
      </c>
      <c r="F48" t="s">
        <v>23</v>
      </c>
      <c r="G48" t="s">
        <v>202</v>
      </c>
      <c r="H48" t="s">
        <v>25</v>
      </c>
      <c r="I48">
        <v>2475</v>
      </c>
      <c r="J48" s="7">
        <v>466.92</v>
      </c>
      <c r="K48" s="7">
        <v>1155627</v>
      </c>
      <c r="L48">
        <v>116</v>
      </c>
      <c r="M48" t="s">
        <v>217</v>
      </c>
      <c r="N48" s="6">
        <f t="shared" si="1"/>
        <v>45809</v>
      </c>
      <c r="O48" t="s">
        <v>218</v>
      </c>
      <c r="P48" t="str">
        <f t="shared" si="2"/>
        <v>June 2025</v>
      </c>
      <c r="Q48" t="s">
        <v>28</v>
      </c>
      <c r="R48" s="7">
        <v>4850.05</v>
      </c>
      <c r="S48" s="7">
        <f t="shared" si="3"/>
        <v>1160477.05</v>
      </c>
    </row>
    <row r="49" spans="1:19" x14ac:dyDescent="0.3">
      <c r="A49" t="s">
        <v>219</v>
      </c>
      <c r="B49" s="5" t="s">
        <v>30</v>
      </c>
      <c r="C49" s="6">
        <f t="shared" si="0"/>
        <v>45689</v>
      </c>
      <c r="D49" t="s">
        <v>128</v>
      </c>
      <c r="E49" t="s">
        <v>75</v>
      </c>
      <c r="F49" t="s">
        <v>23</v>
      </c>
      <c r="G49" t="s">
        <v>88</v>
      </c>
      <c r="H49" t="s">
        <v>47</v>
      </c>
      <c r="I49">
        <v>1828</v>
      </c>
      <c r="J49" s="7">
        <v>287.61</v>
      </c>
      <c r="K49" s="7">
        <v>525751.07999999996</v>
      </c>
      <c r="L49">
        <v>169</v>
      </c>
      <c r="M49" t="s">
        <v>36</v>
      </c>
      <c r="N49" s="6">
        <f t="shared" si="1"/>
        <v>45689</v>
      </c>
      <c r="O49" t="s">
        <v>30</v>
      </c>
      <c r="P49" t="str">
        <f t="shared" si="2"/>
        <v>February 2025</v>
      </c>
      <c r="Q49" t="s">
        <v>37</v>
      </c>
      <c r="R49" s="7">
        <v>8998.44</v>
      </c>
      <c r="S49" s="7">
        <f t="shared" si="3"/>
        <v>534749.5199999999</v>
      </c>
    </row>
    <row r="50" spans="1:19" x14ac:dyDescent="0.3">
      <c r="A50" t="s">
        <v>220</v>
      </c>
      <c r="B50" s="5" t="s">
        <v>221</v>
      </c>
      <c r="C50" s="6">
        <f t="shared" si="0"/>
        <v>45778</v>
      </c>
      <c r="D50" t="s">
        <v>52</v>
      </c>
      <c r="E50" t="s">
        <v>143</v>
      </c>
      <c r="F50" t="s">
        <v>23</v>
      </c>
      <c r="G50" t="s">
        <v>222</v>
      </c>
      <c r="H50" t="s">
        <v>47</v>
      </c>
      <c r="I50">
        <v>663</v>
      </c>
      <c r="J50" s="7">
        <v>682.92</v>
      </c>
      <c r="K50" s="7">
        <v>452775.96</v>
      </c>
      <c r="L50">
        <v>622</v>
      </c>
      <c r="M50" t="s">
        <v>223</v>
      </c>
      <c r="N50" s="6">
        <f t="shared" si="1"/>
        <v>45778</v>
      </c>
      <c r="O50" t="s">
        <v>224</v>
      </c>
      <c r="P50" t="str">
        <f t="shared" si="2"/>
        <v>May 2025</v>
      </c>
      <c r="Q50" t="s">
        <v>37</v>
      </c>
      <c r="R50" s="7">
        <v>33588.550000000003</v>
      </c>
      <c r="S50" s="7">
        <f t="shared" si="3"/>
        <v>486364.51</v>
      </c>
    </row>
    <row r="51" spans="1:19" x14ac:dyDescent="0.3">
      <c r="A51" t="s">
        <v>225</v>
      </c>
      <c r="B51" s="5" t="s">
        <v>226</v>
      </c>
      <c r="C51" s="6">
        <f t="shared" si="0"/>
        <v>45870</v>
      </c>
      <c r="D51" t="s">
        <v>31</v>
      </c>
      <c r="E51" t="s">
        <v>53</v>
      </c>
      <c r="F51" t="s">
        <v>23</v>
      </c>
      <c r="G51" t="s">
        <v>227</v>
      </c>
      <c r="H51" t="s">
        <v>61</v>
      </c>
      <c r="I51">
        <v>2476</v>
      </c>
      <c r="J51" s="7">
        <v>252.44</v>
      </c>
      <c r="K51" s="7">
        <v>625041.43999999994</v>
      </c>
      <c r="L51">
        <v>21</v>
      </c>
      <c r="M51" t="s">
        <v>228</v>
      </c>
      <c r="N51" s="6">
        <f t="shared" si="1"/>
        <v>45870</v>
      </c>
      <c r="O51" t="s">
        <v>228</v>
      </c>
      <c r="P51" t="str">
        <f t="shared" si="2"/>
        <v>August 2025</v>
      </c>
      <c r="Q51" t="s">
        <v>37</v>
      </c>
      <c r="R51" s="7">
        <v>1109.55</v>
      </c>
      <c r="S51" s="7">
        <f t="shared" si="3"/>
        <v>626150.99</v>
      </c>
    </row>
    <row r="52" spans="1:19" x14ac:dyDescent="0.3">
      <c r="A52" t="s">
        <v>229</v>
      </c>
      <c r="B52" s="5" t="s">
        <v>230</v>
      </c>
      <c r="C52" s="6">
        <f t="shared" si="0"/>
        <v>45992</v>
      </c>
      <c r="D52" t="s">
        <v>109</v>
      </c>
      <c r="E52" t="s">
        <v>143</v>
      </c>
      <c r="F52" t="s">
        <v>45</v>
      </c>
      <c r="G52" t="s">
        <v>172</v>
      </c>
      <c r="H52" t="s">
        <v>47</v>
      </c>
      <c r="I52">
        <v>1900</v>
      </c>
      <c r="J52" s="7">
        <v>76.77</v>
      </c>
      <c r="K52" s="7">
        <v>145863</v>
      </c>
      <c r="L52">
        <v>461</v>
      </c>
      <c r="M52" t="s">
        <v>231</v>
      </c>
      <c r="N52" s="6">
        <f t="shared" si="1"/>
        <v>45992</v>
      </c>
      <c r="O52" t="s">
        <v>231</v>
      </c>
      <c r="P52" t="str">
        <f t="shared" si="2"/>
        <v>December 2025</v>
      </c>
      <c r="Q52" t="s">
        <v>37</v>
      </c>
      <c r="R52" s="7">
        <v>27042.86</v>
      </c>
      <c r="S52" s="7">
        <f t="shared" si="3"/>
        <v>172905.86</v>
      </c>
    </row>
    <row r="53" spans="1:19" x14ac:dyDescent="0.3">
      <c r="A53" t="s">
        <v>232</v>
      </c>
      <c r="B53" s="5" t="s">
        <v>233</v>
      </c>
      <c r="C53" s="6">
        <f t="shared" si="0"/>
        <v>45931</v>
      </c>
      <c r="D53" t="s">
        <v>21</v>
      </c>
      <c r="E53" t="s">
        <v>75</v>
      </c>
      <c r="F53" t="s">
        <v>23</v>
      </c>
      <c r="G53" t="s">
        <v>222</v>
      </c>
      <c r="H53" t="s">
        <v>47</v>
      </c>
      <c r="I53">
        <v>448</v>
      </c>
      <c r="J53" s="7">
        <v>356.39</v>
      </c>
      <c r="K53" s="7">
        <v>159662.72</v>
      </c>
      <c r="L53">
        <v>323</v>
      </c>
      <c r="M53" t="s">
        <v>234</v>
      </c>
      <c r="N53" s="6">
        <f t="shared" si="1"/>
        <v>45931</v>
      </c>
      <c r="O53" t="s">
        <v>235</v>
      </c>
      <c r="P53" t="str">
        <f t="shared" si="2"/>
        <v>November 2025</v>
      </c>
      <c r="Q53" t="s">
        <v>28</v>
      </c>
      <c r="R53" s="7">
        <v>11994.56</v>
      </c>
      <c r="S53" s="7">
        <f t="shared" si="3"/>
        <v>171657.28</v>
      </c>
    </row>
    <row r="54" spans="1:19" x14ac:dyDescent="0.3">
      <c r="A54" t="s">
        <v>236</v>
      </c>
      <c r="B54" s="5" t="s">
        <v>237</v>
      </c>
      <c r="C54" s="6">
        <f t="shared" si="0"/>
        <v>45962</v>
      </c>
      <c r="D54" t="s">
        <v>40</v>
      </c>
      <c r="E54" t="s">
        <v>22</v>
      </c>
      <c r="F54" t="s">
        <v>59</v>
      </c>
      <c r="G54" t="s">
        <v>138</v>
      </c>
      <c r="H54" t="s">
        <v>47</v>
      </c>
      <c r="I54">
        <v>1249</v>
      </c>
      <c r="J54" s="7">
        <v>109.41</v>
      </c>
      <c r="K54" s="7">
        <v>136653.09</v>
      </c>
      <c r="L54">
        <v>494</v>
      </c>
      <c r="M54" t="s">
        <v>238</v>
      </c>
      <c r="N54" s="6">
        <f t="shared" si="1"/>
        <v>45962</v>
      </c>
      <c r="O54" t="s">
        <v>239</v>
      </c>
      <c r="P54" t="str">
        <f t="shared" si="2"/>
        <v>November 2025</v>
      </c>
      <c r="Q54" t="s">
        <v>28</v>
      </c>
      <c r="R54" s="7">
        <v>30378.080000000002</v>
      </c>
      <c r="S54" s="7">
        <f t="shared" si="3"/>
        <v>167031.16999999998</v>
      </c>
    </row>
    <row r="55" spans="1:19" x14ac:dyDescent="0.3">
      <c r="A55" t="s">
        <v>240</v>
      </c>
      <c r="B55" s="5" t="s">
        <v>211</v>
      </c>
      <c r="C55" s="6">
        <f t="shared" si="0"/>
        <v>45901</v>
      </c>
      <c r="D55" t="s">
        <v>52</v>
      </c>
      <c r="E55" t="s">
        <v>70</v>
      </c>
      <c r="F55" t="s">
        <v>45</v>
      </c>
      <c r="G55" t="s">
        <v>241</v>
      </c>
      <c r="H55" t="s">
        <v>155</v>
      </c>
      <c r="I55">
        <v>1697</v>
      </c>
      <c r="J55" s="7">
        <v>702.55</v>
      </c>
      <c r="K55" s="7">
        <v>1192227.3500000001</v>
      </c>
      <c r="L55">
        <v>65</v>
      </c>
      <c r="M55" t="s">
        <v>242</v>
      </c>
      <c r="N55" s="6">
        <f t="shared" si="1"/>
        <v>45901</v>
      </c>
      <c r="O55" t="s">
        <v>162</v>
      </c>
      <c r="P55" t="str">
        <f t="shared" si="2"/>
        <v>September 2025</v>
      </c>
      <c r="Q55" t="s">
        <v>28</v>
      </c>
      <c r="R55" s="7">
        <v>3825.63</v>
      </c>
      <c r="S55" s="7">
        <f t="shared" si="3"/>
        <v>1196052.98</v>
      </c>
    </row>
    <row r="56" spans="1:19" x14ac:dyDescent="0.3">
      <c r="A56" t="s">
        <v>243</v>
      </c>
      <c r="B56" s="5" t="s">
        <v>244</v>
      </c>
      <c r="C56" s="6">
        <f t="shared" si="0"/>
        <v>45962</v>
      </c>
      <c r="D56" t="s">
        <v>31</v>
      </c>
      <c r="E56" t="s">
        <v>22</v>
      </c>
      <c r="F56" t="s">
        <v>23</v>
      </c>
      <c r="G56" t="s">
        <v>190</v>
      </c>
      <c r="H56" t="s">
        <v>91</v>
      </c>
      <c r="I56">
        <v>627</v>
      </c>
      <c r="J56" s="7">
        <v>469.71</v>
      </c>
      <c r="K56" s="7">
        <v>294508.17</v>
      </c>
      <c r="L56">
        <v>699</v>
      </c>
      <c r="M56" t="s">
        <v>245</v>
      </c>
      <c r="N56" s="6">
        <f t="shared" si="1"/>
        <v>45962</v>
      </c>
      <c r="O56" t="s">
        <v>245</v>
      </c>
      <c r="P56" t="str">
        <f t="shared" si="2"/>
        <v>November 2025</v>
      </c>
      <c r="Q56" t="s">
        <v>37</v>
      </c>
      <c r="R56" s="7">
        <v>42923.6</v>
      </c>
      <c r="S56" s="7">
        <f t="shared" si="3"/>
        <v>337431.76999999996</v>
      </c>
    </row>
    <row r="57" spans="1:19" x14ac:dyDescent="0.3">
      <c r="A57" t="s">
        <v>246</v>
      </c>
      <c r="B57" s="5" t="s">
        <v>185</v>
      </c>
      <c r="C57" s="6">
        <f t="shared" si="0"/>
        <v>45962</v>
      </c>
      <c r="D57" t="s">
        <v>52</v>
      </c>
      <c r="E57" t="s">
        <v>53</v>
      </c>
      <c r="F57" t="s">
        <v>59</v>
      </c>
      <c r="G57" t="s">
        <v>66</v>
      </c>
      <c r="H57" t="s">
        <v>91</v>
      </c>
      <c r="I57">
        <v>1115</v>
      </c>
      <c r="J57" s="7">
        <v>200.45</v>
      </c>
      <c r="K57" s="7">
        <v>223501.75</v>
      </c>
      <c r="L57">
        <v>660</v>
      </c>
      <c r="M57" t="s">
        <v>247</v>
      </c>
      <c r="N57" s="6">
        <f t="shared" si="1"/>
        <v>45962</v>
      </c>
      <c r="O57" t="s">
        <v>248</v>
      </c>
      <c r="P57" t="str">
        <f t="shared" si="2"/>
        <v>November 2025</v>
      </c>
      <c r="Q57" t="s">
        <v>28</v>
      </c>
      <c r="R57" s="7">
        <v>39548.120000000003</v>
      </c>
      <c r="S57" s="7">
        <f t="shared" si="3"/>
        <v>263049.87</v>
      </c>
    </row>
    <row r="58" spans="1:19" x14ac:dyDescent="0.3">
      <c r="A58" t="s">
        <v>249</v>
      </c>
      <c r="B58" s="5" t="s">
        <v>250</v>
      </c>
      <c r="C58" s="6">
        <f t="shared" si="0"/>
        <v>45870</v>
      </c>
      <c r="D58" t="s">
        <v>96</v>
      </c>
      <c r="E58" t="s">
        <v>70</v>
      </c>
      <c r="F58" t="s">
        <v>23</v>
      </c>
      <c r="G58" t="s">
        <v>190</v>
      </c>
      <c r="H58" t="s">
        <v>91</v>
      </c>
      <c r="I58">
        <v>2468</v>
      </c>
      <c r="J58" s="7">
        <v>602.20000000000005</v>
      </c>
      <c r="K58" s="7">
        <v>1486229.6</v>
      </c>
      <c r="L58">
        <v>272</v>
      </c>
      <c r="M58" t="s">
        <v>251</v>
      </c>
      <c r="N58" s="6">
        <f t="shared" si="1"/>
        <v>45870</v>
      </c>
      <c r="O58" t="s">
        <v>252</v>
      </c>
      <c r="P58" t="str">
        <f t="shared" si="2"/>
        <v>August 2025</v>
      </c>
      <c r="Q58" t="s">
        <v>28</v>
      </c>
      <c r="R58" s="7">
        <v>11119.51</v>
      </c>
      <c r="S58" s="7">
        <f t="shared" si="3"/>
        <v>1497349.11</v>
      </c>
    </row>
    <row r="59" spans="1:19" x14ac:dyDescent="0.3">
      <c r="A59" t="s">
        <v>253</v>
      </c>
      <c r="B59" s="5" t="s">
        <v>254</v>
      </c>
      <c r="C59" s="6">
        <f t="shared" si="0"/>
        <v>45901</v>
      </c>
      <c r="D59" t="s">
        <v>21</v>
      </c>
      <c r="E59" t="s">
        <v>53</v>
      </c>
      <c r="F59" t="s">
        <v>33</v>
      </c>
      <c r="G59" t="s">
        <v>71</v>
      </c>
      <c r="H59" t="s">
        <v>123</v>
      </c>
      <c r="I59">
        <v>310</v>
      </c>
      <c r="J59" s="7">
        <v>877.13</v>
      </c>
      <c r="K59" s="7">
        <v>271910.3</v>
      </c>
      <c r="L59">
        <v>122</v>
      </c>
      <c r="M59" t="s">
        <v>255</v>
      </c>
      <c r="N59" s="6">
        <f t="shared" si="1"/>
        <v>45901</v>
      </c>
      <c r="O59" t="s">
        <v>256</v>
      </c>
      <c r="P59" t="str">
        <f t="shared" si="2"/>
        <v>September 2025</v>
      </c>
      <c r="Q59" t="s">
        <v>28</v>
      </c>
      <c r="R59" s="7">
        <v>5808.36</v>
      </c>
      <c r="S59" s="7">
        <f t="shared" si="3"/>
        <v>277718.65999999997</v>
      </c>
    </row>
    <row r="60" spans="1:19" x14ac:dyDescent="0.3">
      <c r="A60" t="s">
        <v>257</v>
      </c>
      <c r="B60" s="5" t="s">
        <v>258</v>
      </c>
      <c r="C60" s="6">
        <f t="shared" si="0"/>
        <v>45931</v>
      </c>
      <c r="D60" t="s">
        <v>52</v>
      </c>
      <c r="E60" t="s">
        <v>143</v>
      </c>
      <c r="F60" t="s">
        <v>23</v>
      </c>
      <c r="G60" t="s">
        <v>46</v>
      </c>
      <c r="H60" t="s">
        <v>47</v>
      </c>
      <c r="I60">
        <v>841</v>
      </c>
      <c r="J60" s="7">
        <v>290.19</v>
      </c>
      <c r="K60" s="7">
        <v>244049.79</v>
      </c>
      <c r="L60">
        <v>425</v>
      </c>
      <c r="M60" t="s">
        <v>259</v>
      </c>
      <c r="N60" s="6">
        <f t="shared" si="1"/>
        <v>45931</v>
      </c>
      <c r="O60" t="s">
        <v>259</v>
      </c>
      <c r="P60" t="str">
        <f t="shared" si="2"/>
        <v>October 2025</v>
      </c>
      <c r="Q60" t="s">
        <v>37</v>
      </c>
      <c r="R60" s="7">
        <v>20752.34</v>
      </c>
      <c r="S60" s="7">
        <f t="shared" si="3"/>
        <v>264802.13</v>
      </c>
    </row>
    <row r="61" spans="1:19" x14ac:dyDescent="0.3">
      <c r="A61" t="s">
        <v>260</v>
      </c>
      <c r="B61" s="5" t="s">
        <v>78</v>
      </c>
      <c r="C61" s="6">
        <f t="shared" si="0"/>
        <v>45748</v>
      </c>
      <c r="D61" t="s">
        <v>21</v>
      </c>
      <c r="E61" t="s">
        <v>70</v>
      </c>
      <c r="F61" t="s">
        <v>33</v>
      </c>
      <c r="G61" t="s">
        <v>82</v>
      </c>
      <c r="H61" t="s">
        <v>91</v>
      </c>
      <c r="I61">
        <v>577</v>
      </c>
      <c r="J61" s="7">
        <v>847.51</v>
      </c>
      <c r="K61" s="7">
        <v>489013.27</v>
      </c>
      <c r="L61">
        <v>545</v>
      </c>
      <c r="M61" t="s">
        <v>261</v>
      </c>
      <c r="N61" s="6">
        <f t="shared" si="1"/>
        <v>45748</v>
      </c>
      <c r="O61" t="s">
        <v>262</v>
      </c>
      <c r="P61" t="str">
        <f t="shared" si="2"/>
        <v>April 2025</v>
      </c>
      <c r="Q61" t="s">
        <v>37</v>
      </c>
      <c r="R61" s="7">
        <v>28240.25</v>
      </c>
      <c r="S61" s="7">
        <f t="shared" si="3"/>
        <v>517253.52</v>
      </c>
    </row>
    <row r="62" spans="1:19" x14ac:dyDescent="0.3">
      <c r="A62" t="s">
        <v>263</v>
      </c>
      <c r="B62" s="5" t="s">
        <v>264</v>
      </c>
      <c r="C62" s="6">
        <f t="shared" si="0"/>
        <v>45748</v>
      </c>
      <c r="D62" t="s">
        <v>40</v>
      </c>
      <c r="E62" t="s">
        <v>70</v>
      </c>
      <c r="F62" t="s">
        <v>59</v>
      </c>
      <c r="G62" t="s">
        <v>265</v>
      </c>
      <c r="H62" t="s">
        <v>132</v>
      </c>
      <c r="I62">
        <v>2132</v>
      </c>
      <c r="J62" s="7">
        <v>327.94</v>
      </c>
      <c r="K62" s="7">
        <v>699168.08</v>
      </c>
      <c r="L62">
        <v>351</v>
      </c>
      <c r="M62" t="s">
        <v>78</v>
      </c>
      <c r="N62" s="6">
        <f t="shared" si="1"/>
        <v>45748</v>
      </c>
      <c r="O62" t="s">
        <v>78</v>
      </c>
      <c r="P62" t="str">
        <f t="shared" si="2"/>
        <v>April 2025</v>
      </c>
      <c r="Q62" t="s">
        <v>37</v>
      </c>
      <c r="R62" s="7">
        <v>16523.099999999999</v>
      </c>
      <c r="S62" s="7">
        <f t="shared" si="3"/>
        <v>715691.17999999993</v>
      </c>
    </row>
    <row r="63" spans="1:19" x14ac:dyDescent="0.3">
      <c r="A63" t="s">
        <v>266</v>
      </c>
      <c r="B63" s="5" t="s">
        <v>205</v>
      </c>
      <c r="C63" s="6">
        <f t="shared" si="0"/>
        <v>45870</v>
      </c>
      <c r="D63" t="s">
        <v>128</v>
      </c>
      <c r="E63" t="s">
        <v>75</v>
      </c>
      <c r="F63" t="s">
        <v>59</v>
      </c>
      <c r="G63" t="s">
        <v>71</v>
      </c>
      <c r="H63" t="s">
        <v>155</v>
      </c>
      <c r="I63">
        <v>848</v>
      </c>
      <c r="J63" s="7">
        <v>276.94</v>
      </c>
      <c r="K63" s="7">
        <v>234845.12</v>
      </c>
      <c r="L63">
        <v>511</v>
      </c>
      <c r="M63" t="s">
        <v>267</v>
      </c>
      <c r="N63" s="6">
        <f t="shared" si="1"/>
        <v>45870</v>
      </c>
      <c r="O63" t="s">
        <v>267</v>
      </c>
      <c r="P63" t="str">
        <f t="shared" si="2"/>
        <v>August 2025</v>
      </c>
      <c r="Q63" t="s">
        <v>37</v>
      </c>
      <c r="R63" s="7">
        <v>27401.51</v>
      </c>
      <c r="S63" s="7">
        <f t="shared" si="3"/>
        <v>262246.63</v>
      </c>
    </row>
    <row r="64" spans="1:19" x14ac:dyDescent="0.3">
      <c r="A64" t="s">
        <v>268</v>
      </c>
      <c r="B64" s="5" t="s">
        <v>269</v>
      </c>
      <c r="C64" s="6">
        <f t="shared" si="0"/>
        <v>45717</v>
      </c>
      <c r="D64" t="s">
        <v>40</v>
      </c>
      <c r="E64" t="s">
        <v>53</v>
      </c>
      <c r="F64" t="s">
        <v>23</v>
      </c>
      <c r="G64" t="s">
        <v>138</v>
      </c>
      <c r="H64" t="s">
        <v>25</v>
      </c>
      <c r="I64">
        <v>481</v>
      </c>
      <c r="J64" s="7">
        <v>233.89</v>
      </c>
      <c r="K64" s="7">
        <v>112501.09</v>
      </c>
      <c r="L64">
        <v>400</v>
      </c>
      <c r="M64" t="s">
        <v>270</v>
      </c>
      <c r="N64" s="6">
        <f t="shared" si="1"/>
        <v>45717</v>
      </c>
      <c r="O64" t="s">
        <v>270</v>
      </c>
      <c r="P64" t="str">
        <f t="shared" si="2"/>
        <v>March 2025</v>
      </c>
      <c r="Q64" t="s">
        <v>37</v>
      </c>
      <c r="R64" s="7">
        <v>14420.75</v>
      </c>
      <c r="S64" s="7">
        <f t="shared" si="3"/>
        <v>126921.84</v>
      </c>
    </row>
    <row r="65" spans="1:19" x14ac:dyDescent="0.3">
      <c r="A65" t="s">
        <v>271</v>
      </c>
      <c r="B65" s="5" t="s">
        <v>223</v>
      </c>
      <c r="C65" s="6">
        <f t="shared" si="0"/>
        <v>45778</v>
      </c>
      <c r="D65" t="s">
        <v>128</v>
      </c>
      <c r="E65" t="s">
        <v>75</v>
      </c>
      <c r="F65" t="s">
        <v>59</v>
      </c>
      <c r="G65" t="s">
        <v>24</v>
      </c>
      <c r="H65" t="s">
        <v>123</v>
      </c>
      <c r="I65">
        <v>718</v>
      </c>
      <c r="J65" s="7">
        <v>895.56</v>
      </c>
      <c r="K65" s="7">
        <v>643012.07999999996</v>
      </c>
      <c r="L65">
        <v>502</v>
      </c>
      <c r="M65" t="s">
        <v>272</v>
      </c>
      <c r="N65" s="6">
        <f t="shared" si="1"/>
        <v>45778</v>
      </c>
      <c r="O65" t="s">
        <v>272</v>
      </c>
      <c r="P65" t="str">
        <f t="shared" si="2"/>
        <v>May 2025</v>
      </c>
      <c r="Q65" t="s">
        <v>37</v>
      </c>
      <c r="R65" s="7">
        <v>23855.05</v>
      </c>
      <c r="S65" s="7">
        <f t="shared" si="3"/>
        <v>666867.13</v>
      </c>
    </row>
    <row r="66" spans="1:19" x14ac:dyDescent="0.3">
      <c r="A66" t="s">
        <v>273</v>
      </c>
      <c r="B66" s="5" t="s">
        <v>274</v>
      </c>
      <c r="C66" s="6">
        <f t="shared" si="0"/>
        <v>45717</v>
      </c>
      <c r="D66" t="s">
        <v>96</v>
      </c>
      <c r="E66" t="s">
        <v>22</v>
      </c>
      <c r="F66" t="s">
        <v>59</v>
      </c>
      <c r="G66" t="s">
        <v>265</v>
      </c>
      <c r="H66" t="s">
        <v>61</v>
      </c>
      <c r="I66">
        <v>2119</v>
      </c>
      <c r="J66" s="7">
        <v>731.26</v>
      </c>
      <c r="K66" s="7">
        <v>1549539.94</v>
      </c>
      <c r="L66">
        <v>333</v>
      </c>
      <c r="M66" t="s">
        <v>275</v>
      </c>
      <c r="N66" s="6">
        <f t="shared" si="1"/>
        <v>45717</v>
      </c>
      <c r="O66" t="s">
        <v>275</v>
      </c>
      <c r="P66" t="str">
        <f t="shared" si="2"/>
        <v>March 2025</v>
      </c>
      <c r="Q66" t="s">
        <v>37</v>
      </c>
      <c r="R66" s="7">
        <v>19478.03</v>
      </c>
      <c r="S66" s="7">
        <f t="shared" si="3"/>
        <v>1569017.97</v>
      </c>
    </row>
    <row r="67" spans="1:19" x14ac:dyDescent="0.3">
      <c r="A67" t="s">
        <v>276</v>
      </c>
      <c r="B67" s="5" t="s">
        <v>277</v>
      </c>
      <c r="C67" s="6">
        <f t="shared" ref="C67:C130" si="4">DATE(YEAR(B67), MONTH(B67), 1)</f>
        <v>45778</v>
      </c>
      <c r="D67" t="s">
        <v>52</v>
      </c>
      <c r="E67" t="s">
        <v>53</v>
      </c>
      <c r="F67" t="s">
        <v>59</v>
      </c>
      <c r="G67" t="s">
        <v>54</v>
      </c>
      <c r="H67" t="s">
        <v>55</v>
      </c>
      <c r="I67">
        <v>2211</v>
      </c>
      <c r="J67" s="7">
        <v>136.80000000000001</v>
      </c>
      <c r="K67" s="7">
        <v>302464.8</v>
      </c>
      <c r="L67">
        <v>715</v>
      </c>
      <c r="M67" t="s">
        <v>217</v>
      </c>
      <c r="N67" s="6">
        <f t="shared" ref="N67:N130" si="5">DATE(YEAR(M67), MONTH(M67),1)</f>
        <v>45809</v>
      </c>
      <c r="O67" t="s">
        <v>278</v>
      </c>
      <c r="P67" t="str">
        <f t="shared" ref="P67:P130" si="6">TEXT(O67, "mmmm yyyy")</f>
        <v>June 2025</v>
      </c>
      <c r="Q67" t="s">
        <v>28</v>
      </c>
      <c r="R67" s="7">
        <v>42716.74</v>
      </c>
      <c r="S67" s="7">
        <f t="shared" ref="S67:S130" si="7">K67 +R67</f>
        <v>345181.54</v>
      </c>
    </row>
    <row r="68" spans="1:19" x14ac:dyDescent="0.3">
      <c r="A68" t="s">
        <v>279</v>
      </c>
      <c r="B68" s="5" t="s">
        <v>277</v>
      </c>
      <c r="C68" s="6">
        <f t="shared" si="4"/>
        <v>45778</v>
      </c>
      <c r="D68" t="s">
        <v>31</v>
      </c>
      <c r="E68" t="s">
        <v>22</v>
      </c>
      <c r="F68" t="s">
        <v>33</v>
      </c>
      <c r="G68" t="s">
        <v>54</v>
      </c>
      <c r="H68" t="s">
        <v>132</v>
      </c>
      <c r="I68">
        <v>1164</v>
      </c>
      <c r="J68" s="7">
        <v>116.04</v>
      </c>
      <c r="K68" s="7">
        <v>135070.56</v>
      </c>
      <c r="L68">
        <v>323</v>
      </c>
      <c r="M68" t="s">
        <v>208</v>
      </c>
      <c r="N68" s="6">
        <f t="shared" si="5"/>
        <v>45778</v>
      </c>
      <c r="O68" t="s">
        <v>280</v>
      </c>
      <c r="P68" t="str">
        <f t="shared" si="6"/>
        <v>June 2025</v>
      </c>
      <c r="Q68" t="s">
        <v>28</v>
      </c>
      <c r="R68" s="7">
        <v>14273.14</v>
      </c>
      <c r="S68" s="7">
        <f t="shared" si="7"/>
        <v>149343.70000000001</v>
      </c>
    </row>
    <row r="69" spans="1:19" x14ac:dyDescent="0.3">
      <c r="A69" t="s">
        <v>281</v>
      </c>
      <c r="B69" s="5" t="s">
        <v>282</v>
      </c>
      <c r="C69" s="6">
        <f t="shared" si="4"/>
        <v>45778</v>
      </c>
      <c r="D69" t="s">
        <v>31</v>
      </c>
      <c r="E69" t="s">
        <v>22</v>
      </c>
      <c r="F69" t="s">
        <v>59</v>
      </c>
      <c r="G69" t="s">
        <v>283</v>
      </c>
      <c r="H69" t="s">
        <v>77</v>
      </c>
      <c r="I69">
        <v>2194</v>
      </c>
      <c r="J69" s="7">
        <v>279.01</v>
      </c>
      <c r="K69" s="7">
        <v>612147.93999999994</v>
      </c>
      <c r="L69">
        <v>498</v>
      </c>
      <c r="M69" t="s">
        <v>284</v>
      </c>
      <c r="N69" s="6">
        <f t="shared" si="5"/>
        <v>45778</v>
      </c>
      <c r="O69" t="s">
        <v>285</v>
      </c>
      <c r="P69" t="str">
        <f t="shared" si="6"/>
        <v>May 2025</v>
      </c>
      <c r="Q69" t="s">
        <v>37</v>
      </c>
      <c r="R69" s="7">
        <v>21211.63</v>
      </c>
      <c r="S69" s="7">
        <f t="shared" si="7"/>
        <v>633359.56999999995</v>
      </c>
    </row>
    <row r="70" spans="1:19" x14ac:dyDescent="0.3">
      <c r="A70" t="s">
        <v>286</v>
      </c>
      <c r="B70" s="5" t="s">
        <v>287</v>
      </c>
      <c r="C70" s="6">
        <f t="shared" si="4"/>
        <v>45658</v>
      </c>
      <c r="D70" t="s">
        <v>52</v>
      </c>
      <c r="E70" t="s">
        <v>143</v>
      </c>
      <c r="F70" t="s">
        <v>45</v>
      </c>
      <c r="G70" t="s">
        <v>110</v>
      </c>
      <c r="H70" t="s">
        <v>35</v>
      </c>
      <c r="I70">
        <v>1667</v>
      </c>
      <c r="J70" s="7">
        <v>166.65</v>
      </c>
      <c r="K70" s="7">
        <v>277805.55</v>
      </c>
      <c r="L70">
        <v>42</v>
      </c>
      <c r="M70" t="s">
        <v>44</v>
      </c>
      <c r="N70" s="6">
        <f t="shared" si="5"/>
        <v>45658</v>
      </c>
      <c r="O70" t="s">
        <v>287</v>
      </c>
      <c r="P70" t="str">
        <f t="shared" si="6"/>
        <v>January 2025</v>
      </c>
      <c r="Q70" t="s">
        <v>37</v>
      </c>
      <c r="R70" s="7">
        <v>2461.84</v>
      </c>
      <c r="S70" s="7">
        <f t="shared" si="7"/>
        <v>280267.39</v>
      </c>
    </row>
    <row r="71" spans="1:19" x14ac:dyDescent="0.3">
      <c r="A71" t="s">
        <v>288</v>
      </c>
      <c r="B71" s="5" t="s">
        <v>289</v>
      </c>
      <c r="C71" s="6">
        <f t="shared" si="4"/>
        <v>45901</v>
      </c>
      <c r="D71" t="s">
        <v>109</v>
      </c>
      <c r="E71" t="s">
        <v>22</v>
      </c>
      <c r="F71" t="s">
        <v>45</v>
      </c>
      <c r="G71" t="s">
        <v>190</v>
      </c>
      <c r="H71" t="s">
        <v>132</v>
      </c>
      <c r="I71">
        <v>2364</v>
      </c>
      <c r="J71" s="7">
        <v>84.81</v>
      </c>
      <c r="K71" s="7">
        <v>200490.84</v>
      </c>
      <c r="L71">
        <v>256</v>
      </c>
      <c r="M71" t="s">
        <v>254</v>
      </c>
      <c r="N71" s="6">
        <f t="shared" si="5"/>
        <v>45901</v>
      </c>
      <c r="O71" t="s">
        <v>290</v>
      </c>
      <c r="P71" t="str">
        <f t="shared" si="6"/>
        <v>September 2025</v>
      </c>
      <c r="Q71" t="s">
        <v>28</v>
      </c>
      <c r="R71" s="7">
        <v>11364.48</v>
      </c>
      <c r="S71" s="7">
        <f t="shared" si="7"/>
        <v>211855.32</v>
      </c>
    </row>
    <row r="72" spans="1:19" x14ac:dyDescent="0.3">
      <c r="A72" t="s">
        <v>291</v>
      </c>
      <c r="B72" s="5" t="s">
        <v>195</v>
      </c>
      <c r="C72" s="6">
        <f t="shared" si="4"/>
        <v>45658</v>
      </c>
      <c r="D72" t="s">
        <v>21</v>
      </c>
      <c r="E72" t="s">
        <v>22</v>
      </c>
      <c r="F72" t="s">
        <v>33</v>
      </c>
      <c r="G72" t="s">
        <v>179</v>
      </c>
      <c r="H72" t="s">
        <v>132</v>
      </c>
      <c r="I72">
        <v>749</v>
      </c>
      <c r="J72" s="7">
        <v>432.39</v>
      </c>
      <c r="K72" s="7">
        <v>323860.11</v>
      </c>
      <c r="L72">
        <v>311</v>
      </c>
      <c r="M72" t="s">
        <v>215</v>
      </c>
      <c r="N72" s="6">
        <f t="shared" si="5"/>
        <v>45658</v>
      </c>
      <c r="O72" t="s">
        <v>215</v>
      </c>
      <c r="P72" t="str">
        <f t="shared" si="6"/>
        <v>January 2025</v>
      </c>
      <c r="Q72" t="s">
        <v>37</v>
      </c>
      <c r="R72" s="7">
        <v>12938.59</v>
      </c>
      <c r="S72" s="7">
        <f t="shared" si="7"/>
        <v>336798.7</v>
      </c>
    </row>
    <row r="73" spans="1:19" x14ac:dyDescent="0.3">
      <c r="A73" t="s">
        <v>292</v>
      </c>
      <c r="B73" s="5" t="s">
        <v>218</v>
      </c>
      <c r="C73" s="6">
        <f t="shared" si="4"/>
        <v>45809</v>
      </c>
      <c r="D73" t="s">
        <v>31</v>
      </c>
      <c r="E73" t="s">
        <v>70</v>
      </c>
      <c r="F73" t="s">
        <v>59</v>
      </c>
      <c r="G73" t="s">
        <v>159</v>
      </c>
      <c r="H73" t="s">
        <v>47</v>
      </c>
      <c r="I73">
        <v>1831</v>
      </c>
      <c r="J73" s="7">
        <v>775.62</v>
      </c>
      <c r="K73" s="7">
        <v>1420160.22</v>
      </c>
      <c r="L73">
        <v>318</v>
      </c>
      <c r="M73" t="s">
        <v>293</v>
      </c>
      <c r="N73" s="6">
        <f t="shared" si="5"/>
        <v>45809</v>
      </c>
      <c r="O73" t="s">
        <v>293</v>
      </c>
      <c r="P73" t="str">
        <f t="shared" si="6"/>
        <v>June 2025</v>
      </c>
      <c r="Q73" t="s">
        <v>37</v>
      </c>
      <c r="R73" s="7">
        <v>15238.34</v>
      </c>
      <c r="S73" s="7">
        <f t="shared" si="7"/>
        <v>1435398.56</v>
      </c>
    </row>
    <row r="74" spans="1:19" x14ac:dyDescent="0.3">
      <c r="A74" t="s">
        <v>294</v>
      </c>
      <c r="B74" s="5" t="s">
        <v>295</v>
      </c>
      <c r="C74" s="6">
        <f t="shared" si="4"/>
        <v>45717</v>
      </c>
      <c r="D74" t="s">
        <v>40</v>
      </c>
      <c r="E74" t="s">
        <v>32</v>
      </c>
      <c r="F74" t="s">
        <v>45</v>
      </c>
      <c r="G74" t="s">
        <v>34</v>
      </c>
      <c r="H74" t="s">
        <v>77</v>
      </c>
      <c r="I74">
        <v>1336</v>
      </c>
      <c r="J74" s="7">
        <v>708.25</v>
      </c>
      <c r="K74" s="7">
        <v>946222</v>
      </c>
      <c r="L74">
        <v>352</v>
      </c>
      <c r="M74" t="s">
        <v>296</v>
      </c>
      <c r="N74" s="6">
        <f t="shared" si="5"/>
        <v>45717</v>
      </c>
      <c r="O74" t="s">
        <v>296</v>
      </c>
      <c r="P74" t="str">
        <f t="shared" si="6"/>
        <v>March 2025</v>
      </c>
      <c r="Q74" t="s">
        <v>37</v>
      </c>
      <c r="R74" s="7">
        <v>15870.61</v>
      </c>
      <c r="S74" s="7">
        <f t="shared" si="7"/>
        <v>962092.61</v>
      </c>
    </row>
    <row r="75" spans="1:19" x14ac:dyDescent="0.3">
      <c r="A75" t="s">
        <v>297</v>
      </c>
      <c r="B75" s="5" t="s">
        <v>298</v>
      </c>
      <c r="C75" s="6">
        <f t="shared" si="4"/>
        <v>45748</v>
      </c>
      <c r="D75" t="s">
        <v>52</v>
      </c>
      <c r="E75" t="s">
        <v>70</v>
      </c>
      <c r="F75" t="s">
        <v>33</v>
      </c>
      <c r="G75" t="s">
        <v>138</v>
      </c>
      <c r="H75" t="s">
        <v>123</v>
      </c>
      <c r="I75">
        <v>378</v>
      </c>
      <c r="J75" s="7">
        <v>298.88</v>
      </c>
      <c r="K75" s="7">
        <v>112976.64</v>
      </c>
      <c r="L75">
        <v>588</v>
      </c>
      <c r="M75" t="s">
        <v>131</v>
      </c>
      <c r="N75" s="6">
        <f t="shared" si="5"/>
        <v>45748</v>
      </c>
      <c r="O75" t="s">
        <v>131</v>
      </c>
      <c r="P75" t="str">
        <f t="shared" si="6"/>
        <v>April 2025</v>
      </c>
      <c r="Q75" t="s">
        <v>37</v>
      </c>
      <c r="R75" s="7">
        <v>26079.55</v>
      </c>
      <c r="S75" s="7">
        <f t="shared" si="7"/>
        <v>139056.19</v>
      </c>
    </row>
    <row r="76" spans="1:19" x14ac:dyDescent="0.3">
      <c r="A76" t="s">
        <v>299</v>
      </c>
      <c r="B76" s="5" t="s">
        <v>300</v>
      </c>
      <c r="C76" s="6">
        <f t="shared" si="4"/>
        <v>45809</v>
      </c>
      <c r="D76" t="s">
        <v>109</v>
      </c>
      <c r="E76" t="s">
        <v>32</v>
      </c>
      <c r="F76" t="s">
        <v>59</v>
      </c>
      <c r="G76" t="s">
        <v>76</v>
      </c>
      <c r="H76" t="s">
        <v>25</v>
      </c>
      <c r="I76">
        <v>1995</v>
      </c>
      <c r="J76" s="7">
        <v>255.27</v>
      </c>
      <c r="K76" s="7">
        <v>509263.65</v>
      </c>
      <c r="L76">
        <v>200</v>
      </c>
      <c r="M76" t="s">
        <v>301</v>
      </c>
      <c r="N76" s="6">
        <f t="shared" si="5"/>
        <v>45809</v>
      </c>
      <c r="O76" t="s">
        <v>302</v>
      </c>
      <c r="P76" t="str">
        <f t="shared" si="6"/>
        <v>June 2025</v>
      </c>
      <c r="Q76" t="s">
        <v>28</v>
      </c>
      <c r="R76" s="7">
        <v>8046.48</v>
      </c>
      <c r="S76" s="7">
        <f t="shared" si="7"/>
        <v>517310.13</v>
      </c>
    </row>
    <row r="77" spans="1:19" x14ac:dyDescent="0.3">
      <c r="A77" t="s">
        <v>303</v>
      </c>
      <c r="B77" s="5" t="s">
        <v>244</v>
      </c>
      <c r="C77" s="6">
        <f t="shared" si="4"/>
        <v>45962</v>
      </c>
      <c r="D77" t="s">
        <v>52</v>
      </c>
      <c r="E77" t="s">
        <v>22</v>
      </c>
      <c r="F77" t="s">
        <v>59</v>
      </c>
      <c r="G77" t="s">
        <v>159</v>
      </c>
      <c r="H77" t="s">
        <v>91</v>
      </c>
      <c r="I77">
        <v>895</v>
      </c>
      <c r="J77" s="7">
        <v>549.77</v>
      </c>
      <c r="K77" s="7">
        <v>492044.15</v>
      </c>
      <c r="L77">
        <v>55</v>
      </c>
      <c r="M77" t="s">
        <v>304</v>
      </c>
      <c r="N77" s="6">
        <f t="shared" si="5"/>
        <v>45962</v>
      </c>
      <c r="O77" t="s">
        <v>304</v>
      </c>
      <c r="P77" t="str">
        <f t="shared" si="6"/>
        <v>November 2025</v>
      </c>
      <c r="Q77" t="s">
        <v>37</v>
      </c>
      <c r="R77" s="7">
        <v>2731.45</v>
      </c>
      <c r="S77" s="7">
        <f t="shared" si="7"/>
        <v>494775.60000000003</v>
      </c>
    </row>
    <row r="78" spans="1:19" x14ac:dyDescent="0.3">
      <c r="A78" t="s">
        <v>305</v>
      </c>
      <c r="B78" s="5" t="s">
        <v>154</v>
      </c>
      <c r="C78" s="6">
        <f t="shared" si="4"/>
        <v>45901</v>
      </c>
      <c r="D78" t="s">
        <v>52</v>
      </c>
      <c r="E78" t="s">
        <v>143</v>
      </c>
      <c r="F78" t="s">
        <v>23</v>
      </c>
      <c r="G78" t="s">
        <v>168</v>
      </c>
      <c r="H78" t="s">
        <v>35</v>
      </c>
      <c r="I78">
        <v>705</v>
      </c>
      <c r="J78" s="7">
        <v>568.64</v>
      </c>
      <c r="K78" s="7">
        <v>400891.2</v>
      </c>
      <c r="L78">
        <v>560</v>
      </c>
      <c r="M78" t="s">
        <v>156</v>
      </c>
      <c r="N78" s="6">
        <f t="shared" si="5"/>
        <v>45931</v>
      </c>
      <c r="O78" t="s">
        <v>306</v>
      </c>
      <c r="P78" t="str">
        <f t="shared" si="6"/>
        <v>October 2025</v>
      </c>
      <c r="Q78" t="s">
        <v>28</v>
      </c>
      <c r="R78" s="7">
        <v>23520.39</v>
      </c>
      <c r="S78" s="7">
        <f t="shared" si="7"/>
        <v>424411.59</v>
      </c>
    </row>
    <row r="79" spans="1:19" x14ac:dyDescent="0.3">
      <c r="A79" t="s">
        <v>307</v>
      </c>
      <c r="B79" s="5" t="s">
        <v>308</v>
      </c>
      <c r="C79" s="6">
        <f t="shared" si="4"/>
        <v>45658</v>
      </c>
      <c r="D79" t="s">
        <v>31</v>
      </c>
      <c r="E79" t="s">
        <v>22</v>
      </c>
      <c r="F79" t="s">
        <v>45</v>
      </c>
      <c r="G79" t="s">
        <v>227</v>
      </c>
      <c r="H79" t="s">
        <v>132</v>
      </c>
      <c r="I79">
        <v>1533</v>
      </c>
      <c r="J79" s="7">
        <v>395.58</v>
      </c>
      <c r="K79" s="7">
        <v>606424.14</v>
      </c>
      <c r="L79">
        <v>128</v>
      </c>
      <c r="M79" t="s">
        <v>309</v>
      </c>
      <c r="N79" s="6">
        <f t="shared" si="5"/>
        <v>45658</v>
      </c>
      <c r="O79" t="s">
        <v>309</v>
      </c>
      <c r="P79" t="str">
        <f t="shared" si="6"/>
        <v>January 2025</v>
      </c>
      <c r="Q79" t="s">
        <v>37</v>
      </c>
      <c r="R79" s="7">
        <v>5297.95</v>
      </c>
      <c r="S79" s="7">
        <f t="shared" si="7"/>
        <v>611722.09</v>
      </c>
    </row>
    <row r="80" spans="1:19" x14ac:dyDescent="0.3">
      <c r="A80" t="s">
        <v>310</v>
      </c>
      <c r="B80" s="5" t="s">
        <v>311</v>
      </c>
      <c r="C80" s="6">
        <f t="shared" si="4"/>
        <v>45962</v>
      </c>
      <c r="D80" t="s">
        <v>128</v>
      </c>
      <c r="E80" t="s">
        <v>32</v>
      </c>
      <c r="F80" t="s">
        <v>45</v>
      </c>
      <c r="G80" t="s">
        <v>163</v>
      </c>
      <c r="H80" t="s">
        <v>155</v>
      </c>
      <c r="I80">
        <v>2278</v>
      </c>
      <c r="J80" s="7">
        <v>682.78</v>
      </c>
      <c r="K80" s="7">
        <v>1555372.84</v>
      </c>
      <c r="L80">
        <v>547</v>
      </c>
      <c r="M80" t="s">
        <v>312</v>
      </c>
      <c r="N80" s="6">
        <f t="shared" si="5"/>
        <v>45962</v>
      </c>
      <c r="O80" t="s">
        <v>312</v>
      </c>
      <c r="P80" t="str">
        <f t="shared" si="6"/>
        <v>November 2025</v>
      </c>
      <c r="Q80" t="s">
        <v>37</v>
      </c>
      <c r="R80" s="7">
        <v>28572.639999999999</v>
      </c>
      <c r="S80" s="7">
        <f t="shared" si="7"/>
        <v>1583945.48</v>
      </c>
    </row>
    <row r="81" spans="1:19" x14ac:dyDescent="0.3">
      <c r="A81" t="s">
        <v>313</v>
      </c>
      <c r="B81" s="5" t="s">
        <v>314</v>
      </c>
      <c r="C81" s="6">
        <f t="shared" si="4"/>
        <v>45870</v>
      </c>
      <c r="D81" t="s">
        <v>52</v>
      </c>
      <c r="E81" t="s">
        <v>143</v>
      </c>
      <c r="F81" t="s">
        <v>45</v>
      </c>
      <c r="G81" t="s">
        <v>24</v>
      </c>
      <c r="H81" t="s">
        <v>25</v>
      </c>
      <c r="I81">
        <v>563</v>
      </c>
      <c r="J81" s="7">
        <v>237.92</v>
      </c>
      <c r="K81" s="7">
        <v>133948.96</v>
      </c>
      <c r="L81">
        <v>335</v>
      </c>
      <c r="M81" t="s">
        <v>81</v>
      </c>
      <c r="N81" s="6">
        <f t="shared" si="5"/>
        <v>45870</v>
      </c>
      <c r="O81" t="s">
        <v>314</v>
      </c>
      <c r="P81" t="str">
        <f t="shared" si="6"/>
        <v>August 2025</v>
      </c>
      <c r="Q81" t="s">
        <v>37</v>
      </c>
      <c r="R81" s="7">
        <v>12054.53</v>
      </c>
      <c r="S81" s="7">
        <f t="shared" si="7"/>
        <v>146003.49</v>
      </c>
    </row>
    <row r="82" spans="1:19" x14ac:dyDescent="0.3">
      <c r="A82" t="s">
        <v>315</v>
      </c>
      <c r="B82" s="5" t="s">
        <v>316</v>
      </c>
      <c r="C82" s="6">
        <f t="shared" si="4"/>
        <v>45839</v>
      </c>
      <c r="D82" t="s">
        <v>128</v>
      </c>
      <c r="E82" t="s">
        <v>53</v>
      </c>
      <c r="F82" t="s">
        <v>59</v>
      </c>
      <c r="G82" t="s">
        <v>60</v>
      </c>
      <c r="H82" t="s">
        <v>77</v>
      </c>
      <c r="I82">
        <v>1136</v>
      </c>
      <c r="J82" s="7">
        <v>572.64</v>
      </c>
      <c r="K82" s="7">
        <v>650519.04000000004</v>
      </c>
      <c r="L82">
        <v>293</v>
      </c>
      <c r="M82" t="s">
        <v>317</v>
      </c>
      <c r="N82" s="6">
        <f t="shared" si="5"/>
        <v>45839</v>
      </c>
      <c r="O82" t="s">
        <v>317</v>
      </c>
      <c r="P82" t="str">
        <f t="shared" si="6"/>
        <v>July 2025</v>
      </c>
      <c r="Q82" t="s">
        <v>37</v>
      </c>
      <c r="R82" s="7">
        <v>14446.25</v>
      </c>
      <c r="S82" s="7">
        <f t="shared" si="7"/>
        <v>664965.29</v>
      </c>
    </row>
    <row r="83" spans="1:19" x14ac:dyDescent="0.3">
      <c r="A83" t="s">
        <v>318</v>
      </c>
      <c r="B83" s="5" t="s">
        <v>319</v>
      </c>
      <c r="C83" s="6">
        <f t="shared" si="4"/>
        <v>45658</v>
      </c>
      <c r="D83" t="s">
        <v>52</v>
      </c>
      <c r="E83" t="s">
        <v>22</v>
      </c>
      <c r="F83" t="s">
        <v>33</v>
      </c>
      <c r="G83" t="s">
        <v>227</v>
      </c>
      <c r="H83" t="s">
        <v>55</v>
      </c>
      <c r="I83">
        <v>942</v>
      </c>
      <c r="J83" s="7">
        <v>457.57</v>
      </c>
      <c r="K83" s="7">
        <v>431030.94</v>
      </c>
      <c r="L83">
        <v>589</v>
      </c>
      <c r="M83" t="s">
        <v>320</v>
      </c>
      <c r="N83" s="6">
        <f t="shared" si="5"/>
        <v>45658</v>
      </c>
      <c r="O83" t="s">
        <v>320</v>
      </c>
      <c r="P83" t="str">
        <f t="shared" si="6"/>
        <v>January 2025</v>
      </c>
      <c r="Q83" t="s">
        <v>37</v>
      </c>
      <c r="R83" s="7">
        <v>36350.06</v>
      </c>
      <c r="S83" s="7">
        <f t="shared" si="7"/>
        <v>467381</v>
      </c>
    </row>
    <row r="84" spans="1:19" x14ac:dyDescent="0.3">
      <c r="A84" t="s">
        <v>321</v>
      </c>
      <c r="B84" s="5" t="s">
        <v>322</v>
      </c>
      <c r="C84" s="6">
        <f t="shared" si="4"/>
        <v>45778</v>
      </c>
      <c r="D84" t="s">
        <v>109</v>
      </c>
      <c r="E84" t="s">
        <v>22</v>
      </c>
      <c r="F84" t="s">
        <v>23</v>
      </c>
      <c r="G84" t="s">
        <v>54</v>
      </c>
      <c r="H84" t="s">
        <v>91</v>
      </c>
      <c r="I84">
        <v>209</v>
      </c>
      <c r="J84" s="7">
        <v>841.96</v>
      </c>
      <c r="K84" s="7">
        <v>175969.64</v>
      </c>
      <c r="L84">
        <v>242</v>
      </c>
      <c r="M84" t="s">
        <v>277</v>
      </c>
      <c r="N84" s="6">
        <f t="shared" si="5"/>
        <v>45778</v>
      </c>
      <c r="O84" t="s">
        <v>280</v>
      </c>
      <c r="P84" t="str">
        <f t="shared" si="6"/>
        <v>June 2025</v>
      </c>
      <c r="Q84" t="s">
        <v>28</v>
      </c>
      <c r="R84" s="7">
        <v>11784.85</v>
      </c>
      <c r="S84" s="7">
        <f t="shared" si="7"/>
        <v>187754.49000000002</v>
      </c>
    </row>
    <row r="85" spans="1:19" x14ac:dyDescent="0.3">
      <c r="A85" t="s">
        <v>323</v>
      </c>
      <c r="B85" s="5" t="s">
        <v>324</v>
      </c>
      <c r="C85" s="6">
        <f t="shared" si="4"/>
        <v>45689</v>
      </c>
      <c r="D85" t="s">
        <v>128</v>
      </c>
      <c r="E85" t="s">
        <v>143</v>
      </c>
      <c r="F85" t="s">
        <v>59</v>
      </c>
      <c r="G85" t="s">
        <v>265</v>
      </c>
      <c r="H85" t="s">
        <v>132</v>
      </c>
      <c r="I85">
        <v>1124</v>
      </c>
      <c r="J85" s="7">
        <v>277.98</v>
      </c>
      <c r="K85" s="7">
        <v>312449.52</v>
      </c>
      <c r="L85">
        <v>393</v>
      </c>
      <c r="M85" t="s">
        <v>325</v>
      </c>
      <c r="N85" s="6">
        <f t="shared" si="5"/>
        <v>45717</v>
      </c>
      <c r="O85" t="s">
        <v>325</v>
      </c>
      <c r="P85" t="str">
        <f t="shared" si="6"/>
        <v>March 2025</v>
      </c>
      <c r="Q85" t="s">
        <v>37</v>
      </c>
      <c r="R85" s="7">
        <v>21282.58</v>
      </c>
      <c r="S85" s="7">
        <f t="shared" si="7"/>
        <v>333732.10000000003</v>
      </c>
    </row>
    <row r="86" spans="1:19" x14ac:dyDescent="0.3">
      <c r="A86" t="s">
        <v>326</v>
      </c>
      <c r="B86" s="5" t="s">
        <v>48</v>
      </c>
      <c r="C86" s="6">
        <f t="shared" si="4"/>
        <v>45658</v>
      </c>
      <c r="D86" t="s">
        <v>109</v>
      </c>
      <c r="E86" t="s">
        <v>143</v>
      </c>
      <c r="F86" t="s">
        <v>59</v>
      </c>
      <c r="G86" t="s">
        <v>265</v>
      </c>
      <c r="H86" t="s">
        <v>35</v>
      </c>
      <c r="I86">
        <v>1628</v>
      </c>
      <c r="J86" s="7">
        <v>384.72</v>
      </c>
      <c r="K86" s="7">
        <v>626324.16</v>
      </c>
      <c r="L86">
        <v>471</v>
      </c>
      <c r="M86" t="s">
        <v>327</v>
      </c>
      <c r="N86" s="6">
        <f t="shared" si="5"/>
        <v>45658</v>
      </c>
      <c r="O86" t="s">
        <v>328</v>
      </c>
      <c r="P86" t="str">
        <f t="shared" si="6"/>
        <v>January 2025</v>
      </c>
      <c r="Q86" t="s">
        <v>37</v>
      </c>
      <c r="R86" s="7">
        <v>17438.759999999998</v>
      </c>
      <c r="S86" s="7">
        <f t="shared" si="7"/>
        <v>643762.92000000004</v>
      </c>
    </row>
    <row r="87" spans="1:19" x14ac:dyDescent="0.3">
      <c r="A87" t="s">
        <v>329</v>
      </c>
      <c r="B87" s="5" t="s">
        <v>330</v>
      </c>
      <c r="C87" s="6">
        <f t="shared" si="4"/>
        <v>45809</v>
      </c>
      <c r="D87" t="s">
        <v>96</v>
      </c>
      <c r="E87" t="s">
        <v>70</v>
      </c>
      <c r="F87" t="s">
        <v>33</v>
      </c>
      <c r="G87" t="s">
        <v>76</v>
      </c>
      <c r="H87" t="s">
        <v>91</v>
      </c>
      <c r="I87">
        <v>1105</v>
      </c>
      <c r="J87" s="7">
        <v>115.04</v>
      </c>
      <c r="K87" s="7">
        <v>127119.2</v>
      </c>
      <c r="L87">
        <v>546</v>
      </c>
      <c r="M87" t="s">
        <v>331</v>
      </c>
      <c r="N87" s="6">
        <f t="shared" si="5"/>
        <v>45809</v>
      </c>
      <c r="O87" t="s">
        <v>331</v>
      </c>
      <c r="P87" t="str">
        <f t="shared" si="6"/>
        <v>June 2025</v>
      </c>
      <c r="Q87" t="s">
        <v>37</v>
      </c>
      <c r="R87" s="7">
        <v>33817.339999999997</v>
      </c>
      <c r="S87" s="7">
        <f t="shared" si="7"/>
        <v>160936.53999999998</v>
      </c>
    </row>
    <row r="88" spans="1:19" x14ac:dyDescent="0.3">
      <c r="A88" t="s">
        <v>332</v>
      </c>
      <c r="B88" s="5" t="s">
        <v>333</v>
      </c>
      <c r="C88" s="6">
        <f t="shared" si="4"/>
        <v>45992</v>
      </c>
      <c r="D88" t="s">
        <v>31</v>
      </c>
      <c r="E88" t="s">
        <v>143</v>
      </c>
      <c r="F88" t="s">
        <v>33</v>
      </c>
      <c r="G88" t="s">
        <v>265</v>
      </c>
      <c r="H88" t="s">
        <v>55</v>
      </c>
      <c r="I88">
        <v>2295</v>
      </c>
      <c r="J88" s="7">
        <v>545.44000000000005</v>
      </c>
      <c r="K88" s="7">
        <v>1251784.8</v>
      </c>
      <c r="L88">
        <v>295</v>
      </c>
      <c r="M88" t="s">
        <v>334</v>
      </c>
      <c r="N88" s="6">
        <f t="shared" si="5"/>
        <v>45992</v>
      </c>
      <c r="O88" t="s">
        <v>334</v>
      </c>
      <c r="P88" t="str">
        <f t="shared" si="6"/>
        <v>December 2025</v>
      </c>
      <c r="Q88" t="s">
        <v>37</v>
      </c>
      <c r="R88" s="7">
        <v>16295.53</v>
      </c>
      <c r="S88" s="7">
        <f t="shared" si="7"/>
        <v>1268080.33</v>
      </c>
    </row>
    <row r="89" spans="1:19" x14ac:dyDescent="0.3">
      <c r="A89" t="s">
        <v>335</v>
      </c>
      <c r="B89" s="5" t="s">
        <v>223</v>
      </c>
      <c r="C89" s="6">
        <f t="shared" si="4"/>
        <v>45778</v>
      </c>
      <c r="D89" t="s">
        <v>40</v>
      </c>
      <c r="E89" t="s">
        <v>22</v>
      </c>
      <c r="F89" t="s">
        <v>45</v>
      </c>
      <c r="G89" t="s">
        <v>60</v>
      </c>
      <c r="H89" t="s">
        <v>47</v>
      </c>
      <c r="I89">
        <v>385</v>
      </c>
      <c r="J89" s="7">
        <v>630.29</v>
      </c>
      <c r="K89" s="7">
        <v>242661.65</v>
      </c>
      <c r="L89">
        <v>335</v>
      </c>
      <c r="M89" t="s">
        <v>336</v>
      </c>
      <c r="N89" s="6">
        <f t="shared" si="5"/>
        <v>45778</v>
      </c>
      <c r="O89" t="s">
        <v>336</v>
      </c>
      <c r="P89" t="str">
        <f t="shared" si="6"/>
        <v>May 2025</v>
      </c>
      <c r="Q89" t="s">
        <v>37</v>
      </c>
      <c r="R89" s="7">
        <v>20366.43</v>
      </c>
      <c r="S89" s="7">
        <f t="shared" si="7"/>
        <v>263028.08</v>
      </c>
    </row>
    <row r="90" spans="1:19" x14ac:dyDescent="0.3">
      <c r="A90" t="s">
        <v>337</v>
      </c>
      <c r="B90" s="5" t="s">
        <v>127</v>
      </c>
      <c r="C90" s="6">
        <f t="shared" si="4"/>
        <v>45839</v>
      </c>
      <c r="D90" t="s">
        <v>65</v>
      </c>
      <c r="E90" t="s">
        <v>143</v>
      </c>
      <c r="F90" t="s">
        <v>59</v>
      </c>
      <c r="G90" t="s">
        <v>86</v>
      </c>
      <c r="H90" t="s">
        <v>123</v>
      </c>
      <c r="I90">
        <v>824</v>
      </c>
      <c r="J90" s="7">
        <v>200.14</v>
      </c>
      <c r="K90" s="7">
        <v>164915.35999999999</v>
      </c>
      <c r="L90">
        <v>719</v>
      </c>
      <c r="M90" t="s">
        <v>338</v>
      </c>
      <c r="N90" s="6">
        <f t="shared" si="5"/>
        <v>45839</v>
      </c>
      <c r="O90" t="s">
        <v>339</v>
      </c>
      <c r="P90" t="str">
        <f t="shared" si="6"/>
        <v>July 2025</v>
      </c>
      <c r="Q90" t="s">
        <v>28</v>
      </c>
      <c r="R90" s="7">
        <v>39880.089999999997</v>
      </c>
      <c r="S90" s="7">
        <f t="shared" si="7"/>
        <v>204795.44999999998</v>
      </c>
    </row>
    <row r="91" spans="1:19" x14ac:dyDescent="0.3">
      <c r="A91" t="s">
        <v>340</v>
      </c>
      <c r="B91" s="5" t="s">
        <v>341</v>
      </c>
      <c r="C91" s="6">
        <f t="shared" si="4"/>
        <v>45839</v>
      </c>
      <c r="D91" t="s">
        <v>109</v>
      </c>
      <c r="E91" t="s">
        <v>22</v>
      </c>
      <c r="F91" t="s">
        <v>59</v>
      </c>
      <c r="G91" t="s">
        <v>241</v>
      </c>
      <c r="H91" t="s">
        <v>61</v>
      </c>
      <c r="I91">
        <v>1120</v>
      </c>
      <c r="J91" s="7">
        <v>223.46</v>
      </c>
      <c r="K91" s="7">
        <v>250275.20000000001</v>
      </c>
      <c r="L91">
        <v>319</v>
      </c>
      <c r="M91" t="s">
        <v>342</v>
      </c>
      <c r="N91" s="6">
        <f t="shared" si="5"/>
        <v>45839</v>
      </c>
      <c r="O91" t="s">
        <v>343</v>
      </c>
      <c r="P91" t="str">
        <f t="shared" si="6"/>
        <v>July 2025</v>
      </c>
      <c r="Q91" t="s">
        <v>28</v>
      </c>
      <c r="R91" s="7">
        <v>17449.75</v>
      </c>
      <c r="S91" s="7">
        <f t="shared" si="7"/>
        <v>267724.95</v>
      </c>
    </row>
    <row r="92" spans="1:19" x14ac:dyDescent="0.3">
      <c r="A92" t="s">
        <v>344</v>
      </c>
      <c r="B92" s="5" t="s">
        <v>345</v>
      </c>
      <c r="C92" s="6">
        <f t="shared" si="4"/>
        <v>45658</v>
      </c>
      <c r="D92" t="s">
        <v>128</v>
      </c>
      <c r="E92" t="s">
        <v>70</v>
      </c>
      <c r="F92" t="s">
        <v>45</v>
      </c>
      <c r="G92" t="s">
        <v>179</v>
      </c>
      <c r="H92" t="s">
        <v>132</v>
      </c>
      <c r="I92">
        <v>1051</v>
      </c>
      <c r="J92" s="7">
        <v>553.47</v>
      </c>
      <c r="K92" s="7">
        <v>581696.97</v>
      </c>
      <c r="L92">
        <v>337</v>
      </c>
      <c r="M92" t="s">
        <v>346</v>
      </c>
      <c r="N92" s="6">
        <f t="shared" si="5"/>
        <v>45658</v>
      </c>
      <c r="O92" t="s">
        <v>347</v>
      </c>
      <c r="P92" t="str">
        <f t="shared" si="6"/>
        <v>February 2025</v>
      </c>
      <c r="Q92" t="s">
        <v>28</v>
      </c>
      <c r="R92" s="7">
        <v>17991.12</v>
      </c>
      <c r="S92" s="7">
        <f t="shared" si="7"/>
        <v>599688.09</v>
      </c>
    </row>
    <row r="93" spans="1:19" x14ac:dyDescent="0.3">
      <c r="A93" t="s">
        <v>348</v>
      </c>
      <c r="B93" s="5" t="s">
        <v>106</v>
      </c>
      <c r="C93" s="6">
        <f t="shared" si="4"/>
        <v>45962</v>
      </c>
      <c r="D93" t="s">
        <v>96</v>
      </c>
      <c r="E93" t="s">
        <v>143</v>
      </c>
      <c r="F93" t="s">
        <v>45</v>
      </c>
      <c r="G93" t="s">
        <v>110</v>
      </c>
      <c r="H93" t="s">
        <v>155</v>
      </c>
      <c r="I93">
        <v>1294</v>
      </c>
      <c r="J93" s="7">
        <v>849.22</v>
      </c>
      <c r="K93" s="7">
        <v>1098890.68</v>
      </c>
      <c r="L93">
        <v>480</v>
      </c>
      <c r="M93" t="s">
        <v>185</v>
      </c>
      <c r="N93" s="6">
        <f t="shared" si="5"/>
        <v>45962</v>
      </c>
      <c r="O93" t="s">
        <v>185</v>
      </c>
      <c r="P93" t="str">
        <f t="shared" si="6"/>
        <v>November 2025</v>
      </c>
      <c r="Q93" t="s">
        <v>37</v>
      </c>
      <c r="R93" s="7">
        <v>23287.86</v>
      </c>
      <c r="S93" s="7">
        <f t="shared" si="7"/>
        <v>1122178.54</v>
      </c>
    </row>
    <row r="94" spans="1:19" x14ac:dyDescent="0.3">
      <c r="A94" t="s">
        <v>349</v>
      </c>
      <c r="B94" s="5" t="s">
        <v>350</v>
      </c>
      <c r="C94" s="6">
        <f t="shared" si="4"/>
        <v>45992</v>
      </c>
      <c r="D94" t="s">
        <v>128</v>
      </c>
      <c r="E94" t="s">
        <v>75</v>
      </c>
      <c r="F94" t="s">
        <v>23</v>
      </c>
      <c r="G94" t="s">
        <v>351</v>
      </c>
      <c r="H94" t="s">
        <v>55</v>
      </c>
      <c r="I94">
        <v>1374</v>
      </c>
      <c r="J94" s="7">
        <v>517.29</v>
      </c>
      <c r="K94" s="7">
        <v>710756.46</v>
      </c>
      <c r="L94">
        <v>267</v>
      </c>
      <c r="M94" t="s">
        <v>352</v>
      </c>
      <c r="N94" s="6">
        <f t="shared" si="5"/>
        <v>46023</v>
      </c>
      <c r="O94" t="s">
        <v>353</v>
      </c>
      <c r="P94" t="str">
        <f t="shared" si="6"/>
        <v>January 2026</v>
      </c>
      <c r="Q94" t="s">
        <v>28</v>
      </c>
      <c r="R94" s="7">
        <v>14420.37</v>
      </c>
      <c r="S94" s="7">
        <f t="shared" si="7"/>
        <v>725176.83</v>
      </c>
    </row>
    <row r="95" spans="1:19" x14ac:dyDescent="0.3">
      <c r="A95" t="s">
        <v>354</v>
      </c>
      <c r="B95" s="5" t="s">
        <v>355</v>
      </c>
      <c r="C95" s="6">
        <f t="shared" si="4"/>
        <v>45992</v>
      </c>
      <c r="D95" t="s">
        <v>96</v>
      </c>
      <c r="E95" t="s">
        <v>32</v>
      </c>
      <c r="F95" t="s">
        <v>23</v>
      </c>
      <c r="G95" t="s">
        <v>163</v>
      </c>
      <c r="H95" t="s">
        <v>35</v>
      </c>
      <c r="I95">
        <v>1058</v>
      </c>
      <c r="J95" s="7">
        <v>388.85</v>
      </c>
      <c r="K95" s="7">
        <v>411403.3</v>
      </c>
      <c r="L95">
        <v>605</v>
      </c>
      <c r="M95" t="s">
        <v>356</v>
      </c>
      <c r="N95" s="6">
        <f t="shared" si="5"/>
        <v>45992</v>
      </c>
      <c r="O95" t="s">
        <v>357</v>
      </c>
      <c r="P95" t="str">
        <f t="shared" si="6"/>
        <v>December 2025</v>
      </c>
      <c r="Q95" t="s">
        <v>28</v>
      </c>
      <c r="R95" s="7">
        <v>36023.07</v>
      </c>
      <c r="S95" s="7">
        <f t="shared" si="7"/>
        <v>447426.37</v>
      </c>
    </row>
    <row r="96" spans="1:19" x14ac:dyDescent="0.3">
      <c r="A96" t="s">
        <v>358</v>
      </c>
      <c r="B96" s="5" t="s">
        <v>359</v>
      </c>
      <c r="C96" s="6">
        <f t="shared" si="4"/>
        <v>45717</v>
      </c>
      <c r="D96" t="s">
        <v>21</v>
      </c>
      <c r="E96" t="s">
        <v>143</v>
      </c>
      <c r="F96" t="s">
        <v>23</v>
      </c>
      <c r="G96" t="s">
        <v>97</v>
      </c>
      <c r="H96" t="s">
        <v>55</v>
      </c>
      <c r="I96">
        <v>1504</v>
      </c>
      <c r="J96" s="7">
        <v>300.95999999999998</v>
      </c>
      <c r="K96" s="7">
        <v>452643.84000000003</v>
      </c>
      <c r="L96">
        <v>43</v>
      </c>
      <c r="M96" t="s">
        <v>64</v>
      </c>
      <c r="N96" s="6">
        <f t="shared" si="5"/>
        <v>45717</v>
      </c>
      <c r="O96" t="s">
        <v>64</v>
      </c>
      <c r="P96" t="str">
        <f t="shared" si="6"/>
        <v>March 2025</v>
      </c>
      <c r="Q96" t="s">
        <v>37</v>
      </c>
      <c r="R96" s="7">
        <v>2464.62</v>
      </c>
      <c r="S96" s="7">
        <f t="shared" si="7"/>
        <v>455108.46</v>
      </c>
    </row>
    <row r="97" spans="1:19" x14ac:dyDescent="0.3">
      <c r="A97" t="s">
        <v>360</v>
      </c>
      <c r="B97" s="5" t="s">
        <v>361</v>
      </c>
      <c r="C97" s="6">
        <f t="shared" si="4"/>
        <v>45962</v>
      </c>
      <c r="D97" t="s">
        <v>109</v>
      </c>
      <c r="E97" t="s">
        <v>70</v>
      </c>
      <c r="F97" t="s">
        <v>59</v>
      </c>
      <c r="G97" t="s">
        <v>46</v>
      </c>
      <c r="H97" t="s">
        <v>25</v>
      </c>
      <c r="I97">
        <v>230</v>
      </c>
      <c r="J97" s="7">
        <v>54.19</v>
      </c>
      <c r="K97" s="7">
        <v>12463.7</v>
      </c>
      <c r="L97">
        <v>592</v>
      </c>
      <c r="M97" t="s">
        <v>362</v>
      </c>
      <c r="N97" s="6">
        <f t="shared" si="5"/>
        <v>45962</v>
      </c>
      <c r="O97" t="s">
        <v>41</v>
      </c>
      <c r="P97" t="str">
        <f t="shared" si="6"/>
        <v>November 2025</v>
      </c>
      <c r="Q97" t="s">
        <v>28</v>
      </c>
      <c r="R97" s="7">
        <v>27512.91</v>
      </c>
      <c r="S97" s="7">
        <f t="shared" si="7"/>
        <v>39976.61</v>
      </c>
    </row>
    <row r="98" spans="1:19" x14ac:dyDescent="0.3">
      <c r="A98" t="s">
        <v>363</v>
      </c>
      <c r="B98" s="5" t="s">
        <v>226</v>
      </c>
      <c r="C98" s="6">
        <f t="shared" si="4"/>
        <v>45870</v>
      </c>
      <c r="D98" t="s">
        <v>128</v>
      </c>
      <c r="E98" t="s">
        <v>143</v>
      </c>
      <c r="F98" t="s">
        <v>23</v>
      </c>
      <c r="G98" t="s">
        <v>227</v>
      </c>
      <c r="H98" t="s">
        <v>123</v>
      </c>
      <c r="I98">
        <v>723</v>
      </c>
      <c r="J98" s="7">
        <v>411.86</v>
      </c>
      <c r="K98" s="7">
        <v>297774.78000000003</v>
      </c>
      <c r="L98">
        <v>207</v>
      </c>
      <c r="M98" t="s">
        <v>228</v>
      </c>
      <c r="N98" s="6">
        <f t="shared" si="5"/>
        <v>45870</v>
      </c>
      <c r="O98" t="s">
        <v>228</v>
      </c>
      <c r="P98" t="str">
        <f t="shared" si="6"/>
        <v>August 2025</v>
      </c>
      <c r="Q98" t="s">
        <v>37</v>
      </c>
      <c r="R98" s="7">
        <v>10910.91</v>
      </c>
      <c r="S98" s="7">
        <f t="shared" si="7"/>
        <v>308685.69</v>
      </c>
    </row>
    <row r="99" spans="1:19" x14ac:dyDescent="0.3">
      <c r="A99" t="s">
        <v>364</v>
      </c>
      <c r="B99" s="5" t="s">
        <v>293</v>
      </c>
      <c r="C99" s="6">
        <f t="shared" si="4"/>
        <v>45809</v>
      </c>
      <c r="D99" t="s">
        <v>21</v>
      </c>
      <c r="E99" t="s">
        <v>22</v>
      </c>
      <c r="F99" t="s">
        <v>59</v>
      </c>
      <c r="G99" t="s">
        <v>163</v>
      </c>
      <c r="H99" t="s">
        <v>155</v>
      </c>
      <c r="I99">
        <v>384</v>
      </c>
      <c r="J99" s="7">
        <v>707.99</v>
      </c>
      <c r="K99" s="7">
        <v>271868.15999999997</v>
      </c>
      <c r="L99">
        <v>39</v>
      </c>
      <c r="M99" t="s">
        <v>365</v>
      </c>
      <c r="N99" s="6">
        <f t="shared" si="5"/>
        <v>45809</v>
      </c>
      <c r="O99" t="s">
        <v>113</v>
      </c>
      <c r="P99" t="str">
        <f t="shared" si="6"/>
        <v>June 2025</v>
      </c>
      <c r="Q99" t="s">
        <v>28</v>
      </c>
      <c r="R99" s="7">
        <v>1496.97</v>
      </c>
      <c r="S99" s="7">
        <f t="shared" si="7"/>
        <v>273365.12999999995</v>
      </c>
    </row>
    <row r="100" spans="1:19" x14ac:dyDescent="0.3">
      <c r="A100" t="s">
        <v>366</v>
      </c>
      <c r="B100" s="5" t="s">
        <v>106</v>
      </c>
      <c r="C100" s="6">
        <f t="shared" si="4"/>
        <v>45962</v>
      </c>
      <c r="D100" t="s">
        <v>52</v>
      </c>
      <c r="E100" t="s">
        <v>143</v>
      </c>
      <c r="F100" t="s">
        <v>23</v>
      </c>
      <c r="G100" t="s">
        <v>241</v>
      </c>
      <c r="H100" t="s">
        <v>132</v>
      </c>
      <c r="I100">
        <v>262</v>
      </c>
      <c r="J100" s="7">
        <v>856.88</v>
      </c>
      <c r="K100" s="7">
        <v>224502.56</v>
      </c>
      <c r="L100">
        <v>381</v>
      </c>
      <c r="M100" t="s">
        <v>185</v>
      </c>
      <c r="N100" s="6">
        <f t="shared" si="5"/>
        <v>45962</v>
      </c>
      <c r="O100" t="s">
        <v>367</v>
      </c>
      <c r="P100" t="str">
        <f t="shared" si="6"/>
        <v>November 2025</v>
      </c>
      <c r="Q100" t="s">
        <v>37</v>
      </c>
      <c r="R100" s="7">
        <v>16202.09</v>
      </c>
      <c r="S100" s="7">
        <f t="shared" si="7"/>
        <v>240704.65</v>
      </c>
    </row>
    <row r="101" spans="1:19" x14ac:dyDescent="0.3">
      <c r="A101" t="s">
        <v>368</v>
      </c>
      <c r="B101" s="5" t="s">
        <v>369</v>
      </c>
      <c r="C101" s="6">
        <f t="shared" si="4"/>
        <v>45931</v>
      </c>
      <c r="D101" t="s">
        <v>21</v>
      </c>
      <c r="E101" t="s">
        <v>75</v>
      </c>
      <c r="F101" t="s">
        <v>45</v>
      </c>
      <c r="G101" t="s">
        <v>351</v>
      </c>
      <c r="H101" t="s">
        <v>47</v>
      </c>
      <c r="I101">
        <v>1288</v>
      </c>
      <c r="J101" s="7">
        <v>802.72</v>
      </c>
      <c r="K101" s="7">
        <v>1033903.36</v>
      </c>
      <c r="L101">
        <v>215</v>
      </c>
      <c r="M101" t="s">
        <v>258</v>
      </c>
      <c r="N101" s="6">
        <f t="shared" si="5"/>
        <v>45931</v>
      </c>
      <c r="O101" t="s">
        <v>259</v>
      </c>
      <c r="P101" t="str">
        <f t="shared" si="6"/>
        <v>October 2025</v>
      </c>
      <c r="Q101" t="s">
        <v>28</v>
      </c>
      <c r="R101" s="7">
        <v>8194.15</v>
      </c>
      <c r="S101" s="7">
        <f t="shared" si="7"/>
        <v>1042097.51</v>
      </c>
    </row>
    <row r="102" spans="1:19" x14ac:dyDescent="0.3">
      <c r="A102" t="s">
        <v>370</v>
      </c>
      <c r="B102" s="5" t="s">
        <v>371</v>
      </c>
      <c r="C102" s="6">
        <f t="shared" si="4"/>
        <v>45870</v>
      </c>
      <c r="D102" t="s">
        <v>52</v>
      </c>
      <c r="E102" t="s">
        <v>53</v>
      </c>
      <c r="F102" t="s">
        <v>23</v>
      </c>
      <c r="G102" t="s">
        <v>190</v>
      </c>
      <c r="H102" t="s">
        <v>25</v>
      </c>
      <c r="I102">
        <v>769</v>
      </c>
      <c r="J102" s="7">
        <v>248.37</v>
      </c>
      <c r="K102" s="7">
        <v>190996.53</v>
      </c>
      <c r="L102">
        <v>159</v>
      </c>
      <c r="M102" t="s">
        <v>372</v>
      </c>
      <c r="N102" s="6">
        <f t="shared" si="5"/>
        <v>45870</v>
      </c>
      <c r="O102" t="s">
        <v>372</v>
      </c>
      <c r="P102" t="str">
        <f t="shared" si="6"/>
        <v>August 2025</v>
      </c>
      <c r="Q102" t="s">
        <v>37</v>
      </c>
      <c r="R102" s="7">
        <v>6614.8</v>
      </c>
      <c r="S102" s="7">
        <f t="shared" si="7"/>
        <v>197611.33</v>
      </c>
    </row>
    <row r="103" spans="1:19" x14ac:dyDescent="0.3">
      <c r="A103" t="s">
        <v>373</v>
      </c>
      <c r="B103" s="5" t="s">
        <v>374</v>
      </c>
      <c r="C103" s="6">
        <f t="shared" si="4"/>
        <v>45839</v>
      </c>
      <c r="D103" t="s">
        <v>52</v>
      </c>
      <c r="E103" t="s">
        <v>53</v>
      </c>
      <c r="F103" t="s">
        <v>59</v>
      </c>
      <c r="G103" t="s">
        <v>88</v>
      </c>
      <c r="H103" t="s">
        <v>91</v>
      </c>
      <c r="I103">
        <v>1755</v>
      </c>
      <c r="J103" s="7">
        <v>544.72</v>
      </c>
      <c r="K103" s="7">
        <v>955983.6</v>
      </c>
      <c r="L103">
        <v>514</v>
      </c>
      <c r="M103" t="s">
        <v>317</v>
      </c>
      <c r="N103" s="6">
        <f t="shared" si="5"/>
        <v>45839</v>
      </c>
      <c r="O103" t="s">
        <v>317</v>
      </c>
      <c r="P103" t="str">
        <f t="shared" si="6"/>
        <v>July 2025</v>
      </c>
      <c r="Q103" t="s">
        <v>37</v>
      </c>
      <c r="R103" s="7">
        <v>27433.02</v>
      </c>
      <c r="S103" s="7">
        <f t="shared" si="7"/>
        <v>983416.62</v>
      </c>
    </row>
    <row r="104" spans="1:19" x14ac:dyDescent="0.3">
      <c r="A104" t="s">
        <v>375</v>
      </c>
      <c r="B104" s="5" t="s">
        <v>85</v>
      </c>
      <c r="C104" s="6">
        <f t="shared" si="4"/>
        <v>45748</v>
      </c>
      <c r="D104" t="s">
        <v>40</v>
      </c>
      <c r="E104" t="s">
        <v>70</v>
      </c>
      <c r="F104" t="s">
        <v>45</v>
      </c>
      <c r="G104" t="s">
        <v>71</v>
      </c>
      <c r="H104" t="s">
        <v>55</v>
      </c>
      <c r="I104">
        <v>999</v>
      </c>
      <c r="J104" s="7">
        <v>355.76</v>
      </c>
      <c r="K104" s="7">
        <v>355404.24</v>
      </c>
      <c r="L104">
        <v>436</v>
      </c>
      <c r="M104" t="s">
        <v>376</v>
      </c>
      <c r="N104" s="6">
        <f t="shared" si="5"/>
        <v>45748</v>
      </c>
      <c r="O104" t="s">
        <v>377</v>
      </c>
      <c r="P104" t="str">
        <f t="shared" si="6"/>
        <v>May 2025</v>
      </c>
      <c r="Q104" t="s">
        <v>28</v>
      </c>
      <c r="R104" s="7">
        <v>19266.02</v>
      </c>
      <c r="S104" s="7">
        <f t="shared" si="7"/>
        <v>374670.26</v>
      </c>
    </row>
    <row r="105" spans="1:19" x14ac:dyDescent="0.3">
      <c r="A105" t="s">
        <v>378</v>
      </c>
      <c r="B105" s="5" t="s">
        <v>379</v>
      </c>
      <c r="C105" s="6">
        <f t="shared" si="4"/>
        <v>45901</v>
      </c>
      <c r="D105" t="s">
        <v>21</v>
      </c>
      <c r="E105" t="s">
        <v>75</v>
      </c>
      <c r="F105" t="s">
        <v>45</v>
      </c>
      <c r="G105" t="s">
        <v>82</v>
      </c>
      <c r="H105" t="s">
        <v>61</v>
      </c>
      <c r="I105">
        <v>2157</v>
      </c>
      <c r="J105" s="7">
        <v>767.87</v>
      </c>
      <c r="K105" s="7">
        <v>1656295.59</v>
      </c>
      <c r="L105">
        <v>600</v>
      </c>
      <c r="M105" t="s">
        <v>380</v>
      </c>
      <c r="N105" s="6">
        <f t="shared" si="5"/>
        <v>45901</v>
      </c>
      <c r="O105" t="s">
        <v>380</v>
      </c>
      <c r="P105" t="str">
        <f t="shared" si="6"/>
        <v>September 2025</v>
      </c>
      <c r="Q105" t="s">
        <v>37</v>
      </c>
      <c r="R105" s="7">
        <v>37195.379999999997</v>
      </c>
      <c r="S105" s="7">
        <f t="shared" si="7"/>
        <v>1693490.97</v>
      </c>
    </row>
    <row r="106" spans="1:19" x14ac:dyDescent="0.3">
      <c r="A106" t="s">
        <v>381</v>
      </c>
      <c r="B106" s="5" t="s">
        <v>85</v>
      </c>
      <c r="C106" s="6">
        <f t="shared" si="4"/>
        <v>45748</v>
      </c>
      <c r="D106" t="s">
        <v>128</v>
      </c>
      <c r="E106" t="s">
        <v>32</v>
      </c>
      <c r="F106" t="s">
        <v>59</v>
      </c>
      <c r="G106" t="s">
        <v>110</v>
      </c>
      <c r="H106" t="s">
        <v>91</v>
      </c>
      <c r="I106">
        <v>601</v>
      </c>
      <c r="J106" s="7">
        <v>284.85000000000002</v>
      </c>
      <c r="K106" s="7">
        <v>171194.85</v>
      </c>
      <c r="L106">
        <v>348</v>
      </c>
      <c r="M106" t="s">
        <v>26</v>
      </c>
      <c r="N106" s="6">
        <f t="shared" si="5"/>
        <v>45748</v>
      </c>
      <c r="O106" t="s">
        <v>377</v>
      </c>
      <c r="P106" t="str">
        <f t="shared" si="6"/>
        <v>May 2025</v>
      </c>
      <c r="Q106" t="s">
        <v>28</v>
      </c>
      <c r="R106" s="7">
        <v>16698.61</v>
      </c>
      <c r="S106" s="7">
        <f t="shared" si="7"/>
        <v>187893.46000000002</v>
      </c>
    </row>
    <row r="107" spans="1:19" x14ac:dyDescent="0.3">
      <c r="A107" t="s">
        <v>382</v>
      </c>
      <c r="B107" s="5" t="s">
        <v>49</v>
      </c>
      <c r="C107" s="6">
        <f t="shared" si="4"/>
        <v>45658</v>
      </c>
      <c r="D107" t="s">
        <v>52</v>
      </c>
      <c r="E107" t="s">
        <v>32</v>
      </c>
      <c r="F107" t="s">
        <v>59</v>
      </c>
      <c r="G107" t="s">
        <v>86</v>
      </c>
      <c r="H107" t="s">
        <v>61</v>
      </c>
      <c r="I107">
        <v>591</v>
      </c>
      <c r="J107" s="7">
        <v>477.95</v>
      </c>
      <c r="K107" s="7">
        <v>282468.45</v>
      </c>
      <c r="L107">
        <v>454</v>
      </c>
      <c r="M107" t="s">
        <v>309</v>
      </c>
      <c r="N107" s="6">
        <f t="shared" si="5"/>
        <v>45658</v>
      </c>
      <c r="O107" t="s">
        <v>309</v>
      </c>
      <c r="P107" t="str">
        <f t="shared" si="6"/>
        <v>January 2025</v>
      </c>
      <c r="Q107" t="s">
        <v>37</v>
      </c>
      <c r="R107" s="7">
        <v>19426.34</v>
      </c>
      <c r="S107" s="7">
        <f t="shared" si="7"/>
        <v>301894.79000000004</v>
      </c>
    </row>
    <row r="108" spans="1:19" x14ac:dyDescent="0.3">
      <c r="A108" t="s">
        <v>383</v>
      </c>
      <c r="B108" s="5" t="s">
        <v>362</v>
      </c>
      <c r="C108" s="6">
        <f t="shared" si="4"/>
        <v>45962</v>
      </c>
      <c r="D108" t="s">
        <v>96</v>
      </c>
      <c r="E108" t="s">
        <v>70</v>
      </c>
      <c r="F108" t="s">
        <v>33</v>
      </c>
      <c r="G108" t="s">
        <v>384</v>
      </c>
      <c r="H108" t="s">
        <v>132</v>
      </c>
      <c r="I108">
        <v>490</v>
      </c>
      <c r="J108" s="7">
        <v>796.02</v>
      </c>
      <c r="K108" s="7">
        <v>390049.8</v>
      </c>
      <c r="L108">
        <v>115</v>
      </c>
      <c r="M108" t="s">
        <v>385</v>
      </c>
      <c r="N108" s="6">
        <f t="shared" si="5"/>
        <v>45962</v>
      </c>
      <c r="O108" t="s">
        <v>42</v>
      </c>
      <c r="P108" t="str">
        <f t="shared" si="6"/>
        <v>November 2025</v>
      </c>
      <c r="Q108" t="s">
        <v>28</v>
      </c>
      <c r="R108" s="7">
        <v>4402.8500000000004</v>
      </c>
      <c r="S108" s="7">
        <f t="shared" si="7"/>
        <v>394452.64999999997</v>
      </c>
    </row>
    <row r="109" spans="1:19" x14ac:dyDescent="0.3">
      <c r="A109" t="s">
        <v>386</v>
      </c>
      <c r="B109" s="5" t="s">
        <v>387</v>
      </c>
      <c r="C109" s="6">
        <f t="shared" si="4"/>
        <v>45748</v>
      </c>
      <c r="D109" t="s">
        <v>65</v>
      </c>
      <c r="E109" t="s">
        <v>32</v>
      </c>
      <c r="F109" t="s">
        <v>33</v>
      </c>
      <c r="G109" t="s">
        <v>159</v>
      </c>
      <c r="H109" t="s">
        <v>61</v>
      </c>
      <c r="I109">
        <v>1722</v>
      </c>
      <c r="J109" s="7">
        <v>230.29</v>
      </c>
      <c r="K109" s="7">
        <v>396559.38</v>
      </c>
      <c r="L109">
        <v>578</v>
      </c>
      <c r="M109" t="s">
        <v>388</v>
      </c>
      <c r="N109" s="6">
        <f t="shared" si="5"/>
        <v>45748</v>
      </c>
      <c r="O109" t="s">
        <v>388</v>
      </c>
      <c r="P109" t="str">
        <f t="shared" si="6"/>
        <v>April 2025</v>
      </c>
      <c r="Q109" t="s">
        <v>37</v>
      </c>
      <c r="R109" s="7">
        <v>34917.96</v>
      </c>
      <c r="S109" s="7">
        <f t="shared" si="7"/>
        <v>431477.34</v>
      </c>
    </row>
    <row r="110" spans="1:19" x14ac:dyDescent="0.3">
      <c r="A110" t="s">
        <v>389</v>
      </c>
      <c r="B110" s="5" t="s">
        <v>186</v>
      </c>
      <c r="C110" s="6">
        <f t="shared" si="4"/>
        <v>45962</v>
      </c>
      <c r="D110" t="s">
        <v>128</v>
      </c>
      <c r="E110" t="s">
        <v>143</v>
      </c>
      <c r="F110" t="s">
        <v>59</v>
      </c>
      <c r="G110" t="s">
        <v>86</v>
      </c>
      <c r="H110" t="s">
        <v>155</v>
      </c>
      <c r="I110">
        <v>844</v>
      </c>
      <c r="J110" s="7">
        <v>741.74</v>
      </c>
      <c r="K110" s="7">
        <v>626028.56000000006</v>
      </c>
      <c r="L110">
        <v>278</v>
      </c>
      <c r="M110" t="s">
        <v>247</v>
      </c>
      <c r="N110" s="6">
        <f t="shared" si="5"/>
        <v>45962</v>
      </c>
      <c r="O110" t="s">
        <v>361</v>
      </c>
      <c r="P110" t="str">
        <f t="shared" si="6"/>
        <v>November 2025</v>
      </c>
      <c r="Q110" t="s">
        <v>28</v>
      </c>
      <c r="R110" s="7">
        <v>12791.88</v>
      </c>
      <c r="S110" s="7">
        <f t="shared" si="7"/>
        <v>638820.44000000006</v>
      </c>
    </row>
    <row r="111" spans="1:19" x14ac:dyDescent="0.3">
      <c r="A111" t="s">
        <v>390</v>
      </c>
      <c r="B111" s="5" t="s">
        <v>391</v>
      </c>
      <c r="C111" s="6">
        <f t="shared" si="4"/>
        <v>45992</v>
      </c>
      <c r="D111" t="s">
        <v>109</v>
      </c>
      <c r="E111" t="s">
        <v>32</v>
      </c>
      <c r="F111" t="s">
        <v>45</v>
      </c>
      <c r="G111" t="s">
        <v>163</v>
      </c>
      <c r="H111" t="s">
        <v>47</v>
      </c>
      <c r="I111">
        <v>1005</v>
      </c>
      <c r="J111" s="7">
        <v>182.61</v>
      </c>
      <c r="K111" s="7">
        <v>183523.05</v>
      </c>
      <c r="L111">
        <v>528</v>
      </c>
      <c r="M111" t="s">
        <v>392</v>
      </c>
      <c r="N111" s="6">
        <f t="shared" si="5"/>
        <v>45992</v>
      </c>
      <c r="O111" t="s">
        <v>392</v>
      </c>
      <c r="P111" t="str">
        <f t="shared" si="6"/>
        <v>December 2025</v>
      </c>
      <c r="Q111" t="s">
        <v>37</v>
      </c>
      <c r="R111" s="7">
        <v>23346.33</v>
      </c>
      <c r="S111" s="7">
        <f t="shared" si="7"/>
        <v>206869.38</v>
      </c>
    </row>
    <row r="112" spans="1:19" x14ac:dyDescent="0.3">
      <c r="A112" t="s">
        <v>393</v>
      </c>
      <c r="B112" s="5" t="s">
        <v>239</v>
      </c>
      <c r="C112" s="6">
        <f t="shared" si="4"/>
        <v>45962</v>
      </c>
      <c r="D112" t="s">
        <v>40</v>
      </c>
      <c r="E112" t="s">
        <v>70</v>
      </c>
      <c r="F112" t="s">
        <v>33</v>
      </c>
      <c r="G112" t="s">
        <v>227</v>
      </c>
      <c r="H112" t="s">
        <v>35</v>
      </c>
      <c r="I112">
        <v>579</v>
      </c>
      <c r="J112" s="7">
        <v>459.64</v>
      </c>
      <c r="K112" s="7">
        <v>266131.56</v>
      </c>
      <c r="L112">
        <v>241</v>
      </c>
      <c r="M112" t="s">
        <v>244</v>
      </c>
      <c r="N112" s="6">
        <f t="shared" si="5"/>
        <v>45962</v>
      </c>
      <c r="O112" t="s">
        <v>105</v>
      </c>
      <c r="P112" t="str">
        <f t="shared" si="6"/>
        <v>November 2025</v>
      </c>
      <c r="Q112" t="s">
        <v>28</v>
      </c>
      <c r="R112" s="7">
        <v>12533.03</v>
      </c>
      <c r="S112" s="7">
        <f t="shared" si="7"/>
        <v>278664.59000000003</v>
      </c>
    </row>
    <row r="113" spans="1:19" x14ac:dyDescent="0.3">
      <c r="A113" t="s">
        <v>394</v>
      </c>
      <c r="B113" s="5" t="s">
        <v>395</v>
      </c>
      <c r="C113" s="6">
        <f t="shared" si="4"/>
        <v>45870</v>
      </c>
      <c r="D113" t="s">
        <v>128</v>
      </c>
      <c r="E113" t="s">
        <v>70</v>
      </c>
      <c r="F113" t="s">
        <v>23</v>
      </c>
      <c r="G113" t="s">
        <v>283</v>
      </c>
      <c r="H113" t="s">
        <v>25</v>
      </c>
      <c r="I113">
        <v>1980</v>
      </c>
      <c r="J113" s="7">
        <v>259.52999999999997</v>
      </c>
      <c r="K113" s="7">
        <v>513869.4</v>
      </c>
      <c r="L113">
        <v>356</v>
      </c>
      <c r="M113" t="s">
        <v>175</v>
      </c>
      <c r="N113" s="6">
        <f t="shared" si="5"/>
        <v>45901</v>
      </c>
      <c r="O113" t="s">
        <v>175</v>
      </c>
      <c r="P113" t="str">
        <f t="shared" si="6"/>
        <v>September 2025</v>
      </c>
      <c r="Q113" t="s">
        <v>37</v>
      </c>
      <c r="R113" s="7">
        <v>19422.55</v>
      </c>
      <c r="S113" s="7">
        <f t="shared" si="7"/>
        <v>533291.95000000007</v>
      </c>
    </row>
    <row r="114" spans="1:19" x14ac:dyDescent="0.3">
      <c r="A114" t="s">
        <v>396</v>
      </c>
      <c r="B114" s="5" t="s">
        <v>230</v>
      </c>
      <c r="C114" s="6">
        <f t="shared" si="4"/>
        <v>45992</v>
      </c>
      <c r="D114" t="s">
        <v>96</v>
      </c>
      <c r="E114" t="s">
        <v>53</v>
      </c>
      <c r="F114" t="s">
        <v>23</v>
      </c>
      <c r="G114" t="s">
        <v>384</v>
      </c>
      <c r="H114" t="str">
        <f xml:space="preserve"> "Not Found"</f>
        <v>Not Found</v>
      </c>
      <c r="I114">
        <v>1598</v>
      </c>
      <c r="J114" s="7">
        <v>205.62</v>
      </c>
      <c r="K114" s="7">
        <v>328580.76</v>
      </c>
      <c r="L114">
        <v>296</v>
      </c>
      <c r="M114" t="s">
        <v>356</v>
      </c>
      <c r="N114" s="6">
        <f t="shared" si="5"/>
        <v>45992</v>
      </c>
      <c r="O114" t="s">
        <v>231</v>
      </c>
      <c r="P114" t="str">
        <f t="shared" si="6"/>
        <v>December 2025</v>
      </c>
      <c r="Q114" t="s">
        <v>28</v>
      </c>
      <c r="R114" s="7">
        <v>18222.689999999999</v>
      </c>
      <c r="S114" s="7">
        <f t="shared" si="7"/>
        <v>346803.45</v>
      </c>
    </row>
    <row r="115" spans="1:19" x14ac:dyDescent="0.3">
      <c r="A115" t="s">
        <v>397</v>
      </c>
      <c r="B115" s="5" t="s">
        <v>398</v>
      </c>
      <c r="C115" s="6">
        <f t="shared" si="4"/>
        <v>45992</v>
      </c>
      <c r="D115" t="s">
        <v>52</v>
      </c>
      <c r="E115" t="s">
        <v>32</v>
      </c>
      <c r="F115" t="s">
        <v>59</v>
      </c>
      <c r="G115" t="s">
        <v>283</v>
      </c>
      <c r="H115" t="s">
        <v>35</v>
      </c>
      <c r="I115">
        <v>1352</v>
      </c>
      <c r="J115" s="7">
        <v>729.57</v>
      </c>
      <c r="K115" s="7">
        <v>986378.64</v>
      </c>
      <c r="L115">
        <v>49</v>
      </c>
      <c r="M115" t="s">
        <v>399</v>
      </c>
      <c r="N115" s="6">
        <f t="shared" si="5"/>
        <v>45992</v>
      </c>
      <c r="O115" t="s">
        <v>117</v>
      </c>
      <c r="P115" t="str">
        <f t="shared" si="6"/>
        <v>December 2025</v>
      </c>
      <c r="Q115" t="s">
        <v>28</v>
      </c>
      <c r="R115" s="7">
        <v>2629.37</v>
      </c>
      <c r="S115" s="7">
        <f t="shared" si="7"/>
        <v>989008.01</v>
      </c>
    </row>
    <row r="116" spans="1:19" x14ac:dyDescent="0.3">
      <c r="A116" t="s">
        <v>400</v>
      </c>
      <c r="B116" s="5" t="s">
        <v>401</v>
      </c>
      <c r="C116" s="6">
        <f t="shared" si="4"/>
        <v>45839</v>
      </c>
      <c r="D116" t="s">
        <v>40</v>
      </c>
      <c r="E116" t="s">
        <v>32</v>
      </c>
      <c r="F116" t="s">
        <v>23</v>
      </c>
      <c r="G116" t="s">
        <v>172</v>
      </c>
      <c r="H116" t="s">
        <v>25</v>
      </c>
      <c r="I116">
        <v>608</v>
      </c>
      <c r="J116" s="7">
        <v>679.26</v>
      </c>
      <c r="K116" s="7">
        <v>412990.08</v>
      </c>
      <c r="L116">
        <v>450</v>
      </c>
      <c r="M116" t="s">
        <v>402</v>
      </c>
      <c r="N116" s="6">
        <f t="shared" si="5"/>
        <v>45870</v>
      </c>
      <c r="O116" t="s">
        <v>402</v>
      </c>
      <c r="P116" t="str">
        <f t="shared" si="6"/>
        <v>August 2025</v>
      </c>
      <c r="Q116" t="s">
        <v>37</v>
      </c>
      <c r="R116" s="7">
        <v>18625.71</v>
      </c>
      <c r="S116" s="7">
        <f t="shared" si="7"/>
        <v>431615.79000000004</v>
      </c>
    </row>
    <row r="117" spans="1:19" x14ac:dyDescent="0.3">
      <c r="A117" t="s">
        <v>403</v>
      </c>
      <c r="B117" s="5" t="s">
        <v>365</v>
      </c>
      <c r="C117" s="6">
        <f t="shared" si="4"/>
        <v>45809</v>
      </c>
      <c r="D117" t="s">
        <v>65</v>
      </c>
      <c r="E117" t="s">
        <v>75</v>
      </c>
      <c r="F117" t="s">
        <v>59</v>
      </c>
      <c r="G117" t="s">
        <v>118</v>
      </c>
      <c r="H117" t="s">
        <v>77</v>
      </c>
      <c r="I117">
        <v>2154</v>
      </c>
      <c r="J117" s="7">
        <v>252.75</v>
      </c>
      <c r="K117" s="7">
        <v>544423.5</v>
      </c>
      <c r="L117">
        <v>71</v>
      </c>
      <c r="M117" t="s">
        <v>404</v>
      </c>
      <c r="N117" s="6">
        <f t="shared" si="5"/>
        <v>45809</v>
      </c>
      <c r="O117" t="s">
        <v>404</v>
      </c>
      <c r="P117" t="str">
        <f t="shared" si="6"/>
        <v>June 2025</v>
      </c>
      <c r="Q117" t="s">
        <v>37</v>
      </c>
      <c r="R117" s="7">
        <v>2789.94</v>
      </c>
      <c r="S117" s="7">
        <f t="shared" si="7"/>
        <v>547213.43999999994</v>
      </c>
    </row>
    <row r="118" spans="1:19" x14ac:dyDescent="0.3">
      <c r="A118" t="s">
        <v>405</v>
      </c>
      <c r="B118" s="5" t="s">
        <v>406</v>
      </c>
      <c r="C118" s="6">
        <f t="shared" si="4"/>
        <v>45658</v>
      </c>
      <c r="D118" t="s">
        <v>128</v>
      </c>
      <c r="E118" t="s">
        <v>143</v>
      </c>
      <c r="F118" t="s">
        <v>59</v>
      </c>
      <c r="G118" t="s">
        <v>179</v>
      </c>
      <c r="H118" t="s">
        <v>123</v>
      </c>
      <c r="I118">
        <v>1242</v>
      </c>
      <c r="J118" s="7">
        <v>253.36</v>
      </c>
      <c r="K118" s="7">
        <v>314673.12</v>
      </c>
      <c r="L118">
        <v>163</v>
      </c>
      <c r="M118" t="s">
        <v>407</v>
      </c>
      <c r="N118" s="6">
        <f t="shared" si="5"/>
        <v>45658</v>
      </c>
      <c r="O118" t="s">
        <v>407</v>
      </c>
      <c r="P118" t="str">
        <f t="shared" si="6"/>
        <v>January 2025</v>
      </c>
      <c r="Q118" t="s">
        <v>37</v>
      </c>
      <c r="R118" s="7">
        <v>7105.62</v>
      </c>
      <c r="S118" s="7">
        <f t="shared" si="7"/>
        <v>321778.74</v>
      </c>
    </row>
    <row r="119" spans="1:19" x14ac:dyDescent="0.3">
      <c r="A119" t="s">
        <v>408</v>
      </c>
      <c r="B119" s="5" t="s">
        <v>409</v>
      </c>
      <c r="C119" s="6">
        <f t="shared" si="4"/>
        <v>45870</v>
      </c>
      <c r="D119" t="s">
        <v>96</v>
      </c>
      <c r="E119" t="s">
        <v>32</v>
      </c>
      <c r="F119" t="s">
        <v>59</v>
      </c>
      <c r="G119" t="s">
        <v>241</v>
      </c>
      <c r="H119" t="s">
        <v>55</v>
      </c>
      <c r="I119">
        <v>126</v>
      </c>
      <c r="J119" s="7">
        <v>576.15</v>
      </c>
      <c r="K119" s="7">
        <v>72594.899999999994</v>
      </c>
      <c r="L119">
        <v>419</v>
      </c>
      <c r="M119" t="s">
        <v>314</v>
      </c>
      <c r="N119" s="6">
        <f t="shared" si="5"/>
        <v>45870</v>
      </c>
      <c r="O119" t="s">
        <v>314</v>
      </c>
      <c r="P119" t="str">
        <f t="shared" si="6"/>
        <v>August 2025</v>
      </c>
      <c r="Q119" t="s">
        <v>37</v>
      </c>
      <c r="R119" s="7">
        <v>24539.05</v>
      </c>
      <c r="S119" s="7">
        <f t="shared" si="7"/>
        <v>97133.95</v>
      </c>
    </row>
    <row r="120" spans="1:19" x14ac:dyDescent="0.3">
      <c r="A120" t="s">
        <v>410</v>
      </c>
      <c r="B120" s="5" t="s">
        <v>411</v>
      </c>
      <c r="C120" s="6">
        <f t="shared" si="4"/>
        <v>45992</v>
      </c>
      <c r="D120" t="s">
        <v>52</v>
      </c>
      <c r="E120" t="s">
        <v>143</v>
      </c>
      <c r="F120" t="s">
        <v>33</v>
      </c>
      <c r="G120" t="s">
        <v>202</v>
      </c>
      <c r="H120" t="s">
        <v>91</v>
      </c>
      <c r="I120">
        <v>1476</v>
      </c>
      <c r="J120" s="7">
        <v>397.24</v>
      </c>
      <c r="K120" s="7">
        <v>586326.24</v>
      </c>
      <c r="L120">
        <v>57</v>
      </c>
      <c r="M120" t="s">
        <v>333</v>
      </c>
      <c r="N120" s="6">
        <f t="shared" si="5"/>
        <v>45992</v>
      </c>
      <c r="O120" t="s">
        <v>108</v>
      </c>
      <c r="P120" t="str">
        <f t="shared" si="6"/>
        <v>December 2025</v>
      </c>
      <c r="Q120" t="s">
        <v>28</v>
      </c>
      <c r="R120" s="7">
        <v>3401.65</v>
      </c>
      <c r="S120" s="7">
        <f t="shared" si="7"/>
        <v>589727.89</v>
      </c>
    </row>
    <row r="121" spans="1:19" x14ac:dyDescent="0.3">
      <c r="A121" t="s">
        <v>412</v>
      </c>
      <c r="B121" s="5" t="s">
        <v>413</v>
      </c>
      <c r="C121" s="6">
        <f t="shared" si="4"/>
        <v>45689</v>
      </c>
      <c r="D121" t="s">
        <v>21</v>
      </c>
      <c r="E121" t="s">
        <v>75</v>
      </c>
      <c r="F121" t="s">
        <v>33</v>
      </c>
      <c r="G121" t="s">
        <v>222</v>
      </c>
      <c r="H121" t="s">
        <v>35</v>
      </c>
      <c r="I121">
        <v>2282</v>
      </c>
      <c r="J121" s="7">
        <v>236.46</v>
      </c>
      <c r="K121" s="7">
        <v>539601.72</v>
      </c>
      <c r="L121">
        <v>473</v>
      </c>
      <c r="M121" t="s">
        <v>414</v>
      </c>
      <c r="N121" s="6">
        <f t="shared" si="5"/>
        <v>45689</v>
      </c>
      <c r="O121" t="s">
        <v>414</v>
      </c>
      <c r="P121" t="str">
        <f t="shared" si="6"/>
        <v>February 2025</v>
      </c>
      <c r="Q121" t="s">
        <v>37</v>
      </c>
      <c r="R121" s="7">
        <v>20805.259999999998</v>
      </c>
      <c r="S121" s="7">
        <f t="shared" si="7"/>
        <v>560406.98</v>
      </c>
    </row>
    <row r="122" spans="1:19" x14ac:dyDescent="0.3">
      <c r="A122" t="s">
        <v>415</v>
      </c>
      <c r="B122" s="5" t="s">
        <v>372</v>
      </c>
      <c r="C122" s="6">
        <f t="shared" si="4"/>
        <v>45870</v>
      </c>
      <c r="D122" t="s">
        <v>21</v>
      </c>
      <c r="E122" t="s">
        <v>75</v>
      </c>
      <c r="F122" t="s">
        <v>33</v>
      </c>
      <c r="G122" t="s">
        <v>86</v>
      </c>
      <c r="H122" t="s">
        <v>55</v>
      </c>
      <c r="I122">
        <v>1601</v>
      </c>
      <c r="J122" s="7">
        <v>207.15</v>
      </c>
      <c r="K122" s="7">
        <v>331647.15000000002</v>
      </c>
      <c r="L122">
        <v>157</v>
      </c>
      <c r="M122" t="s">
        <v>167</v>
      </c>
      <c r="N122" s="6">
        <f t="shared" si="5"/>
        <v>45870</v>
      </c>
      <c r="O122" t="s">
        <v>372</v>
      </c>
      <c r="P122" t="str">
        <f t="shared" si="6"/>
        <v>August 2025</v>
      </c>
      <c r="Q122" t="s">
        <v>37</v>
      </c>
      <c r="R122" s="7">
        <v>9119.11</v>
      </c>
      <c r="S122" s="7">
        <f t="shared" si="7"/>
        <v>340766.26</v>
      </c>
    </row>
    <row r="123" spans="1:19" x14ac:dyDescent="0.3">
      <c r="A123" t="s">
        <v>416</v>
      </c>
      <c r="B123" s="5" t="s">
        <v>133</v>
      </c>
      <c r="C123" s="6">
        <f t="shared" si="4"/>
        <v>45748</v>
      </c>
      <c r="D123" t="s">
        <v>40</v>
      </c>
      <c r="E123" t="s">
        <v>32</v>
      </c>
      <c r="F123" t="s">
        <v>45</v>
      </c>
      <c r="G123" t="s">
        <v>60</v>
      </c>
      <c r="H123" t="s">
        <v>61</v>
      </c>
      <c r="I123">
        <v>1774</v>
      </c>
      <c r="J123" s="7">
        <v>348.83</v>
      </c>
      <c r="K123" s="7">
        <v>618824.42000000004</v>
      </c>
      <c r="L123">
        <v>481</v>
      </c>
      <c r="M123" t="s">
        <v>417</v>
      </c>
      <c r="N123" s="6">
        <f t="shared" si="5"/>
        <v>45748</v>
      </c>
      <c r="O123" t="s">
        <v>417</v>
      </c>
      <c r="P123" t="str">
        <f t="shared" si="6"/>
        <v>April 2025</v>
      </c>
      <c r="Q123" t="s">
        <v>37</v>
      </c>
      <c r="R123" s="7">
        <v>22953.81</v>
      </c>
      <c r="S123" s="7">
        <f t="shared" si="7"/>
        <v>641778.2300000001</v>
      </c>
    </row>
    <row r="124" spans="1:19" x14ac:dyDescent="0.3">
      <c r="A124" t="s">
        <v>418</v>
      </c>
      <c r="B124" s="5" t="s">
        <v>392</v>
      </c>
      <c r="C124" s="6">
        <f t="shared" si="4"/>
        <v>45992</v>
      </c>
      <c r="D124" t="s">
        <v>31</v>
      </c>
      <c r="E124" t="s">
        <v>143</v>
      </c>
      <c r="F124" t="s">
        <v>23</v>
      </c>
      <c r="G124" t="s">
        <v>190</v>
      </c>
      <c r="H124" t="s">
        <v>155</v>
      </c>
      <c r="I124">
        <v>915</v>
      </c>
      <c r="J124" s="7">
        <v>571.02</v>
      </c>
      <c r="K124" s="7">
        <v>522483.3</v>
      </c>
      <c r="L124">
        <v>253</v>
      </c>
      <c r="M124" t="s">
        <v>350</v>
      </c>
      <c r="N124" s="6">
        <f t="shared" si="5"/>
        <v>45992</v>
      </c>
      <c r="O124" t="s">
        <v>353</v>
      </c>
      <c r="P124" t="str">
        <f t="shared" si="6"/>
        <v>January 2026</v>
      </c>
      <c r="Q124" t="s">
        <v>28</v>
      </c>
      <c r="R124" s="7">
        <v>9993.2900000000009</v>
      </c>
      <c r="S124" s="7">
        <f t="shared" si="7"/>
        <v>532476.59</v>
      </c>
    </row>
    <row r="125" spans="1:19" x14ac:dyDescent="0.3">
      <c r="A125" t="s">
        <v>419</v>
      </c>
      <c r="B125" s="5" t="s">
        <v>111</v>
      </c>
      <c r="C125" s="6">
        <f t="shared" si="4"/>
        <v>45992</v>
      </c>
      <c r="D125" t="s">
        <v>96</v>
      </c>
      <c r="E125" t="s">
        <v>22</v>
      </c>
      <c r="F125" t="s">
        <v>33</v>
      </c>
      <c r="G125" t="s">
        <v>202</v>
      </c>
      <c r="H125" t="s">
        <v>47</v>
      </c>
      <c r="I125">
        <v>157</v>
      </c>
      <c r="J125" s="7">
        <v>420.85</v>
      </c>
      <c r="K125" s="7">
        <v>66073.45</v>
      </c>
      <c r="L125">
        <v>475</v>
      </c>
      <c r="M125" t="s">
        <v>119</v>
      </c>
      <c r="N125" s="6">
        <f t="shared" si="5"/>
        <v>45992</v>
      </c>
      <c r="O125" t="s">
        <v>420</v>
      </c>
      <c r="P125" t="str">
        <f t="shared" si="6"/>
        <v>December 2025</v>
      </c>
      <c r="Q125" t="s">
        <v>28</v>
      </c>
      <c r="R125" s="7">
        <v>21791.41</v>
      </c>
      <c r="S125" s="7">
        <f t="shared" si="7"/>
        <v>87864.86</v>
      </c>
    </row>
    <row r="126" spans="1:19" x14ac:dyDescent="0.3">
      <c r="A126" t="s">
        <v>421</v>
      </c>
      <c r="B126" s="5" t="s">
        <v>275</v>
      </c>
      <c r="C126" s="6">
        <f t="shared" si="4"/>
        <v>45717</v>
      </c>
      <c r="D126" t="s">
        <v>128</v>
      </c>
      <c r="E126" t="s">
        <v>22</v>
      </c>
      <c r="F126" t="s">
        <v>23</v>
      </c>
      <c r="G126" t="s">
        <v>88</v>
      </c>
      <c r="H126" t="s">
        <v>123</v>
      </c>
      <c r="I126">
        <v>625</v>
      </c>
      <c r="J126" s="7">
        <v>499.67</v>
      </c>
      <c r="K126" s="7">
        <v>312293.75</v>
      </c>
      <c r="L126">
        <v>69</v>
      </c>
      <c r="M126" t="s">
        <v>57</v>
      </c>
      <c r="N126" s="6">
        <f t="shared" si="5"/>
        <v>45717</v>
      </c>
      <c r="O126" t="s">
        <v>57</v>
      </c>
      <c r="P126" t="str">
        <f t="shared" si="6"/>
        <v>March 2025</v>
      </c>
      <c r="Q126" t="s">
        <v>37</v>
      </c>
      <c r="R126" s="7">
        <v>2957.62</v>
      </c>
      <c r="S126" s="7">
        <f t="shared" si="7"/>
        <v>315251.37</v>
      </c>
    </row>
    <row r="127" spans="1:19" x14ac:dyDescent="0.3">
      <c r="A127" t="s">
        <v>422</v>
      </c>
      <c r="B127" s="5" t="s">
        <v>245</v>
      </c>
      <c r="C127" s="6">
        <f t="shared" si="4"/>
        <v>45962</v>
      </c>
      <c r="D127" t="s">
        <v>40</v>
      </c>
      <c r="E127" t="s">
        <v>75</v>
      </c>
      <c r="F127" t="s">
        <v>59</v>
      </c>
      <c r="G127" t="s">
        <v>34</v>
      </c>
      <c r="H127" t="s">
        <v>55</v>
      </c>
      <c r="I127">
        <v>1291</v>
      </c>
      <c r="J127" s="7">
        <v>461.14</v>
      </c>
      <c r="K127" s="7">
        <v>595331.74</v>
      </c>
      <c r="L127">
        <v>360</v>
      </c>
      <c r="M127" t="s">
        <v>423</v>
      </c>
      <c r="N127" s="6">
        <f t="shared" si="5"/>
        <v>45962</v>
      </c>
      <c r="O127" t="s">
        <v>186</v>
      </c>
      <c r="P127" t="str">
        <f t="shared" si="6"/>
        <v>November 2025</v>
      </c>
      <c r="Q127" t="s">
        <v>28</v>
      </c>
      <c r="R127" s="7">
        <v>20764.16</v>
      </c>
      <c r="S127" s="7">
        <f t="shared" si="7"/>
        <v>616095.9</v>
      </c>
    </row>
    <row r="128" spans="1:19" x14ac:dyDescent="0.3">
      <c r="A128" t="s">
        <v>424</v>
      </c>
      <c r="B128" s="5" t="s">
        <v>425</v>
      </c>
      <c r="C128" s="6">
        <f t="shared" si="4"/>
        <v>45839</v>
      </c>
      <c r="D128" t="s">
        <v>96</v>
      </c>
      <c r="E128" t="s">
        <v>53</v>
      </c>
      <c r="F128" t="s">
        <v>33</v>
      </c>
      <c r="G128" t="s">
        <v>54</v>
      </c>
      <c r="H128" t="s">
        <v>77</v>
      </c>
      <c r="I128">
        <v>2204</v>
      </c>
      <c r="J128" s="7">
        <v>583.24</v>
      </c>
      <c r="K128" s="7">
        <v>1285460.96</v>
      </c>
      <c r="L128">
        <v>242</v>
      </c>
      <c r="M128" t="s">
        <v>95</v>
      </c>
      <c r="N128" s="6">
        <f t="shared" si="5"/>
        <v>45839</v>
      </c>
      <c r="O128" t="s">
        <v>95</v>
      </c>
      <c r="P128" t="str">
        <f t="shared" si="6"/>
        <v>July 2025</v>
      </c>
      <c r="Q128" t="s">
        <v>37</v>
      </c>
      <c r="R128" s="7">
        <v>10574.64</v>
      </c>
      <c r="S128" s="7">
        <f t="shared" si="7"/>
        <v>1296035.5999999999</v>
      </c>
    </row>
    <row r="129" spans="1:19" x14ac:dyDescent="0.3">
      <c r="A129" t="s">
        <v>426</v>
      </c>
      <c r="B129" s="5" t="s">
        <v>290</v>
      </c>
      <c r="C129" s="6">
        <f t="shared" si="4"/>
        <v>45901</v>
      </c>
      <c r="D129" t="s">
        <v>65</v>
      </c>
      <c r="E129" t="s">
        <v>22</v>
      </c>
      <c r="F129" t="s">
        <v>45</v>
      </c>
      <c r="G129" t="s">
        <v>86</v>
      </c>
      <c r="H129" t="s">
        <v>35</v>
      </c>
      <c r="I129">
        <v>1500</v>
      </c>
      <c r="J129" s="7">
        <v>66.83</v>
      </c>
      <c r="K129" s="7">
        <v>100245</v>
      </c>
      <c r="L129">
        <v>92</v>
      </c>
      <c r="M129" t="s">
        <v>427</v>
      </c>
      <c r="N129" s="6">
        <f t="shared" si="5"/>
        <v>45901</v>
      </c>
      <c r="O129" t="s">
        <v>290</v>
      </c>
      <c r="P129" t="str">
        <f t="shared" si="6"/>
        <v>September 2025</v>
      </c>
      <c r="Q129" t="s">
        <v>37</v>
      </c>
      <c r="R129" s="7">
        <v>4523.59</v>
      </c>
      <c r="S129" s="7">
        <f t="shared" si="7"/>
        <v>104768.59</v>
      </c>
    </row>
    <row r="130" spans="1:19" x14ac:dyDescent="0.3">
      <c r="A130" t="s">
        <v>428</v>
      </c>
      <c r="B130" s="5" t="s">
        <v>171</v>
      </c>
      <c r="C130" s="6">
        <f t="shared" si="4"/>
        <v>45748</v>
      </c>
      <c r="D130" t="s">
        <v>65</v>
      </c>
      <c r="E130" t="s">
        <v>53</v>
      </c>
      <c r="F130" t="s">
        <v>23</v>
      </c>
      <c r="G130" t="s">
        <v>283</v>
      </c>
      <c r="H130" t="s">
        <v>155</v>
      </c>
      <c r="I130">
        <v>1557</v>
      </c>
      <c r="J130" s="7">
        <v>214.44</v>
      </c>
      <c r="K130" s="7">
        <v>333883.08</v>
      </c>
      <c r="L130">
        <v>274</v>
      </c>
      <c r="M130" t="s">
        <v>429</v>
      </c>
      <c r="N130" s="6">
        <f t="shared" si="5"/>
        <v>45748</v>
      </c>
      <c r="O130" t="s">
        <v>85</v>
      </c>
      <c r="P130" t="str">
        <f t="shared" si="6"/>
        <v>April 2025</v>
      </c>
      <c r="Q130" t="s">
        <v>28</v>
      </c>
      <c r="R130" s="7">
        <v>15234.6</v>
      </c>
      <c r="S130" s="7">
        <f t="shared" si="7"/>
        <v>349117.68</v>
      </c>
    </row>
    <row r="131" spans="1:19" x14ac:dyDescent="0.3">
      <c r="A131" t="s">
        <v>430</v>
      </c>
      <c r="B131" s="5" t="s">
        <v>36</v>
      </c>
      <c r="C131" s="6">
        <f t="shared" ref="C131:C194" si="8">DATE(YEAR(B131), MONTH(B131), 1)</f>
        <v>45689</v>
      </c>
      <c r="D131" t="s">
        <v>109</v>
      </c>
      <c r="E131" t="s">
        <v>22</v>
      </c>
      <c r="F131" t="s">
        <v>45</v>
      </c>
      <c r="G131" t="s">
        <v>46</v>
      </c>
      <c r="H131" t="s">
        <v>77</v>
      </c>
      <c r="I131">
        <v>640</v>
      </c>
      <c r="J131" s="7">
        <v>173.89</v>
      </c>
      <c r="K131" s="7">
        <v>111289.60000000001</v>
      </c>
      <c r="L131">
        <v>138</v>
      </c>
      <c r="M131" t="s">
        <v>431</v>
      </c>
      <c r="N131" s="6">
        <f t="shared" ref="N131:N194" si="9">DATE(YEAR(M131), MONTH(M131),1)</f>
        <v>45689</v>
      </c>
      <c r="O131" t="s">
        <v>431</v>
      </c>
      <c r="P131" t="str">
        <f t="shared" ref="P131:P194" si="10">TEXT(O131, "mmmm yyyy")</f>
        <v>February 2025</v>
      </c>
      <c r="Q131" t="s">
        <v>37</v>
      </c>
      <c r="R131" s="7">
        <v>8551.8700000000008</v>
      </c>
      <c r="S131" s="7">
        <f t="shared" ref="S131:S194" si="11">K131 +R131</f>
        <v>119841.47</v>
      </c>
    </row>
    <row r="132" spans="1:19" x14ac:dyDescent="0.3">
      <c r="A132" t="s">
        <v>432</v>
      </c>
      <c r="B132" s="5" t="s">
        <v>371</v>
      </c>
      <c r="C132" s="6">
        <f t="shared" si="8"/>
        <v>45870</v>
      </c>
      <c r="D132" t="s">
        <v>40</v>
      </c>
      <c r="E132" t="s">
        <v>32</v>
      </c>
      <c r="F132" t="s">
        <v>59</v>
      </c>
      <c r="G132" t="s">
        <v>265</v>
      </c>
      <c r="H132" t="s">
        <v>123</v>
      </c>
      <c r="I132">
        <v>612</v>
      </c>
      <c r="J132" s="7">
        <v>755.19</v>
      </c>
      <c r="K132" s="7">
        <v>462176.28</v>
      </c>
      <c r="L132">
        <v>696</v>
      </c>
      <c r="M132" t="s">
        <v>167</v>
      </c>
      <c r="N132" s="6">
        <f t="shared" si="9"/>
        <v>45870</v>
      </c>
      <c r="O132" t="s">
        <v>167</v>
      </c>
      <c r="P132" t="str">
        <f t="shared" si="10"/>
        <v>August 2025</v>
      </c>
      <c r="Q132" t="s">
        <v>37</v>
      </c>
      <c r="R132" s="7">
        <v>32284.37</v>
      </c>
      <c r="S132" s="7">
        <f t="shared" si="11"/>
        <v>494460.65</v>
      </c>
    </row>
    <row r="133" spans="1:19" x14ac:dyDescent="0.3">
      <c r="A133" t="s">
        <v>433</v>
      </c>
      <c r="B133" s="5" t="s">
        <v>330</v>
      </c>
      <c r="C133" s="6">
        <f t="shared" si="8"/>
        <v>45809</v>
      </c>
      <c r="D133" t="s">
        <v>128</v>
      </c>
      <c r="E133" t="s">
        <v>53</v>
      </c>
      <c r="F133" t="s">
        <v>59</v>
      </c>
      <c r="G133" t="s">
        <v>46</v>
      </c>
      <c r="H133" t="s">
        <v>123</v>
      </c>
      <c r="I133">
        <v>1419</v>
      </c>
      <c r="J133" s="7">
        <v>147.84</v>
      </c>
      <c r="K133" s="7">
        <v>209784.95999999999</v>
      </c>
      <c r="L133">
        <v>395</v>
      </c>
      <c r="M133" t="s">
        <v>331</v>
      </c>
      <c r="N133" s="6">
        <f t="shared" si="9"/>
        <v>45809</v>
      </c>
      <c r="O133" t="s">
        <v>144</v>
      </c>
      <c r="P133" t="str">
        <f t="shared" si="10"/>
        <v>July 2025</v>
      </c>
      <c r="Q133" t="s">
        <v>28</v>
      </c>
      <c r="R133" s="7">
        <v>19686.84</v>
      </c>
      <c r="S133" s="7">
        <f t="shared" si="11"/>
        <v>229471.8</v>
      </c>
    </row>
    <row r="134" spans="1:19" x14ac:dyDescent="0.3">
      <c r="A134" t="s">
        <v>434</v>
      </c>
      <c r="B134" s="5" t="s">
        <v>355</v>
      </c>
      <c r="C134" s="6">
        <f t="shared" si="8"/>
        <v>45992</v>
      </c>
      <c r="D134" t="s">
        <v>21</v>
      </c>
      <c r="E134" t="s">
        <v>70</v>
      </c>
      <c r="F134" t="s">
        <v>23</v>
      </c>
      <c r="G134" t="s">
        <v>86</v>
      </c>
      <c r="H134" t="s">
        <v>123</v>
      </c>
      <c r="I134">
        <v>1527</v>
      </c>
      <c r="J134" s="7">
        <v>92.44</v>
      </c>
      <c r="K134" s="7">
        <v>141155.88</v>
      </c>
      <c r="L134">
        <v>408</v>
      </c>
      <c r="M134" t="s">
        <v>356</v>
      </c>
      <c r="N134" s="6">
        <f t="shared" si="9"/>
        <v>45992</v>
      </c>
      <c r="O134" t="s">
        <v>356</v>
      </c>
      <c r="P134" t="str">
        <f t="shared" si="10"/>
        <v>December 2025</v>
      </c>
      <c r="Q134" t="s">
        <v>37</v>
      </c>
      <c r="R134" s="7">
        <v>15876.37</v>
      </c>
      <c r="S134" s="7">
        <f t="shared" si="11"/>
        <v>157032.25</v>
      </c>
    </row>
    <row r="135" spans="1:19" x14ac:dyDescent="0.3">
      <c r="A135" t="s">
        <v>435</v>
      </c>
      <c r="B135" s="5" t="s">
        <v>436</v>
      </c>
      <c r="C135" s="6">
        <f t="shared" si="8"/>
        <v>45717</v>
      </c>
      <c r="D135" t="s">
        <v>65</v>
      </c>
      <c r="E135" t="s">
        <v>75</v>
      </c>
      <c r="F135" t="s">
        <v>45</v>
      </c>
      <c r="G135" t="s">
        <v>76</v>
      </c>
      <c r="H135" t="s">
        <v>77</v>
      </c>
      <c r="I135">
        <v>2309</v>
      </c>
      <c r="J135" s="7">
        <v>483.58</v>
      </c>
      <c r="K135" s="7">
        <v>1116586.22</v>
      </c>
      <c r="L135">
        <v>706</v>
      </c>
      <c r="M135" t="s">
        <v>437</v>
      </c>
      <c r="N135" s="6">
        <f t="shared" si="9"/>
        <v>45717</v>
      </c>
      <c r="O135" t="s">
        <v>437</v>
      </c>
      <c r="P135" t="str">
        <f t="shared" si="10"/>
        <v>March 2025</v>
      </c>
      <c r="Q135" t="s">
        <v>37</v>
      </c>
      <c r="R135" s="7">
        <v>34301.56</v>
      </c>
      <c r="S135" s="7">
        <f t="shared" si="11"/>
        <v>1150887.78</v>
      </c>
    </row>
    <row r="136" spans="1:19" x14ac:dyDescent="0.3">
      <c r="A136" t="s">
        <v>438</v>
      </c>
      <c r="B136" s="5" t="s">
        <v>439</v>
      </c>
      <c r="C136" s="6">
        <f t="shared" si="8"/>
        <v>45778</v>
      </c>
      <c r="D136" t="s">
        <v>109</v>
      </c>
      <c r="E136" t="s">
        <v>75</v>
      </c>
      <c r="F136" t="s">
        <v>45</v>
      </c>
      <c r="G136" t="s">
        <v>118</v>
      </c>
      <c r="H136" t="s">
        <v>77</v>
      </c>
      <c r="I136">
        <v>771</v>
      </c>
      <c r="J136" s="7">
        <v>338.82</v>
      </c>
      <c r="K136" s="7">
        <v>261230.22</v>
      </c>
      <c r="L136">
        <v>176</v>
      </c>
      <c r="M136" t="s">
        <v>440</v>
      </c>
      <c r="N136" s="6">
        <f t="shared" si="9"/>
        <v>45778</v>
      </c>
      <c r="O136" t="s">
        <v>282</v>
      </c>
      <c r="P136" t="str">
        <f t="shared" si="10"/>
        <v>May 2025</v>
      </c>
      <c r="Q136" t="s">
        <v>28</v>
      </c>
      <c r="R136" s="7">
        <v>7221.23</v>
      </c>
      <c r="S136" s="7">
        <f t="shared" si="11"/>
        <v>268451.45</v>
      </c>
    </row>
    <row r="137" spans="1:19" x14ac:dyDescent="0.3">
      <c r="A137" t="s">
        <v>441</v>
      </c>
      <c r="B137" s="5" t="s">
        <v>442</v>
      </c>
      <c r="C137" s="6">
        <f t="shared" si="8"/>
        <v>45778</v>
      </c>
      <c r="D137" t="s">
        <v>31</v>
      </c>
      <c r="E137" t="s">
        <v>53</v>
      </c>
      <c r="F137" t="s">
        <v>23</v>
      </c>
      <c r="G137" t="s">
        <v>172</v>
      </c>
      <c r="H137" t="s">
        <v>61</v>
      </c>
      <c r="I137">
        <v>1246</v>
      </c>
      <c r="J137" s="7">
        <v>172.83</v>
      </c>
      <c r="K137" s="7">
        <v>215346.18</v>
      </c>
      <c r="L137">
        <v>89</v>
      </c>
      <c r="M137" t="s">
        <v>443</v>
      </c>
      <c r="N137" s="6">
        <f t="shared" si="9"/>
        <v>45778</v>
      </c>
      <c r="O137" t="s">
        <v>443</v>
      </c>
      <c r="P137" t="str">
        <f t="shared" si="10"/>
        <v>May 2025</v>
      </c>
      <c r="Q137" t="s">
        <v>37</v>
      </c>
      <c r="R137" s="7">
        <v>4511.99</v>
      </c>
      <c r="S137" s="7">
        <f t="shared" si="11"/>
        <v>219858.16999999998</v>
      </c>
    </row>
    <row r="138" spans="1:19" x14ac:dyDescent="0.3">
      <c r="A138" t="s">
        <v>444</v>
      </c>
      <c r="B138" s="5" t="s">
        <v>404</v>
      </c>
      <c r="C138" s="6">
        <f t="shared" si="8"/>
        <v>45809</v>
      </c>
      <c r="D138" t="s">
        <v>128</v>
      </c>
      <c r="E138" t="s">
        <v>32</v>
      </c>
      <c r="F138" t="s">
        <v>33</v>
      </c>
      <c r="G138" t="s">
        <v>202</v>
      </c>
      <c r="H138" t="s">
        <v>47</v>
      </c>
      <c r="I138">
        <v>1071</v>
      </c>
      <c r="J138" s="7">
        <v>89.1</v>
      </c>
      <c r="K138" s="7">
        <v>95426.1</v>
      </c>
      <c r="L138">
        <v>619</v>
      </c>
      <c r="M138" t="s">
        <v>113</v>
      </c>
      <c r="N138" s="6">
        <f t="shared" si="9"/>
        <v>45809</v>
      </c>
      <c r="O138" t="s">
        <v>445</v>
      </c>
      <c r="P138" t="str">
        <f t="shared" si="10"/>
        <v>June 2025</v>
      </c>
      <c r="Q138" t="s">
        <v>28</v>
      </c>
      <c r="R138" s="7">
        <v>28622.85</v>
      </c>
      <c r="S138" s="7">
        <f t="shared" si="11"/>
        <v>124048.95000000001</v>
      </c>
    </row>
    <row r="139" spans="1:19" x14ac:dyDescent="0.3">
      <c r="A139" t="s">
        <v>446</v>
      </c>
      <c r="B139" s="5" t="s">
        <v>447</v>
      </c>
      <c r="C139" s="6">
        <f t="shared" si="8"/>
        <v>45931</v>
      </c>
      <c r="D139" t="s">
        <v>109</v>
      </c>
      <c r="E139" t="s">
        <v>32</v>
      </c>
      <c r="F139" t="s">
        <v>23</v>
      </c>
      <c r="G139" t="s">
        <v>283</v>
      </c>
      <c r="H139" t="s">
        <v>132</v>
      </c>
      <c r="I139">
        <v>2347</v>
      </c>
      <c r="J139" s="7">
        <v>293.35000000000002</v>
      </c>
      <c r="K139" s="7">
        <v>688492.45</v>
      </c>
      <c r="L139">
        <v>591</v>
      </c>
      <c r="M139" t="s">
        <v>448</v>
      </c>
      <c r="N139" s="6">
        <f t="shared" si="9"/>
        <v>45931</v>
      </c>
      <c r="O139" t="s">
        <v>448</v>
      </c>
      <c r="P139" t="str">
        <f t="shared" si="10"/>
        <v>October 2025</v>
      </c>
      <c r="Q139" t="s">
        <v>37</v>
      </c>
      <c r="R139" s="7">
        <v>26499.05</v>
      </c>
      <c r="S139" s="7">
        <f t="shared" si="11"/>
        <v>714991.5</v>
      </c>
    </row>
    <row r="140" spans="1:19" x14ac:dyDescent="0.3">
      <c r="A140" t="s">
        <v>449</v>
      </c>
      <c r="B140" s="5" t="s">
        <v>450</v>
      </c>
      <c r="C140" s="6">
        <f t="shared" si="8"/>
        <v>45689</v>
      </c>
      <c r="D140" t="s">
        <v>96</v>
      </c>
      <c r="E140" t="s">
        <v>143</v>
      </c>
      <c r="F140" t="s">
        <v>45</v>
      </c>
      <c r="G140" t="s">
        <v>76</v>
      </c>
      <c r="H140" t="s">
        <v>77</v>
      </c>
      <c r="I140">
        <v>2488</v>
      </c>
      <c r="J140" s="7">
        <v>520.04999999999995</v>
      </c>
      <c r="K140" s="7">
        <v>1293884.3999999999</v>
      </c>
      <c r="L140">
        <v>25</v>
      </c>
      <c r="M140" t="s">
        <v>451</v>
      </c>
      <c r="N140" s="6">
        <f t="shared" si="9"/>
        <v>45689</v>
      </c>
      <c r="O140" t="s">
        <v>30</v>
      </c>
      <c r="P140" t="str">
        <f t="shared" si="10"/>
        <v>February 2025</v>
      </c>
      <c r="Q140" t="s">
        <v>28</v>
      </c>
      <c r="R140" s="7">
        <v>1456.73</v>
      </c>
      <c r="S140" s="7">
        <f t="shared" si="11"/>
        <v>1295341.1299999999</v>
      </c>
    </row>
    <row r="141" spans="1:19" x14ac:dyDescent="0.3">
      <c r="A141" t="s">
        <v>452</v>
      </c>
      <c r="B141" s="5" t="s">
        <v>453</v>
      </c>
      <c r="C141" s="6">
        <f t="shared" si="8"/>
        <v>45717</v>
      </c>
      <c r="D141" t="s">
        <v>40</v>
      </c>
      <c r="E141" t="s">
        <v>32</v>
      </c>
      <c r="F141" t="s">
        <v>45</v>
      </c>
      <c r="G141" t="s">
        <v>168</v>
      </c>
      <c r="H141" t="s">
        <v>91</v>
      </c>
      <c r="I141">
        <v>1430</v>
      </c>
      <c r="J141" s="7">
        <v>296.85000000000002</v>
      </c>
      <c r="K141" s="7">
        <v>424495.5</v>
      </c>
      <c r="L141">
        <v>491</v>
      </c>
      <c r="M141" t="s">
        <v>295</v>
      </c>
      <c r="N141" s="6">
        <f t="shared" si="9"/>
        <v>45717</v>
      </c>
      <c r="O141" t="s">
        <v>454</v>
      </c>
      <c r="P141" t="str">
        <f t="shared" si="10"/>
        <v>March 2025</v>
      </c>
      <c r="Q141" t="s">
        <v>28</v>
      </c>
      <c r="R141" s="7">
        <v>23157.81</v>
      </c>
      <c r="S141" s="7">
        <f t="shared" si="11"/>
        <v>447653.31</v>
      </c>
    </row>
    <row r="142" spans="1:19" x14ac:dyDescent="0.3">
      <c r="A142" t="s">
        <v>455</v>
      </c>
      <c r="B142" s="5" t="s">
        <v>105</v>
      </c>
      <c r="C142" s="6">
        <f t="shared" si="8"/>
        <v>45962</v>
      </c>
      <c r="D142" t="s">
        <v>65</v>
      </c>
      <c r="E142" t="s">
        <v>143</v>
      </c>
      <c r="F142" t="s">
        <v>59</v>
      </c>
      <c r="G142" t="s">
        <v>163</v>
      </c>
      <c r="H142" t="s">
        <v>77</v>
      </c>
      <c r="I142">
        <v>453</v>
      </c>
      <c r="J142" s="7">
        <v>291.31</v>
      </c>
      <c r="K142" s="7">
        <v>131963.43</v>
      </c>
      <c r="L142">
        <v>420</v>
      </c>
      <c r="M142" t="s">
        <v>106</v>
      </c>
      <c r="N142" s="6">
        <f t="shared" si="9"/>
        <v>45962</v>
      </c>
      <c r="O142" t="s">
        <v>106</v>
      </c>
      <c r="P142" t="str">
        <f t="shared" si="10"/>
        <v>November 2025</v>
      </c>
      <c r="Q142" t="s">
        <v>37</v>
      </c>
      <c r="R142" s="7">
        <v>21641.78</v>
      </c>
      <c r="S142" s="7">
        <f t="shared" si="11"/>
        <v>153605.21</v>
      </c>
    </row>
    <row r="143" spans="1:19" x14ac:dyDescent="0.3">
      <c r="A143" t="s">
        <v>456</v>
      </c>
      <c r="B143" s="5" t="s">
        <v>447</v>
      </c>
      <c r="C143" s="6">
        <f t="shared" si="8"/>
        <v>45931</v>
      </c>
      <c r="D143" t="s">
        <v>31</v>
      </c>
      <c r="E143" t="s">
        <v>143</v>
      </c>
      <c r="F143" t="s">
        <v>45</v>
      </c>
      <c r="G143" t="s">
        <v>179</v>
      </c>
      <c r="H143" t="s">
        <v>55</v>
      </c>
      <c r="I143">
        <v>1896</v>
      </c>
      <c r="J143" s="7">
        <v>845.32</v>
      </c>
      <c r="K143" s="7">
        <v>1602726.72</v>
      </c>
      <c r="L143">
        <v>73</v>
      </c>
      <c r="M143" t="s">
        <v>156</v>
      </c>
      <c r="N143" s="6">
        <f t="shared" si="9"/>
        <v>45931</v>
      </c>
      <c r="O143" t="s">
        <v>448</v>
      </c>
      <c r="P143" t="str">
        <f t="shared" si="10"/>
        <v>October 2025</v>
      </c>
      <c r="Q143" t="s">
        <v>28</v>
      </c>
      <c r="R143" s="7">
        <v>4066.17</v>
      </c>
      <c r="S143" s="7">
        <f t="shared" si="11"/>
        <v>1606792.89</v>
      </c>
    </row>
    <row r="144" spans="1:19" x14ac:dyDescent="0.3">
      <c r="A144" t="s">
        <v>457</v>
      </c>
      <c r="B144" s="5" t="s">
        <v>420</v>
      </c>
      <c r="C144" s="6">
        <f t="shared" si="8"/>
        <v>45992</v>
      </c>
      <c r="D144" t="s">
        <v>21</v>
      </c>
      <c r="E144" t="s">
        <v>53</v>
      </c>
      <c r="F144" t="s">
        <v>59</v>
      </c>
      <c r="G144" t="s">
        <v>82</v>
      </c>
      <c r="H144" t="s">
        <v>155</v>
      </c>
      <c r="I144">
        <v>181</v>
      </c>
      <c r="J144" s="7">
        <v>477.76</v>
      </c>
      <c r="K144" s="7">
        <v>86474.559999999998</v>
      </c>
      <c r="L144">
        <v>505</v>
      </c>
      <c r="M144" t="s">
        <v>120</v>
      </c>
      <c r="N144" s="6">
        <f t="shared" si="9"/>
        <v>45992</v>
      </c>
      <c r="O144" t="s">
        <v>120</v>
      </c>
      <c r="P144" t="str">
        <f t="shared" si="10"/>
        <v>December 2025</v>
      </c>
      <c r="Q144" t="s">
        <v>37</v>
      </c>
      <c r="R144" s="7">
        <v>25232.86</v>
      </c>
      <c r="S144" s="7">
        <f t="shared" si="11"/>
        <v>111707.42</v>
      </c>
    </row>
    <row r="145" spans="1:19" x14ac:dyDescent="0.3">
      <c r="A145" t="s">
        <v>458</v>
      </c>
      <c r="B145" s="5" t="s">
        <v>90</v>
      </c>
      <c r="C145" s="6">
        <f t="shared" si="8"/>
        <v>45931</v>
      </c>
      <c r="D145" t="s">
        <v>65</v>
      </c>
      <c r="E145" t="s">
        <v>32</v>
      </c>
      <c r="F145" t="s">
        <v>23</v>
      </c>
      <c r="G145" t="s">
        <v>138</v>
      </c>
      <c r="H145" t="s">
        <v>25</v>
      </c>
      <c r="I145">
        <v>1404</v>
      </c>
      <c r="J145" s="7">
        <v>80.790000000000006</v>
      </c>
      <c r="K145" s="7">
        <v>113429.16</v>
      </c>
      <c r="L145">
        <v>469</v>
      </c>
      <c r="M145" t="s">
        <v>92</v>
      </c>
      <c r="N145" s="6">
        <f t="shared" si="9"/>
        <v>45931</v>
      </c>
      <c r="O145" t="s">
        <v>459</v>
      </c>
      <c r="P145" t="str">
        <f t="shared" si="10"/>
        <v>October 2025</v>
      </c>
      <c r="Q145" t="s">
        <v>28</v>
      </c>
      <c r="R145" s="7">
        <v>28781.43</v>
      </c>
      <c r="S145" s="7">
        <f t="shared" si="11"/>
        <v>142210.59</v>
      </c>
    </row>
    <row r="146" spans="1:19" x14ac:dyDescent="0.3">
      <c r="A146" t="s">
        <v>460</v>
      </c>
      <c r="B146" s="5" t="s">
        <v>461</v>
      </c>
      <c r="C146" s="6">
        <f t="shared" si="8"/>
        <v>45717</v>
      </c>
      <c r="D146" t="s">
        <v>96</v>
      </c>
      <c r="E146" t="s">
        <v>75</v>
      </c>
      <c r="F146" t="s">
        <v>45</v>
      </c>
      <c r="G146" t="s">
        <v>86</v>
      </c>
      <c r="H146" t="s">
        <v>132</v>
      </c>
      <c r="I146">
        <v>784</v>
      </c>
      <c r="J146" s="7">
        <v>194.78</v>
      </c>
      <c r="K146" s="7">
        <v>152707.51999999999</v>
      </c>
      <c r="L146">
        <v>479</v>
      </c>
      <c r="M146" t="s">
        <v>359</v>
      </c>
      <c r="N146" s="6">
        <f t="shared" si="9"/>
        <v>45717</v>
      </c>
      <c r="O146" t="s">
        <v>67</v>
      </c>
      <c r="P146" t="str">
        <f t="shared" si="10"/>
        <v>March 2025</v>
      </c>
      <c r="Q146" t="s">
        <v>28</v>
      </c>
      <c r="R146" s="7">
        <v>23231.97</v>
      </c>
      <c r="S146" s="7">
        <f t="shared" si="11"/>
        <v>175939.49</v>
      </c>
    </row>
    <row r="147" spans="1:19" x14ac:dyDescent="0.3">
      <c r="A147" t="s">
        <v>462</v>
      </c>
      <c r="B147" s="5" t="s">
        <v>316</v>
      </c>
      <c r="C147" s="6">
        <f t="shared" si="8"/>
        <v>45839</v>
      </c>
      <c r="D147" t="s">
        <v>65</v>
      </c>
      <c r="E147" t="s">
        <v>32</v>
      </c>
      <c r="F147" t="s">
        <v>23</v>
      </c>
      <c r="G147" t="s">
        <v>34</v>
      </c>
      <c r="H147" t="s">
        <v>155</v>
      </c>
      <c r="I147">
        <v>185</v>
      </c>
      <c r="J147" s="7">
        <v>79.099999999999994</v>
      </c>
      <c r="K147" s="7">
        <v>14633.5</v>
      </c>
      <c r="L147">
        <v>618</v>
      </c>
      <c r="M147" t="s">
        <v>463</v>
      </c>
      <c r="N147" s="6">
        <f t="shared" si="9"/>
        <v>45839</v>
      </c>
      <c r="O147" t="s">
        <v>464</v>
      </c>
      <c r="P147" t="str">
        <f t="shared" si="10"/>
        <v>July 2025</v>
      </c>
      <c r="Q147" t="s">
        <v>28</v>
      </c>
      <c r="R147" s="7">
        <v>31023.51</v>
      </c>
      <c r="S147" s="7">
        <f t="shared" si="11"/>
        <v>45657.009999999995</v>
      </c>
    </row>
    <row r="148" spans="1:19" x14ac:dyDescent="0.3">
      <c r="A148" t="s">
        <v>465</v>
      </c>
      <c r="B148" s="5" t="s">
        <v>466</v>
      </c>
      <c r="C148" s="6">
        <f t="shared" si="8"/>
        <v>45839</v>
      </c>
      <c r="D148" t="s">
        <v>128</v>
      </c>
      <c r="E148" t="s">
        <v>32</v>
      </c>
      <c r="F148" t="s">
        <v>23</v>
      </c>
      <c r="G148" t="s">
        <v>138</v>
      </c>
      <c r="H148" t="s">
        <v>35</v>
      </c>
      <c r="I148">
        <v>831</v>
      </c>
      <c r="J148" s="7">
        <v>839.66</v>
      </c>
      <c r="K148" s="7">
        <v>697757.46</v>
      </c>
      <c r="L148">
        <v>197</v>
      </c>
      <c r="M148" t="s">
        <v>102</v>
      </c>
      <c r="N148" s="6">
        <f t="shared" si="9"/>
        <v>45839</v>
      </c>
      <c r="O148" t="s">
        <v>103</v>
      </c>
      <c r="P148" t="str">
        <f t="shared" si="10"/>
        <v>July 2025</v>
      </c>
      <c r="Q148" t="s">
        <v>28</v>
      </c>
      <c r="R148" s="7">
        <v>9465.86</v>
      </c>
      <c r="S148" s="7">
        <f t="shared" si="11"/>
        <v>707223.32</v>
      </c>
    </row>
    <row r="149" spans="1:19" x14ac:dyDescent="0.3">
      <c r="A149" t="s">
        <v>467</v>
      </c>
      <c r="B149" s="5" t="s">
        <v>409</v>
      </c>
      <c r="C149" s="6">
        <f t="shared" si="8"/>
        <v>45870</v>
      </c>
      <c r="D149" t="s">
        <v>21</v>
      </c>
      <c r="E149" t="s">
        <v>53</v>
      </c>
      <c r="F149" t="s">
        <v>59</v>
      </c>
      <c r="G149" t="s">
        <v>86</v>
      </c>
      <c r="H149" t="s">
        <v>77</v>
      </c>
      <c r="I149">
        <v>2241</v>
      </c>
      <c r="J149" s="7">
        <v>281.67</v>
      </c>
      <c r="K149" s="7">
        <v>631222.47</v>
      </c>
      <c r="L149">
        <v>50</v>
      </c>
      <c r="M149" t="s">
        <v>402</v>
      </c>
      <c r="N149" s="6">
        <f t="shared" si="9"/>
        <v>45870</v>
      </c>
      <c r="O149" t="s">
        <v>402</v>
      </c>
      <c r="P149" t="str">
        <f t="shared" si="10"/>
        <v>August 2025</v>
      </c>
      <c r="Q149" t="s">
        <v>37</v>
      </c>
      <c r="R149" s="7">
        <v>2043.4</v>
      </c>
      <c r="S149" s="7">
        <f t="shared" si="11"/>
        <v>633265.87</v>
      </c>
    </row>
    <row r="150" spans="1:19" x14ac:dyDescent="0.3">
      <c r="A150" t="s">
        <v>468</v>
      </c>
      <c r="B150" s="5" t="s">
        <v>469</v>
      </c>
      <c r="C150" s="6">
        <f t="shared" si="8"/>
        <v>45689</v>
      </c>
      <c r="D150" t="s">
        <v>65</v>
      </c>
      <c r="E150" t="s">
        <v>53</v>
      </c>
      <c r="F150" t="s">
        <v>23</v>
      </c>
      <c r="G150" t="s">
        <v>190</v>
      </c>
      <c r="H150" t="s">
        <v>77</v>
      </c>
      <c r="I150">
        <v>203</v>
      </c>
      <c r="J150" s="7">
        <v>48.19</v>
      </c>
      <c r="K150" s="7">
        <v>9782.57</v>
      </c>
      <c r="L150">
        <v>311</v>
      </c>
      <c r="M150" t="s">
        <v>470</v>
      </c>
      <c r="N150" s="6">
        <f t="shared" si="9"/>
        <v>45689</v>
      </c>
      <c r="O150" t="s">
        <v>470</v>
      </c>
      <c r="P150" t="str">
        <f t="shared" si="10"/>
        <v>February 2025</v>
      </c>
      <c r="Q150" t="s">
        <v>37</v>
      </c>
      <c r="R150" s="7">
        <v>13418.96</v>
      </c>
      <c r="S150" s="7">
        <f t="shared" si="11"/>
        <v>23201.53</v>
      </c>
    </row>
    <row r="151" spans="1:19" x14ac:dyDescent="0.3">
      <c r="A151" t="s">
        <v>471</v>
      </c>
      <c r="B151" s="5" t="s">
        <v>355</v>
      </c>
      <c r="C151" s="6">
        <f t="shared" si="8"/>
        <v>45992</v>
      </c>
      <c r="D151" t="s">
        <v>52</v>
      </c>
      <c r="E151" t="s">
        <v>22</v>
      </c>
      <c r="F151" t="s">
        <v>23</v>
      </c>
      <c r="G151" t="s">
        <v>82</v>
      </c>
      <c r="H151" t="s">
        <v>47</v>
      </c>
      <c r="I151">
        <v>2479</v>
      </c>
      <c r="J151" s="7">
        <v>848.29</v>
      </c>
      <c r="K151" s="7">
        <v>2102910.91</v>
      </c>
      <c r="L151">
        <v>368</v>
      </c>
      <c r="M151" t="s">
        <v>356</v>
      </c>
      <c r="N151" s="6">
        <f t="shared" si="9"/>
        <v>45992</v>
      </c>
      <c r="O151" t="s">
        <v>391</v>
      </c>
      <c r="P151" t="str">
        <f t="shared" si="10"/>
        <v>December 2025</v>
      </c>
      <c r="Q151" t="s">
        <v>28</v>
      </c>
      <c r="R151" s="7">
        <v>20167.96</v>
      </c>
      <c r="S151" s="7">
        <f t="shared" si="11"/>
        <v>2123078.87</v>
      </c>
    </row>
    <row r="152" spans="1:19" x14ac:dyDescent="0.3">
      <c r="A152" t="s">
        <v>472</v>
      </c>
      <c r="B152" s="5" t="s">
        <v>473</v>
      </c>
      <c r="C152" s="6">
        <f t="shared" si="8"/>
        <v>45839</v>
      </c>
      <c r="D152" t="s">
        <v>40</v>
      </c>
      <c r="E152" t="s">
        <v>70</v>
      </c>
      <c r="F152" t="s">
        <v>45</v>
      </c>
      <c r="G152" t="s">
        <v>86</v>
      </c>
      <c r="H152" t="s">
        <v>47</v>
      </c>
      <c r="I152">
        <v>947</v>
      </c>
      <c r="J152" s="7">
        <v>683.07</v>
      </c>
      <c r="K152" s="7">
        <v>646867.29</v>
      </c>
      <c r="L152">
        <v>190</v>
      </c>
      <c r="M152" t="s">
        <v>127</v>
      </c>
      <c r="N152" s="6">
        <f t="shared" si="9"/>
        <v>45839</v>
      </c>
      <c r="O152" t="s">
        <v>129</v>
      </c>
      <c r="P152" t="str">
        <f t="shared" si="10"/>
        <v>July 2025</v>
      </c>
      <c r="Q152" t="s">
        <v>28</v>
      </c>
      <c r="R152" s="7">
        <v>9859.75</v>
      </c>
      <c r="S152" s="7">
        <f t="shared" si="11"/>
        <v>656727.04000000004</v>
      </c>
    </row>
    <row r="153" spans="1:19" x14ac:dyDescent="0.3">
      <c r="A153" t="s">
        <v>474</v>
      </c>
      <c r="B153" s="5" t="s">
        <v>475</v>
      </c>
      <c r="C153" s="6">
        <f t="shared" si="8"/>
        <v>45901</v>
      </c>
      <c r="D153" t="s">
        <v>65</v>
      </c>
      <c r="E153" t="s">
        <v>22</v>
      </c>
      <c r="F153" t="s">
        <v>59</v>
      </c>
      <c r="G153" t="s">
        <v>60</v>
      </c>
      <c r="H153" t="s">
        <v>123</v>
      </c>
      <c r="I153">
        <v>2102</v>
      </c>
      <c r="J153" s="7">
        <v>85.06</v>
      </c>
      <c r="K153" s="7">
        <v>178796.12</v>
      </c>
      <c r="L153">
        <v>538</v>
      </c>
      <c r="M153" t="s">
        <v>476</v>
      </c>
      <c r="N153" s="6">
        <f t="shared" si="9"/>
        <v>45901</v>
      </c>
      <c r="O153" t="s">
        <v>476</v>
      </c>
      <c r="P153" t="str">
        <f t="shared" si="10"/>
        <v>September 2025</v>
      </c>
      <c r="Q153" t="s">
        <v>37</v>
      </c>
      <c r="R153" s="7">
        <v>18892.21</v>
      </c>
      <c r="S153" s="7">
        <f t="shared" si="11"/>
        <v>197688.33</v>
      </c>
    </row>
    <row r="154" spans="1:19" x14ac:dyDescent="0.3">
      <c r="A154" t="s">
        <v>477</v>
      </c>
      <c r="B154" s="5" t="s">
        <v>478</v>
      </c>
      <c r="C154" s="6">
        <f t="shared" si="8"/>
        <v>45658</v>
      </c>
      <c r="D154" t="s">
        <v>40</v>
      </c>
      <c r="E154" t="s">
        <v>75</v>
      </c>
      <c r="F154" t="s">
        <v>59</v>
      </c>
      <c r="G154" t="s">
        <v>54</v>
      </c>
      <c r="H154" t="s">
        <v>155</v>
      </c>
      <c r="I154">
        <v>1285</v>
      </c>
      <c r="J154" s="7">
        <v>496.71</v>
      </c>
      <c r="K154" s="7">
        <v>638272.35</v>
      </c>
      <c r="L154">
        <v>329</v>
      </c>
      <c r="M154" t="s">
        <v>214</v>
      </c>
      <c r="N154" s="6">
        <f t="shared" si="9"/>
        <v>45658</v>
      </c>
      <c r="O154" t="s">
        <v>478</v>
      </c>
      <c r="P154" t="str">
        <f t="shared" si="10"/>
        <v>January 2025</v>
      </c>
      <c r="Q154" t="s">
        <v>37</v>
      </c>
      <c r="R154" s="7">
        <v>17501.18</v>
      </c>
      <c r="S154" s="7">
        <f t="shared" si="11"/>
        <v>655773.53</v>
      </c>
    </row>
    <row r="155" spans="1:19" x14ac:dyDescent="0.3">
      <c r="A155" t="s">
        <v>479</v>
      </c>
      <c r="B155" s="5" t="s">
        <v>480</v>
      </c>
      <c r="C155" s="6">
        <f t="shared" si="8"/>
        <v>45778</v>
      </c>
      <c r="D155" t="s">
        <v>52</v>
      </c>
      <c r="E155" t="s">
        <v>75</v>
      </c>
      <c r="F155" t="s">
        <v>59</v>
      </c>
      <c r="G155" t="s">
        <v>202</v>
      </c>
      <c r="H155" t="s">
        <v>25</v>
      </c>
      <c r="I155">
        <v>183</v>
      </c>
      <c r="J155" s="7">
        <v>785.58</v>
      </c>
      <c r="K155" s="7">
        <v>143761.14000000001</v>
      </c>
      <c r="L155">
        <v>247</v>
      </c>
      <c r="M155" t="s">
        <v>221</v>
      </c>
      <c r="N155" s="6">
        <f t="shared" si="9"/>
        <v>45778</v>
      </c>
      <c r="O155" t="s">
        <v>272</v>
      </c>
      <c r="P155" t="str">
        <f t="shared" si="10"/>
        <v>May 2025</v>
      </c>
      <c r="Q155" t="s">
        <v>28</v>
      </c>
      <c r="R155" s="7">
        <v>12462.93</v>
      </c>
      <c r="S155" s="7">
        <f t="shared" si="11"/>
        <v>156224.07</v>
      </c>
    </row>
    <row r="156" spans="1:19" x14ac:dyDescent="0.3">
      <c r="A156" t="s">
        <v>481</v>
      </c>
      <c r="B156" s="5" t="s">
        <v>482</v>
      </c>
      <c r="C156" s="6">
        <f t="shared" si="8"/>
        <v>45901</v>
      </c>
      <c r="D156" t="s">
        <v>96</v>
      </c>
      <c r="E156" t="s">
        <v>75</v>
      </c>
      <c r="F156" t="s">
        <v>33</v>
      </c>
      <c r="G156" t="s">
        <v>86</v>
      </c>
      <c r="H156" t="s">
        <v>25</v>
      </c>
      <c r="I156">
        <v>1541</v>
      </c>
      <c r="J156" s="7">
        <v>627.78</v>
      </c>
      <c r="K156" s="7">
        <v>967408.98</v>
      </c>
      <c r="L156">
        <v>539</v>
      </c>
      <c r="M156" t="s">
        <v>447</v>
      </c>
      <c r="N156" s="6">
        <f t="shared" si="9"/>
        <v>45931</v>
      </c>
      <c r="O156" t="s">
        <v>306</v>
      </c>
      <c r="P156" t="str">
        <f t="shared" si="10"/>
        <v>October 2025</v>
      </c>
      <c r="Q156" t="s">
        <v>28</v>
      </c>
      <c r="R156" s="7">
        <v>33042.839999999997</v>
      </c>
      <c r="S156" s="7">
        <f t="shared" si="11"/>
        <v>1000451.82</v>
      </c>
    </row>
    <row r="157" spans="1:19" x14ac:dyDescent="0.3">
      <c r="A157" t="s">
        <v>483</v>
      </c>
      <c r="B157" s="5" t="s">
        <v>176</v>
      </c>
      <c r="C157" s="6">
        <f t="shared" si="8"/>
        <v>45901</v>
      </c>
      <c r="D157" t="s">
        <v>96</v>
      </c>
      <c r="E157" t="s">
        <v>22</v>
      </c>
      <c r="F157" t="s">
        <v>45</v>
      </c>
      <c r="G157" t="s">
        <v>97</v>
      </c>
      <c r="H157" t="s">
        <v>25</v>
      </c>
      <c r="I157">
        <v>1135</v>
      </c>
      <c r="J157" s="7">
        <v>339.55</v>
      </c>
      <c r="K157" s="7">
        <v>385389.25</v>
      </c>
      <c r="L157">
        <v>542</v>
      </c>
      <c r="M157" t="s">
        <v>242</v>
      </c>
      <c r="N157" s="6">
        <f t="shared" si="9"/>
        <v>45901</v>
      </c>
      <c r="O157" t="s">
        <v>242</v>
      </c>
      <c r="P157" t="str">
        <f t="shared" si="10"/>
        <v>September 2025</v>
      </c>
      <c r="Q157" t="s">
        <v>37</v>
      </c>
      <c r="R157" s="7">
        <v>21489.360000000001</v>
      </c>
      <c r="S157" s="7">
        <f t="shared" si="11"/>
        <v>406878.61</v>
      </c>
    </row>
    <row r="158" spans="1:19" x14ac:dyDescent="0.3">
      <c r="A158" t="s">
        <v>484</v>
      </c>
      <c r="B158" s="5" t="s">
        <v>237</v>
      </c>
      <c r="C158" s="6">
        <f t="shared" si="8"/>
        <v>45962</v>
      </c>
      <c r="D158" t="s">
        <v>52</v>
      </c>
      <c r="E158" t="s">
        <v>22</v>
      </c>
      <c r="F158" t="s">
        <v>23</v>
      </c>
      <c r="G158" t="s">
        <v>86</v>
      </c>
      <c r="H158" t="s">
        <v>61</v>
      </c>
      <c r="I158">
        <v>467</v>
      </c>
      <c r="J158" s="7">
        <v>437.6</v>
      </c>
      <c r="K158" s="7">
        <v>204359.2</v>
      </c>
      <c r="L158">
        <v>276</v>
      </c>
      <c r="M158" t="s">
        <v>235</v>
      </c>
      <c r="N158" s="6">
        <f t="shared" si="9"/>
        <v>45962</v>
      </c>
      <c r="O158" t="s">
        <v>237</v>
      </c>
      <c r="P158" t="str">
        <f t="shared" si="10"/>
        <v>November 2025</v>
      </c>
      <c r="Q158" t="s">
        <v>37</v>
      </c>
      <c r="R158" s="7">
        <v>16589.5</v>
      </c>
      <c r="S158" s="7">
        <f t="shared" si="11"/>
        <v>220948.7</v>
      </c>
    </row>
    <row r="159" spans="1:19" x14ac:dyDescent="0.3">
      <c r="A159" t="s">
        <v>485</v>
      </c>
      <c r="B159" s="5" t="s">
        <v>486</v>
      </c>
      <c r="C159" s="6">
        <f t="shared" si="8"/>
        <v>45689</v>
      </c>
      <c r="D159" t="s">
        <v>52</v>
      </c>
      <c r="E159" t="s">
        <v>143</v>
      </c>
      <c r="F159" t="s">
        <v>45</v>
      </c>
      <c r="G159" t="s">
        <v>283</v>
      </c>
      <c r="H159" t="s">
        <v>55</v>
      </c>
      <c r="I159">
        <v>228</v>
      </c>
      <c r="J159" s="7">
        <v>107.57</v>
      </c>
      <c r="K159" s="7">
        <v>24525.96</v>
      </c>
      <c r="L159">
        <v>649</v>
      </c>
      <c r="M159" t="s">
        <v>324</v>
      </c>
      <c r="N159" s="6">
        <f t="shared" si="9"/>
        <v>45689</v>
      </c>
      <c r="O159" t="s">
        <v>269</v>
      </c>
      <c r="P159" t="str">
        <f t="shared" si="10"/>
        <v>March 2025</v>
      </c>
      <c r="Q159" t="s">
        <v>28</v>
      </c>
      <c r="R159" s="7">
        <v>38678.199999999997</v>
      </c>
      <c r="S159" s="7">
        <f t="shared" si="11"/>
        <v>63204.159999999996</v>
      </c>
    </row>
    <row r="160" spans="1:19" x14ac:dyDescent="0.3">
      <c r="A160" t="s">
        <v>487</v>
      </c>
      <c r="B160" s="5" t="s">
        <v>20</v>
      </c>
      <c r="C160" s="6">
        <f t="shared" si="8"/>
        <v>45748</v>
      </c>
      <c r="D160" t="s">
        <v>128</v>
      </c>
      <c r="E160" t="s">
        <v>143</v>
      </c>
      <c r="F160" t="s">
        <v>59</v>
      </c>
      <c r="G160" t="s">
        <v>82</v>
      </c>
      <c r="H160" t="s">
        <v>91</v>
      </c>
      <c r="I160">
        <v>1042</v>
      </c>
      <c r="J160" s="7">
        <v>428.67</v>
      </c>
      <c r="K160" s="7">
        <v>446674.14</v>
      </c>
      <c r="L160">
        <v>186</v>
      </c>
      <c r="M160" t="s">
        <v>85</v>
      </c>
      <c r="N160" s="6">
        <f t="shared" si="9"/>
        <v>45748</v>
      </c>
      <c r="O160" t="s">
        <v>85</v>
      </c>
      <c r="P160" t="str">
        <f t="shared" si="10"/>
        <v>April 2025</v>
      </c>
      <c r="Q160" t="s">
        <v>37</v>
      </c>
      <c r="R160" s="7">
        <v>7126.07</v>
      </c>
      <c r="S160" s="7">
        <f t="shared" si="11"/>
        <v>453800.21</v>
      </c>
    </row>
    <row r="161" spans="1:19" x14ac:dyDescent="0.3">
      <c r="A161" t="s">
        <v>488</v>
      </c>
      <c r="B161" s="5" t="s">
        <v>331</v>
      </c>
      <c r="C161" s="6">
        <f t="shared" si="8"/>
        <v>45809</v>
      </c>
      <c r="D161" t="s">
        <v>21</v>
      </c>
      <c r="E161" t="s">
        <v>32</v>
      </c>
      <c r="F161" t="s">
        <v>59</v>
      </c>
      <c r="G161" t="s">
        <v>97</v>
      </c>
      <c r="H161" t="s">
        <v>47</v>
      </c>
      <c r="I161">
        <v>300</v>
      </c>
      <c r="J161" s="7">
        <v>524.54</v>
      </c>
      <c r="K161" s="7">
        <v>157362</v>
      </c>
      <c r="L161">
        <v>631</v>
      </c>
      <c r="M161" t="s">
        <v>473</v>
      </c>
      <c r="N161" s="6">
        <f t="shared" si="9"/>
        <v>45839</v>
      </c>
      <c r="O161" t="s">
        <v>473</v>
      </c>
      <c r="P161" t="str">
        <f t="shared" si="10"/>
        <v>July 2025</v>
      </c>
      <c r="Q161" t="s">
        <v>37</v>
      </c>
      <c r="R161" s="7">
        <v>29620.16</v>
      </c>
      <c r="S161" s="7">
        <f t="shared" si="11"/>
        <v>186982.16</v>
      </c>
    </row>
    <row r="162" spans="1:19" x14ac:dyDescent="0.3">
      <c r="A162" t="s">
        <v>489</v>
      </c>
      <c r="B162" s="5" t="s">
        <v>399</v>
      </c>
      <c r="C162" s="6">
        <f t="shared" si="8"/>
        <v>45992</v>
      </c>
      <c r="D162" t="s">
        <v>65</v>
      </c>
      <c r="E162" t="s">
        <v>53</v>
      </c>
      <c r="F162" t="s">
        <v>33</v>
      </c>
      <c r="G162" t="s">
        <v>168</v>
      </c>
      <c r="H162" t="s">
        <v>35</v>
      </c>
      <c r="I162">
        <v>387</v>
      </c>
      <c r="J162" s="7">
        <v>48.8</v>
      </c>
      <c r="K162" s="7">
        <v>18885.599999999999</v>
      </c>
      <c r="L162">
        <v>266</v>
      </c>
      <c r="M162" t="s">
        <v>111</v>
      </c>
      <c r="N162" s="6">
        <f t="shared" si="9"/>
        <v>45992</v>
      </c>
      <c r="O162" t="s">
        <v>490</v>
      </c>
      <c r="P162" t="str">
        <f t="shared" si="10"/>
        <v>December 2025</v>
      </c>
      <c r="Q162" t="s">
        <v>28</v>
      </c>
      <c r="R162" s="7">
        <v>15884.68</v>
      </c>
      <c r="S162" s="7">
        <f t="shared" si="11"/>
        <v>34770.28</v>
      </c>
    </row>
    <row r="163" spans="1:19" x14ac:dyDescent="0.3">
      <c r="A163" t="s">
        <v>491</v>
      </c>
      <c r="B163" s="5" t="s">
        <v>275</v>
      </c>
      <c r="C163" s="6">
        <f t="shared" si="8"/>
        <v>45717</v>
      </c>
      <c r="D163" t="s">
        <v>21</v>
      </c>
      <c r="E163" t="s">
        <v>75</v>
      </c>
      <c r="F163" t="s">
        <v>23</v>
      </c>
      <c r="G163" t="s">
        <v>66</v>
      </c>
      <c r="H163" t="s">
        <v>25</v>
      </c>
      <c r="I163">
        <v>1044</v>
      </c>
      <c r="J163" s="7">
        <v>391.3</v>
      </c>
      <c r="K163" s="7">
        <v>408517.2</v>
      </c>
      <c r="L163">
        <v>551</v>
      </c>
      <c r="M163" t="s">
        <v>436</v>
      </c>
      <c r="N163" s="6">
        <f t="shared" si="9"/>
        <v>45717</v>
      </c>
      <c r="O163" t="s">
        <v>436</v>
      </c>
      <c r="P163" t="str">
        <f t="shared" si="10"/>
        <v>March 2025</v>
      </c>
      <c r="Q163" t="s">
        <v>37</v>
      </c>
      <c r="R163" s="7">
        <v>20887.09</v>
      </c>
      <c r="S163" s="7">
        <f t="shared" si="11"/>
        <v>429404.29000000004</v>
      </c>
    </row>
    <row r="164" spans="1:19" x14ac:dyDescent="0.3">
      <c r="A164" t="s">
        <v>492</v>
      </c>
      <c r="B164" s="5" t="s">
        <v>380</v>
      </c>
      <c r="C164" s="6">
        <f t="shared" si="8"/>
        <v>45901</v>
      </c>
      <c r="D164" t="s">
        <v>31</v>
      </c>
      <c r="E164" t="s">
        <v>143</v>
      </c>
      <c r="F164" t="s">
        <v>59</v>
      </c>
      <c r="G164" t="s">
        <v>82</v>
      </c>
      <c r="H164" t="s">
        <v>123</v>
      </c>
      <c r="I164">
        <v>1122</v>
      </c>
      <c r="J164" s="7">
        <v>527.92999999999995</v>
      </c>
      <c r="K164" s="7">
        <v>592337.46</v>
      </c>
      <c r="L164">
        <v>207</v>
      </c>
      <c r="M164" t="s">
        <v>475</v>
      </c>
      <c r="N164" s="6">
        <f t="shared" si="9"/>
        <v>45901</v>
      </c>
      <c r="O164" t="s">
        <v>475</v>
      </c>
      <c r="P164" t="str">
        <f t="shared" si="10"/>
        <v>September 2025</v>
      </c>
      <c r="Q164" t="s">
        <v>37</v>
      </c>
      <c r="R164" s="7">
        <v>8705.4</v>
      </c>
      <c r="S164" s="7">
        <f t="shared" si="11"/>
        <v>601042.86</v>
      </c>
    </row>
    <row r="165" spans="1:19" x14ac:dyDescent="0.3">
      <c r="A165" t="s">
        <v>493</v>
      </c>
      <c r="B165" s="5" t="s">
        <v>231</v>
      </c>
      <c r="C165" s="6">
        <f t="shared" si="8"/>
        <v>45992</v>
      </c>
      <c r="D165" t="s">
        <v>40</v>
      </c>
      <c r="E165" t="s">
        <v>22</v>
      </c>
      <c r="F165" t="s">
        <v>45</v>
      </c>
      <c r="G165" t="s">
        <v>494</v>
      </c>
      <c r="H165" t="s">
        <v>155</v>
      </c>
      <c r="I165">
        <v>1179</v>
      </c>
      <c r="J165" s="7">
        <v>603.37</v>
      </c>
      <c r="K165" s="7">
        <v>711373.23</v>
      </c>
      <c r="L165">
        <v>45</v>
      </c>
      <c r="M165" t="s">
        <v>391</v>
      </c>
      <c r="N165" s="6">
        <f t="shared" si="9"/>
        <v>45992</v>
      </c>
      <c r="O165" t="s">
        <v>231</v>
      </c>
      <c r="P165" t="str">
        <f t="shared" si="10"/>
        <v>December 2025</v>
      </c>
      <c r="Q165" t="s">
        <v>37</v>
      </c>
      <c r="R165" s="7">
        <v>2573.5700000000002</v>
      </c>
      <c r="S165" s="7">
        <f t="shared" si="11"/>
        <v>713946.79999999993</v>
      </c>
    </row>
    <row r="166" spans="1:19" x14ac:dyDescent="0.3">
      <c r="A166" t="s">
        <v>495</v>
      </c>
      <c r="B166" s="5" t="s">
        <v>496</v>
      </c>
      <c r="C166" s="6">
        <f t="shared" si="8"/>
        <v>45689</v>
      </c>
      <c r="D166" t="s">
        <v>128</v>
      </c>
      <c r="E166" t="s">
        <v>32</v>
      </c>
      <c r="F166" t="s">
        <v>59</v>
      </c>
      <c r="G166" t="s">
        <v>202</v>
      </c>
      <c r="H166" t="s">
        <v>25</v>
      </c>
      <c r="I166">
        <v>1224</v>
      </c>
      <c r="J166" s="7">
        <v>98.13</v>
      </c>
      <c r="K166" s="7">
        <v>120111.12</v>
      </c>
      <c r="L166">
        <v>289</v>
      </c>
      <c r="M166" t="s">
        <v>178</v>
      </c>
      <c r="N166" s="6">
        <f t="shared" si="9"/>
        <v>45689</v>
      </c>
      <c r="O166" t="s">
        <v>469</v>
      </c>
      <c r="P166" t="str">
        <f t="shared" si="10"/>
        <v>February 2025</v>
      </c>
      <c r="Q166" t="s">
        <v>28</v>
      </c>
      <c r="R166" s="7">
        <v>16949</v>
      </c>
      <c r="S166" s="7">
        <f t="shared" si="11"/>
        <v>137060.12</v>
      </c>
    </row>
    <row r="167" spans="1:19" x14ac:dyDescent="0.3">
      <c r="A167" t="s">
        <v>497</v>
      </c>
      <c r="B167" s="5" t="s">
        <v>392</v>
      </c>
      <c r="C167" s="6">
        <f t="shared" si="8"/>
        <v>45992</v>
      </c>
      <c r="D167" t="s">
        <v>96</v>
      </c>
      <c r="E167" t="s">
        <v>32</v>
      </c>
      <c r="F167" t="s">
        <v>59</v>
      </c>
      <c r="G167" t="s">
        <v>54</v>
      </c>
      <c r="H167" t="s">
        <v>35</v>
      </c>
      <c r="I167">
        <v>1525</v>
      </c>
      <c r="J167" s="7">
        <v>406.58</v>
      </c>
      <c r="K167" s="7">
        <v>620034.5</v>
      </c>
      <c r="L167">
        <v>596</v>
      </c>
      <c r="M167" t="s">
        <v>352</v>
      </c>
      <c r="N167" s="6">
        <f t="shared" si="9"/>
        <v>46023</v>
      </c>
      <c r="O167" t="s">
        <v>353</v>
      </c>
      <c r="P167" t="str">
        <f t="shared" si="10"/>
        <v>January 2026</v>
      </c>
      <c r="Q167" t="s">
        <v>28</v>
      </c>
      <c r="R167" s="7">
        <v>30274.93</v>
      </c>
      <c r="S167" s="7">
        <f t="shared" si="11"/>
        <v>650309.43000000005</v>
      </c>
    </row>
    <row r="168" spans="1:19" x14ac:dyDescent="0.3">
      <c r="A168" t="s">
        <v>498</v>
      </c>
      <c r="B168" s="5" t="s">
        <v>443</v>
      </c>
      <c r="C168" s="6">
        <f t="shared" si="8"/>
        <v>45778</v>
      </c>
      <c r="D168" t="s">
        <v>21</v>
      </c>
      <c r="E168" t="s">
        <v>143</v>
      </c>
      <c r="F168" t="s">
        <v>45</v>
      </c>
      <c r="G168" t="s">
        <v>172</v>
      </c>
      <c r="H168" t="s">
        <v>77</v>
      </c>
      <c r="I168">
        <v>429</v>
      </c>
      <c r="J168" s="7">
        <v>802.24</v>
      </c>
      <c r="K168" s="7">
        <v>344160.96</v>
      </c>
      <c r="L168">
        <v>603</v>
      </c>
      <c r="M168" t="s">
        <v>277</v>
      </c>
      <c r="N168" s="6">
        <f t="shared" si="9"/>
        <v>45778</v>
      </c>
      <c r="O168" t="s">
        <v>277</v>
      </c>
      <c r="P168" t="str">
        <f t="shared" si="10"/>
        <v>May 2025</v>
      </c>
      <c r="Q168" t="s">
        <v>37</v>
      </c>
      <c r="R168" s="7">
        <v>35267.14</v>
      </c>
      <c r="S168" s="7">
        <f t="shared" si="11"/>
        <v>379428.10000000003</v>
      </c>
    </row>
    <row r="169" spans="1:19" x14ac:dyDescent="0.3">
      <c r="A169" t="s">
        <v>499</v>
      </c>
      <c r="B169" s="5" t="s">
        <v>30</v>
      </c>
      <c r="C169" s="6">
        <f t="shared" si="8"/>
        <v>45689</v>
      </c>
      <c r="D169" t="s">
        <v>96</v>
      </c>
      <c r="E169" t="s">
        <v>32</v>
      </c>
      <c r="F169" t="s">
        <v>59</v>
      </c>
      <c r="G169" t="s">
        <v>283</v>
      </c>
      <c r="H169" t="s">
        <v>123</v>
      </c>
      <c r="I169">
        <v>2297</v>
      </c>
      <c r="J169" s="7">
        <v>464.29</v>
      </c>
      <c r="K169" s="7">
        <v>1066474.1299999999</v>
      </c>
      <c r="L169">
        <v>349</v>
      </c>
      <c r="M169" t="s">
        <v>36</v>
      </c>
      <c r="N169" s="6">
        <f t="shared" si="9"/>
        <v>45689</v>
      </c>
      <c r="O169" t="s">
        <v>500</v>
      </c>
      <c r="P169" t="str">
        <f t="shared" si="10"/>
        <v>February 2025</v>
      </c>
      <c r="Q169" t="s">
        <v>28</v>
      </c>
      <c r="R169" s="7">
        <v>20316.05</v>
      </c>
      <c r="S169" s="7">
        <f t="shared" si="11"/>
        <v>1086790.18</v>
      </c>
    </row>
    <row r="170" spans="1:19" x14ac:dyDescent="0.3">
      <c r="A170" t="s">
        <v>501</v>
      </c>
      <c r="B170" s="5" t="s">
        <v>209</v>
      </c>
      <c r="C170" s="6">
        <f t="shared" si="8"/>
        <v>45778</v>
      </c>
      <c r="D170" t="s">
        <v>31</v>
      </c>
      <c r="E170" t="s">
        <v>75</v>
      </c>
      <c r="F170" t="s">
        <v>45</v>
      </c>
      <c r="G170" t="s">
        <v>179</v>
      </c>
      <c r="H170" t="s">
        <v>61</v>
      </c>
      <c r="I170">
        <v>985</v>
      </c>
      <c r="J170" s="7">
        <v>691.78</v>
      </c>
      <c r="K170" s="7">
        <v>681403.3</v>
      </c>
      <c r="L170">
        <v>661</v>
      </c>
      <c r="M170" t="s">
        <v>280</v>
      </c>
      <c r="N170" s="6">
        <f t="shared" si="9"/>
        <v>45809</v>
      </c>
      <c r="O170" t="s">
        <v>280</v>
      </c>
      <c r="P170" t="str">
        <f t="shared" si="10"/>
        <v>June 2025</v>
      </c>
      <c r="Q170" t="s">
        <v>37</v>
      </c>
      <c r="R170" s="7">
        <v>36188.19</v>
      </c>
      <c r="S170" s="7">
        <f t="shared" si="11"/>
        <v>717591.49</v>
      </c>
    </row>
    <row r="171" spans="1:19" x14ac:dyDescent="0.3">
      <c r="A171" t="s">
        <v>502</v>
      </c>
      <c r="B171" s="5" t="s">
        <v>306</v>
      </c>
      <c r="C171" s="6">
        <f t="shared" si="8"/>
        <v>45931</v>
      </c>
      <c r="D171" t="s">
        <v>52</v>
      </c>
      <c r="E171" t="s">
        <v>70</v>
      </c>
      <c r="F171" t="s">
        <v>33</v>
      </c>
      <c r="G171" t="s">
        <v>222</v>
      </c>
      <c r="H171" t="s">
        <v>61</v>
      </c>
      <c r="I171">
        <v>2397</v>
      </c>
      <c r="J171" s="7">
        <v>303.77999999999997</v>
      </c>
      <c r="K171" s="7">
        <v>728160.66</v>
      </c>
      <c r="L171">
        <v>698</v>
      </c>
      <c r="M171" t="s">
        <v>189</v>
      </c>
      <c r="N171" s="6">
        <f t="shared" si="9"/>
        <v>45931</v>
      </c>
      <c r="O171" t="s">
        <v>189</v>
      </c>
      <c r="P171" t="str">
        <f t="shared" si="10"/>
        <v>October 2025</v>
      </c>
      <c r="Q171" t="s">
        <v>37</v>
      </c>
      <c r="R171" s="7">
        <v>26546.15</v>
      </c>
      <c r="S171" s="7">
        <f t="shared" si="11"/>
        <v>754706.81</v>
      </c>
    </row>
    <row r="172" spans="1:19" x14ac:dyDescent="0.3">
      <c r="A172" t="s">
        <v>503</v>
      </c>
      <c r="B172" s="5" t="s">
        <v>461</v>
      </c>
      <c r="C172" s="6">
        <f t="shared" si="8"/>
        <v>45717</v>
      </c>
      <c r="D172" t="s">
        <v>128</v>
      </c>
      <c r="E172" t="s">
        <v>143</v>
      </c>
      <c r="F172" t="s">
        <v>33</v>
      </c>
      <c r="G172" t="s">
        <v>86</v>
      </c>
      <c r="H172" t="s">
        <v>55</v>
      </c>
      <c r="I172">
        <v>1973</v>
      </c>
      <c r="J172" s="7">
        <v>519.38</v>
      </c>
      <c r="K172" s="7">
        <v>1024736.74</v>
      </c>
      <c r="L172">
        <v>618</v>
      </c>
      <c r="M172" t="s">
        <v>359</v>
      </c>
      <c r="N172" s="6">
        <f t="shared" si="9"/>
        <v>45717</v>
      </c>
      <c r="O172" t="s">
        <v>359</v>
      </c>
      <c r="P172" t="str">
        <f t="shared" si="10"/>
        <v>March 2025</v>
      </c>
      <c r="Q172" t="s">
        <v>37</v>
      </c>
      <c r="R172" s="7">
        <v>29111.3</v>
      </c>
      <c r="S172" s="7">
        <f t="shared" si="11"/>
        <v>1053848.04</v>
      </c>
    </row>
    <row r="173" spans="1:19" x14ac:dyDescent="0.3">
      <c r="A173" t="s">
        <v>504</v>
      </c>
      <c r="B173" s="5" t="s">
        <v>505</v>
      </c>
      <c r="C173" s="6">
        <f t="shared" si="8"/>
        <v>45839</v>
      </c>
      <c r="D173" t="s">
        <v>21</v>
      </c>
      <c r="E173" t="s">
        <v>70</v>
      </c>
      <c r="F173" t="s">
        <v>23</v>
      </c>
      <c r="G173" t="s">
        <v>351</v>
      </c>
      <c r="H173" t="s">
        <v>35</v>
      </c>
      <c r="I173">
        <v>2164</v>
      </c>
      <c r="J173" s="7">
        <v>616.28</v>
      </c>
      <c r="K173" s="7">
        <v>1333629.92</v>
      </c>
      <c r="L173">
        <v>679</v>
      </c>
      <c r="M173" t="s">
        <v>98</v>
      </c>
      <c r="N173" s="6">
        <f t="shared" si="9"/>
        <v>45839</v>
      </c>
      <c r="O173" t="s">
        <v>101</v>
      </c>
      <c r="P173" t="str">
        <f t="shared" si="10"/>
        <v>July 2025</v>
      </c>
      <c r="Q173" t="s">
        <v>28</v>
      </c>
      <c r="R173" s="7">
        <v>28190.77</v>
      </c>
      <c r="S173" s="7">
        <f t="shared" si="11"/>
        <v>1361820.69</v>
      </c>
    </row>
    <row r="174" spans="1:19" x14ac:dyDescent="0.3">
      <c r="A174" t="s">
        <v>506</v>
      </c>
      <c r="B174" s="5" t="s">
        <v>507</v>
      </c>
      <c r="C174" s="6">
        <f t="shared" si="8"/>
        <v>45748</v>
      </c>
      <c r="D174" t="s">
        <v>128</v>
      </c>
      <c r="E174" t="s">
        <v>22</v>
      </c>
      <c r="F174" t="s">
        <v>33</v>
      </c>
      <c r="G174" t="s">
        <v>60</v>
      </c>
      <c r="H174" t="str">
        <f xml:space="preserve"> "Not Found"</f>
        <v>Not Found</v>
      </c>
      <c r="I174">
        <v>692</v>
      </c>
      <c r="J174" s="7">
        <v>124.14</v>
      </c>
      <c r="K174" s="7">
        <v>85904.88</v>
      </c>
      <c r="L174">
        <v>536</v>
      </c>
      <c r="M174" t="s">
        <v>85</v>
      </c>
      <c r="N174" s="6">
        <f t="shared" si="9"/>
        <v>45748</v>
      </c>
      <c r="O174" t="s">
        <v>376</v>
      </c>
      <c r="P174" t="str">
        <f t="shared" si="10"/>
        <v>April 2025</v>
      </c>
      <c r="Q174" t="s">
        <v>28</v>
      </c>
      <c r="R174" s="7">
        <v>23614.57</v>
      </c>
      <c r="S174" s="7">
        <f t="shared" si="11"/>
        <v>109519.45000000001</v>
      </c>
    </row>
    <row r="175" spans="1:19" x14ac:dyDescent="0.3">
      <c r="A175" t="s">
        <v>508</v>
      </c>
      <c r="B175" s="5" t="s">
        <v>509</v>
      </c>
      <c r="C175" s="6">
        <f t="shared" si="8"/>
        <v>45717</v>
      </c>
      <c r="D175" t="s">
        <v>128</v>
      </c>
      <c r="E175" t="s">
        <v>53</v>
      </c>
      <c r="F175" t="s">
        <v>59</v>
      </c>
      <c r="G175" t="s">
        <v>163</v>
      </c>
      <c r="H175" t="s">
        <v>47</v>
      </c>
      <c r="I175">
        <v>80</v>
      </c>
      <c r="J175" s="7">
        <v>585.55999999999995</v>
      </c>
      <c r="K175" s="7">
        <v>46844.800000000003</v>
      </c>
      <c r="L175">
        <v>41</v>
      </c>
      <c r="M175" t="s">
        <v>325</v>
      </c>
      <c r="N175" s="6">
        <f t="shared" si="9"/>
        <v>45717</v>
      </c>
      <c r="O175" t="s">
        <v>325</v>
      </c>
      <c r="P175" t="str">
        <f t="shared" si="10"/>
        <v>March 2025</v>
      </c>
      <c r="Q175" t="s">
        <v>37</v>
      </c>
      <c r="R175" s="7">
        <v>1746.92</v>
      </c>
      <c r="S175" s="7">
        <f t="shared" si="11"/>
        <v>48591.72</v>
      </c>
    </row>
    <row r="176" spans="1:19" x14ac:dyDescent="0.3">
      <c r="A176" t="s">
        <v>510</v>
      </c>
      <c r="B176" s="5" t="s">
        <v>440</v>
      </c>
      <c r="C176" s="6">
        <f t="shared" si="8"/>
        <v>45778</v>
      </c>
      <c r="D176" t="s">
        <v>52</v>
      </c>
      <c r="E176" t="s">
        <v>75</v>
      </c>
      <c r="F176" t="s">
        <v>45</v>
      </c>
      <c r="G176" t="s">
        <v>24</v>
      </c>
      <c r="H176" t="s">
        <v>132</v>
      </c>
      <c r="I176">
        <v>1092</v>
      </c>
      <c r="J176" s="7">
        <v>259.52999999999997</v>
      </c>
      <c r="K176" s="7">
        <v>283406.76</v>
      </c>
      <c r="L176">
        <v>700</v>
      </c>
      <c r="M176" t="s">
        <v>511</v>
      </c>
      <c r="N176" s="6">
        <f t="shared" si="9"/>
        <v>45778</v>
      </c>
      <c r="O176" t="s">
        <v>511</v>
      </c>
      <c r="P176" t="str">
        <f t="shared" si="10"/>
        <v>May 2025</v>
      </c>
      <c r="Q176" t="s">
        <v>37</v>
      </c>
      <c r="R176" s="7">
        <v>31985.51</v>
      </c>
      <c r="S176" s="7">
        <f t="shared" si="11"/>
        <v>315392.27</v>
      </c>
    </row>
    <row r="177" spans="1:19" x14ac:dyDescent="0.3">
      <c r="A177" t="s">
        <v>512</v>
      </c>
      <c r="B177" s="5" t="s">
        <v>505</v>
      </c>
      <c r="C177" s="6">
        <f t="shared" si="8"/>
        <v>45839</v>
      </c>
      <c r="D177" t="s">
        <v>21</v>
      </c>
      <c r="E177" t="s">
        <v>53</v>
      </c>
      <c r="F177" t="s">
        <v>23</v>
      </c>
      <c r="G177" t="s">
        <v>97</v>
      </c>
      <c r="H177" t="s">
        <v>35</v>
      </c>
      <c r="I177">
        <v>148</v>
      </c>
      <c r="J177" s="7">
        <v>829.84</v>
      </c>
      <c r="K177" s="7">
        <v>122816.32000000001</v>
      </c>
      <c r="L177">
        <v>40</v>
      </c>
      <c r="M177" t="s">
        <v>513</v>
      </c>
      <c r="N177" s="6">
        <f t="shared" si="9"/>
        <v>45839</v>
      </c>
      <c r="O177" t="s">
        <v>505</v>
      </c>
      <c r="P177" t="str">
        <f t="shared" si="10"/>
        <v>July 2025</v>
      </c>
      <c r="Q177" t="s">
        <v>37</v>
      </c>
      <c r="R177" s="7">
        <v>2084.92</v>
      </c>
      <c r="S177" s="7">
        <f t="shared" si="11"/>
        <v>124901.24</v>
      </c>
    </row>
    <row r="178" spans="1:19" x14ac:dyDescent="0.3">
      <c r="A178" t="s">
        <v>514</v>
      </c>
      <c r="B178" s="5" t="s">
        <v>244</v>
      </c>
      <c r="C178" s="6">
        <f t="shared" si="8"/>
        <v>45962</v>
      </c>
      <c r="D178" t="s">
        <v>21</v>
      </c>
      <c r="E178" t="s">
        <v>53</v>
      </c>
      <c r="F178" t="s">
        <v>33</v>
      </c>
      <c r="G178" t="s">
        <v>97</v>
      </c>
      <c r="H178" t="s">
        <v>61</v>
      </c>
      <c r="I178">
        <v>2167</v>
      </c>
      <c r="J178" s="7">
        <v>80.19</v>
      </c>
      <c r="K178" s="7">
        <v>173771.73</v>
      </c>
      <c r="L178">
        <v>259</v>
      </c>
      <c r="M178" t="s">
        <v>304</v>
      </c>
      <c r="N178" s="6">
        <f t="shared" si="9"/>
        <v>45962</v>
      </c>
      <c r="O178" t="s">
        <v>245</v>
      </c>
      <c r="P178" t="str">
        <f t="shared" si="10"/>
        <v>November 2025</v>
      </c>
      <c r="Q178" t="s">
        <v>28</v>
      </c>
      <c r="R178" s="7">
        <v>15507.16</v>
      </c>
      <c r="S178" s="7">
        <f t="shared" si="11"/>
        <v>189278.89</v>
      </c>
    </row>
    <row r="179" spans="1:19" x14ac:dyDescent="0.3">
      <c r="A179" t="s">
        <v>515</v>
      </c>
      <c r="B179" s="5" t="s">
        <v>516</v>
      </c>
      <c r="C179" s="6">
        <f t="shared" si="8"/>
        <v>45931</v>
      </c>
      <c r="D179" t="s">
        <v>40</v>
      </c>
      <c r="E179" t="s">
        <v>22</v>
      </c>
      <c r="F179" t="s">
        <v>45</v>
      </c>
      <c r="G179" t="s">
        <v>179</v>
      </c>
      <c r="H179" t="s">
        <v>25</v>
      </c>
      <c r="I179">
        <v>1122</v>
      </c>
      <c r="J179" s="7">
        <v>338.95</v>
      </c>
      <c r="K179" s="7">
        <v>380301.9</v>
      </c>
      <c r="L179">
        <v>426</v>
      </c>
      <c r="M179" t="s">
        <v>72</v>
      </c>
      <c r="N179" s="6">
        <f t="shared" si="9"/>
        <v>45931</v>
      </c>
      <c r="O179" t="s">
        <v>72</v>
      </c>
      <c r="P179" t="str">
        <f t="shared" si="10"/>
        <v>October 2025</v>
      </c>
      <c r="Q179" t="s">
        <v>37</v>
      </c>
      <c r="R179" s="7">
        <v>16759.82</v>
      </c>
      <c r="S179" s="7">
        <f t="shared" si="11"/>
        <v>397061.72000000003</v>
      </c>
    </row>
    <row r="180" spans="1:19" x14ac:dyDescent="0.3">
      <c r="A180" t="s">
        <v>517</v>
      </c>
      <c r="B180" s="5" t="s">
        <v>322</v>
      </c>
      <c r="C180" s="6">
        <f t="shared" si="8"/>
        <v>45778</v>
      </c>
      <c r="D180" t="s">
        <v>109</v>
      </c>
      <c r="E180" t="s">
        <v>53</v>
      </c>
      <c r="F180" t="s">
        <v>23</v>
      </c>
      <c r="G180" t="s">
        <v>384</v>
      </c>
      <c r="H180" t="s">
        <v>61</v>
      </c>
      <c r="I180">
        <v>926</v>
      </c>
      <c r="J180" s="7">
        <v>708.14</v>
      </c>
      <c r="K180" s="7">
        <v>655737.64</v>
      </c>
      <c r="L180">
        <v>248</v>
      </c>
      <c r="M180" t="s">
        <v>277</v>
      </c>
      <c r="N180" s="6">
        <f t="shared" si="9"/>
        <v>45778</v>
      </c>
      <c r="O180" t="s">
        <v>217</v>
      </c>
      <c r="P180" t="str">
        <f t="shared" si="10"/>
        <v>June 2025</v>
      </c>
      <c r="Q180" t="s">
        <v>28</v>
      </c>
      <c r="R180" s="7">
        <v>10535.66</v>
      </c>
      <c r="S180" s="7">
        <f t="shared" si="11"/>
        <v>666273.30000000005</v>
      </c>
    </row>
    <row r="181" spans="1:19" x14ac:dyDescent="0.3">
      <c r="A181" t="s">
        <v>518</v>
      </c>
      <c r="B181" s="5" t="s">
        <v>247</v>
      </c>
      <c r="C181" s="6">
        <f t="shared" si="8"/>
        <v>45962</v>
      </c>
      <c r="D181" t="s">
        <v>31</v>
      </c>
      <c r="E181" t="s">
        <v>32</v>
      </c>
      <c r="F181" t="s">
        <v>23</v>
      </c>
      <c r="G181" t="s">
        <v>24</v>
      </c>
      <c r="H181" t="s">
        <v>123</v>
      </c>
      <c r="I181">
        <v>882</v>
      </c>
      <c r="J181" s="7">
        <v>81.2</v>
      </c>
      <c r="K181" s="7">
        <v>71618.399999999994</v>
      </c>
      <c r="L181">
        <v>448</v>
      </c>
      <c r="M181" t="s">
        <v>187</v>
      </c>
      <c r="N181" s="6">
        <f t="shared" si="9"/>
        <v>45962</v>
      </c>
      <c r="O181" t="s">
        <v>187</v>
      </c>
      <c r="P181" t="str">
        <f t="shared" si="10"/>
        <v>November 2025</v>
      </c>
      <c r="Q181" t="s">
        <v>37</v>
      </c>
      <c r="R181" s="7">
        <v>16519.66</v>
      </c>
      <c r="S181" s="7">
        <f t="shared" si="11"/>
        <v>88138.06</v>
      </c>
    </row>
    <row r="182" spans="1:19" x14ac:dyDescent="0.3">
      <c r="A182" t="s">
        <v>519</v>
      </c>
      <c r="B182" s="5" t="s">
        <v>520</v>
      </c>
      <c r="C182" s="6">
        <f t="shared" si="8"/>
        <v>45901</v>
      </c>
      <c r="D182" t="s">
        <v>31</v>
      </c>
      <c r="E182" t="s">
        <v>143</v>
      </c>
      <c r="F182" t="s">
        <v>33</v>
      </c>
      <c r="G182" t="s">
        <v>179</v>
      </c>
      <c r="H182" t="s">
        <v>25</v>
      </c>
      <c r="I182">
        <v>1823</v>
      </c>
      <c r="J182" s="7">
        <v>685.17</v>
      </c>
      <c r="K182" s="7">
        <v>1249064.9099999999</v>
      </c>
      <c r="L182">
        <v>104</v>
      </c>
      <c r="M182" t="s">
        <v>379</v>
      </c>
      <c r="N182" s="6">
        <f t="shared" si="9"/>
        <v>45901</v>
      </c>
      <c r="O182" t="s">
        <v>521</v>
      </c>
      <c r="P182" t="str">
        <f t="shared" si="10"/>
        <v>September 2025</v>
      </c>
      <c r="Q182" t="s">
        <v>28</v>
      </c>
      <c r="R182" s="7">
        <v>5754.87</v>
      </c>
      <c r="S182" s="7">
        <f t="shared" si="11"/>
        <v>1254819.78</v>
      </c>
    </row>
    <row r="183" spans="1:19" x14ac:dyDescent="0.3">
      <c r="A183" t="s">
        <v>522</v>
      </c>
      <c r="B183" s="5" t="s">
        <v>463</v>
      </c>
      <c r="C183" s="6">
        <f t="shared" si="8"/>
        <v>45839</v>
      </c>
      <c r="D183" t="s">
        <v>40</v>
      </c>
      <c r="E183" t="s">
        <v>75</v>
      </c>
      <c r="F183" t="s">
        <v>23</v>
      </c>
      <c r="G183" t="s">
        <v>172</v>
      </c>
      <c r="H183" t="s">
        <v>77</v>
      </c>
      <c r="I183">
        <v>1662</v>
      </c>
      <c r="J183" s="7">
        <v>601.55999999999995</v>
      </c>
      <c r="K183" s="7">
        <v>999792.72</v>
      </c>
      <c r="L183">
        <v>564</v>
      </c>
      <c r="M183" t="s">
        <v>425</v>
      </c>
      <c r="N183" s="6">
        <f t="shared" si="9"/>
        <v>45839</v>
      </c>
      <c r="O183" t="s">
        <v>95</v>
      </c>
      <c r="P183" t="str">
        <f t="shared" si="10"/>
        <v>July 2025</v>
      </c>
      <c r="Q183" t="s">
        <v>28</v>
      </c>
      <c r="R183" s="7">
        <v>26085.040000000001</v>
      </c>
      <c r="S183" s="7">
        <f t="shared" si="11"/>
        <v>1025877.76</v>
      </c>
    </row>
    <row r="184" spans="1:19" x14ac:dyDescent="0.3">
      <c r="A184" t="s">
        <v>523</v>
      </c>
      <c r="B184" s="5" t="s">
        <v>228</v>
      </c>
      <c r="C184" s="6">
        <f t="shared" si="8"/>
        <v>45870</v>
      </c>
      <c r="D184" t="s">
        <v>128</v>
      </c>
      <c r="E184" t="s">
        <v>70</v>
      </c>
      <c r="F184" t="s">
        <v>59</v>
      </c>
      <c r="G184" t="s">
        <v>179</v>
      </c>
      <c r="H184" t="s">
        <v>25</v>
      </c>
      <c r="I184">
        <v>941</v>
      </c>
      <c r="J184" s="7">
        <v>745.31</v>
      </c>
      <c r="K184" s="7">
        <v>701336.71</v>
      </c>
      <c r="L184">
        <v>307</v>
      </c>
      <c r="M184" t="s">
        <v>252</v>
      </c>
      <c r="N184" s="6">
        <f t="shared" si="9"/>
        <v>45870</v>
      </c>
      <c r="O184" t="s">
        <v>252</v>
      </c>
      <c r="P184" t="str">
        <f t="shared" si="10"/>
        <v>August 2025</v>
      </c>
      <c r="Q184" t="s">
        <v>37</v>
      </c>
      <c r="R184" s="7">
        <v>18206.64</v>
      </c>
      <c r="S184" s="7">
        <f t="shared" si="11"/>
        <v>719543.35</v>
      </c>
    </row>
    <row r="185" spans="1:19" x14ac:dyDescent="0.3">
      <c r="A185" t="s">
        <v>524</v>
      </c>
      <c r="B185" s="5" t="s">
        <v>525</v>
      </c>
      <c r="C185" s="6">
        <f t="shared" si="8"/>
        <v>45809</v>
      </c>
      <c r="D185" t="s">
        <v>21</v>
      </c>
      <c r="E185" t="s">
        <v>53</v>
      </c>
      <c r="F185" t="s">
        <v>45</v>
      </c>
      <c r="G185" t="s">
        <v>71</v>
      </c>
      <c r="H185" t="s">
        <v>155</v>
      </c>
      <c r="I185">
        <v>2217</v>
      </c>
      <c r="J185" s="7">
        <v>858.82</v>
      </c>
      <c r="K185" s="7">
        <v>1904003.94</v>
      </c>
      <c r="L185">
        <v>182</v>
      </c>
      <c r="M185" t="s">
        <v>526</v>
      </c>
      <c r="N185" s="6">
        <f t="shared" si="9"/>
        <v>45809</v>
      </c>
      <c r="O185" t="s">
        <v>142</v>
      </c>
      <c r="P185" t="str">
        <f t="shared" si="10"/>
        <v>June 2025</v>
      </c>
      <c r="Q185" t="s">
        <v>28</v>
      </c>
      <c r="R185" s="7">
        <v>7921.33</v>
      </c>
      <c r="S185" s="7">
        <f t="shared" si="11"/>
        <v>1911925.27</v>
      </c>
    </row>
    <row r="186" spans="1:19" x14ac:dyDescent="0.3">
      <c r="A186" t="s">
        <v>527</v>
      </c>
      <c r="B186" s="5" t="s">
        <v>528</v>
      </c>
      <c r="C186" s="6">
        <f t="shared" si="8"/>
        <v>45870</v>
      </c>
      <c r="D186" t="s">
        <v>96</v>
      </c>
      <c r="E186" t="s">
        <v>143</v>
      </c>
      <c r="F186" t="s">
        <v>33</v>
      </c>
      <c r="G186" t="s">
        <v>384</v>
      </c>
      <c r="H186" t="s">
        <v>25</v>
      </c>
      <c r="I186">
        <v>406</v>
      </c>
      <c r="J186" s="7">
        <v>897.46</v>
      </c>
      <c r="K186" s="7">
        <v>364368.76</v>
      </c>
      <c r="L186">
        <v>595</v>
      </c>
      <c r="M186" t="s">
        <v>372</v>
      </c>
      <c r="N186" s="6">
        <f t="shared" si="9"/>
        <v>45870</v>
      </c>
      <c r="O186" t="s">
        <v>169</v>
      </c>
      <c r="P186" t="str">
        <f t="shared" si="10"/>
        <v>August 2025</v>
      </c>
      <c r="Q186" t="s">
        <v>28</v>
      </c>
      <c r="R186" s="7">
        <v>31777.95</v>
      </c>
      <c r="S186" s="7">
        <f t="shared" si="11"/>
        <v>396146.71</v>
      </c>
    </row>
    <row r="187" spans="1:19" x14ac:dyDescent="0.3">
      <c r="A187" t="s">
        <v>529</v>
      </c>
      <c r="B187" s="5" t="s">
        <v>530</v>
      </c>
      <c r="C187" s="6">
        <f t="shared" si="8"/>
        <v>45748</v>
      </c>
      <c r="D187" t="s">
        <v>31</v>
      </c>
      <c r="E187" t="s">
        <v>32</v>
      </c>
      <c r="F187" t="s">
        <v>59</v>
      </c>
      <c r="G187" t="s">
        <v>76</v>
      </c>
      <c r="H187" t="s">
        <v>47</v>
      </c>
      <c r="I187">
        <v>676</v>
      </c>
      <c r="J187" s="7">
        <v>661.95</v>
      </c>
      <c r="K187" s="7">
        <v>447478.2</v>
      </c>
      <c r="L187">
        <v>129</v>
      </c>
      <c r="M187" t="s">
        <v>531</v>
      </c>
      <c r="N187" s="6">
        <f t="shared" si="9"/>
        <v>45748</v>
      </c>
      <c r="O187" t="s">
        <v>531</v>
      </c>
      <c r="P187" t="str">
        <f t="shared" si="10"/>
        <v>April 2025</v>
      </c>
      <c r="Q187" t="s">
        <v>37</v>
      </c>
      <c r="R187" s="7">
        <v>6941.63</v>
      </c>
      <c r="S187" s="7">
        <f t="shared" si="11"/>
        <v>454419.83</v>
      </c>
    </row>
    <row r="188" spans="1:19" x14ac:dyDescent="0.3">
      <c r="A188" t="s">
        <v>532</v>
      </c>
      <c r="B188" s="5" t="s">
        <v>41</v>
      </c>
      <c r="C188" s="6">
        <f t="shared" si="8"/>
        <v>45962</v>
      </c>
      <c r="D188" t="s">
        <v>52</v>
      </c>
      <c r="E188" t="s">
        <v>70</v>
      </c>
      <c r="F188" t="s">
        <v>45</v>
      </c>
      <c r="G188" t="s">
        <v>241</v>
      </c>
      <c r="H188" t="s">
        <v>25</v>
      </c>
      <c r="I188">
        <v>1970</v>
      </c>
      <c r="J188" s="7">
        <v>206.55</v>
      </c>
      <c r="K188" s="7">
        <v>406903.5</v>
      </c>
      <c r="L188">
        <v>206</v>
      </c>
      <c r="M188" t="s">
        <v>42</v>
      </c>
      <c r="N188" s="6">
        <f t="shared" si="9"/>
        <v>45962</v>
      </c>
      <c r="O188" t="s">
        <v>41</v>
      </c>
      <c r="P188" t="str">
        <f t="shared" si="10"/>
        <v>November 2025</v>
      </c>
      <c r="Q188" t="s">
        <v>37</v>
      </c>
      <c r="R188" s="7">
        <v>8271.01</v>
      </c>
      <c r="S188" s="7">
        <f t="shared" si="11"/>
        <v>415174.51</v>
      </c>
    </row>
    <row r="189" spans="1:19" x14ac:dyDescent="0.3">
      <c r="A189" t="s">
        <v>533</v>
      </c>
      <c r="B189" s="5" t="s">
        <v>322</v>
      </c>
      <c r="C189" s="6">
        <f t="shared" si="8"/>
        <v>45778</v>
      </c>
      <c r="D189" t="s">
        <v>128</v>
      </c>
      <c r="E189" t="s">
        <v>22</v>
      </c>
      <c r="F189" t="s">
        <v>33</v>
      </c>
      <c r="G189" t="s">
        <v>118</v>
      </c>
      <c r="H189" t="s">
        <v>77</v>
      </c>
      <c r="I189">
        <v>1166</v>
      </c>
      <c r="J189" s="7">
        <v>840.31</v>
      </c>
      <c r="K189" s="7">
        <v>979801.46</v>
      </c>
      <c r="L189">
        <v>165</v>
      </c>
      <c r="M189" t="s">
        <v>277</v>
      </c>
      <c r="N189" s="6">
        <f t="shared" si="9"/>
        <v>45778</v>
      </c>
      <c r="O189" t="s">
        <v>280</v>
      </c>
      <c r="P189" t="str">
        <f t="shared" si="10"/>
        <v>June 2025</v>
      </c>
      <c r="Q189" t="s">
        <v>28</v>
      </c>
      <c r="R189" s="7">
        <v>7840.83</v>
      </c>
      <c r="S189" s="7">
        <f t="shared" si="11"/>
        <v>987642.28999999992</v>
      </c>
    </row>
    <row r="190" spans="1:19" x14ac:dyDescent="0.3">
      <c r="A190" t="s">
        <v>534</v>
      </c>
      <c r="B190" s="5" t="s">
        <v>451</v>
      </c>
      <c r="C190" s="6">
        <f t="shared" si="8"/>
        <v>45689</v>
      </c>
      <c r="D190" t="s">
        <v>96</v>
      </c>
      <c r="E190" t="s">
        <v>143</v>
      </c>
      <c r="F190" t="s">
        <v>23</v>
      </c>
      <c r="G190" t="s">
        <v>60</v>
      </c>
      <c r="H190" t="s">
        <v>25</v>
      </c>
      <c r="I190">
        <v>1113</v>
      </c>
      <c r="J190" s="7">
        <v>396.96</v>
      </c>
      <c r="K190" s="7">
        <v>441816.48</v>
      </c>
      <c r="L190">
        <v>232</v>
      </c>
      <c r="M190" t="s">
        <v>535</v>
      </c>
      <c r="N190" s="6">
        <f t="shared" si="9"/>
        <v>45689</v>
      </c>
      <c r="O190" t="s">
        <v>30</v>
      </c>
      <c r="P190" t="str">
        <f t="shared" si="10"/>
        <v>February 2025</v>
      </c>
      <c r="Q190" t="s">
        <v>28</v>
      </c>
      <c r="R190" s="7">
        <v>8375.7900000000009</v>
      </c>
      <c r="S190" s="7">
        <f t="shared" si="11"/>
        <v>450192.26999999996</v>
      </c>
    </row>
    <row r="191" spans="1:19" x14ac:dyDescent="0.3">
      <c r="A191" t="s">
        <v>536</v>
      </c>
      <c r="B191" s="5" t="s">
        <v>148</v>
      </c>
      <c r="C191" s="6">
        <f t="shared" si="8"/>
        <v>45839</v>
      </c>
      <c r="D191" t="s">
        <v>31</v>
      </c>
      <c r="E191" t="s">
        <v>53</v>
      </c>
      <c r="F191" t="s">
        <v>33</v>
      </c>
      <c r="G191" t="s">
        <v>202</v>
      </c>
      <c r="H191" t="s">
        <v>25</v>
      </c>
      <c r="I191">
        <v>1721</v>
      </c>
      <c r="J191" s="7">
        <v>217.03</v>
      </c>
      <c r="K191" s="7">
        <v>373508.63</v>
      </c>
      <c r="L191">
        <v>455</v>
      </c>
      <c r="M191" t="s">
        <v>374</v>
      </c>
      <c r="N191" s="6">
        <f t="shared" si="9"/>
        <v>45839</v>
      </c>
      <c r="O191" t="s">
        <v>316</v>
      </c>
      <c r="P191" t="str">
        <f t="shared" si="10"/>
        <v>July 2025</v>
      </c>
      <c r="Q191" t="s">
        <v>28</v>
      </c>
      <c r="R191" s="7">
        <v>24885.07</v>
      </c>
      <c r="S191" s="7">
        <f t="shared" si="11"/>
        <v>398393.7</v>
      </c>
    </row>
    <row r="192" spans="1:19" x14ac:dyDescent="0.3">
      <c r="A192" t="s">
        <v>537</v>
      </c>
      <c r="B192" s="5" t="s">
        <v>538</v>
      </c>
      <c r="C192" s="6">
        <f t="shared" si="8"/>
        <v>45839</v>
      </c>
      <c r="D192" t="s">
        <v>65</v>
      </c>
      <c r="E192" t="s">
        <v>75</v>
      </c>
      <c r="F192" t="s">
        <v>23</v>
      </c>
      <c r="G192" t="s">
        <v>202</v>
      </c>
      <c r="H192" t="s">
        <v>61</v>
      </c>
      <c r="I192">
        <v>919</v>
      </c>
      <c r="J192" s="7">
        <v>184.72</v>
      </c>
      <c r="K192" s="7">
        <v>169757.68</v>
      </c>
      <c r="L192">
        <v>547</v>
      </c>
      <c r="M192" t="s">
        <v>338</v>
      </c>
      <c r="N192" s="6">
        <f t="shared" si="9"/>
        <v>45839</v>
      </c>
      <c r="O192" t="s">
        <v>338</v>
      </c>
      <c r="P192" t="str">
        <f t="shared" si="10"/>
        <v>July 2025</v>
      </c>
      <c r="Q192" t="s">
        <v>37</v>
      </c>
      <c r="R192" s="7">
        <v>30586.58</v>
      </c>
      <c r="S192" s="7">
        <f t="shared" si="11"/>
        <v>200344.26</v>
      </c>
    </row>
    <row r="193" spans="1:19" x14ac:dyDescent="0.3">
      <c r="A193" t="s">
        <v>539</v>
      </c>
      <c r="B193" s="5" t="s">
        <v>164</v>
      </c>
      <c r="C193" s="6">
        <f t="shared" si="8"/>
        <v>45901</v>
      </c>
      <c r="D193" t="s">
        <v>128</v>
      </c>
      <c r="E193" t="s">
        <v>70</v>
      </c>
      <c r="F193" t="s">
        <v>59</v>
      </c>
      <c r="G193" t="s">
        <v>82</v>
      </c>
      <c r="H193" t="s">
        <v>155</v>
      </c>
      <c r="I193">
        <v>861</v>
      </c>
      <c r="J193" s="7">
        <v>206.37</v>
      </c>
      <c r="K193" s="7">
        <v>177684.57</v>
      </c>
      <c r="L193">
        <v>508</v>
      </c>
      <c r="M193" t="s">
        <v>540</v>
      </c>
      <c r="N193" s="6">
        <f t="shared" si="9"/>
        <v>45901</v>
      </c>
      <c r="O193" t="s">
        <v>541</v>
      </c>
      <c r="P193" t="str">
        <f t="shared" si="10"/>
        <v>September 2025</v>
      </c>
      <c r="Q193" t="s">
        <v>37</v>
      </c>
      <c r="R193" s="7">
        <v>30946.57</v>
      </c>
      <c r="S193" s="7">
        <f t="shared" si="11"/>
        <v>208631.14</v>
      </c>
    </row>
    <row r="194" spans="1:19" x14ac:dyDescent="0.3">
      <c r="A194" t="s">
        <v>542</v>
      </c>
      <c r="B194" s="5" t="s">
        <v>158</v>
      </c>
      <c r="C194" s="6">
        <f t="shared" si="8"/>
        <v>45809</v>
      </c>
      <c r="D194" t="s">
        <v>128</v>
      </c>
      <c r="E194" t="s">
        <v>70</v>
      </c>
      <c r="F194" t="s">
        <v>33</v>
      </c>
      <c r="G194" t="s">
        <v>71</v>
      </c>
      <c r="H194" t="s">
        <v>47</v>
      </c>
      <c r="I194">
        <v>412</v>
      </c>
      <c r="J194" s="7">
        <v>347.16</v>
      </c>
      <c r="K194" s="7">
        <v>143029.92000000001</v>
      </c>
      <c r="L194">
        <v>707</v>
      </c>
      <c r="M194" t="s">
        <v>543</v>
      </c>
      <c r="N194" s="6">
        <f t="shared" si="9"/>
        <v>45809</v>
      </c>
      <c r="O194" t="s">
        <v>301</v>
      </c>
      <c r="P194" t="str">
        <f t="shared" si="10"/>
        <v>June 2025</v>
      </c>
      <c r="Q194" t="s">
        <v>28</v>
      </c>
      <c r="R194" s="7">
        <v>24861.26</v>
      </c>
      <c r="S194" s="7">
        <f t="shared" si="11"/>
        <v>167891.18000000002</v>
      </c>
    </row>
    <row r="195" spans="1:19" x14ac:dyDescent="0.3">
      <c r="A195" t="s">
        <v>544</v>
      </c>
      <c r="B195" s="5" t="s">
        <v>333</v>
      </c>
      <c r="C195" s="6">
        <f t="shared" ref="C195:C258" si="12">DATE(YEAR(B195), MONTH(B195), 1)</f>
        <v>45992</v>
      </c>
      <c r="D195" t="s">
        <v>40</v>
      </c>
      <c r="E195" t="s">
        <v>32</v>
      </c>
      <c r="F195" t="s">
        <v>45</v>
      </c>
      <c r="G195" t="s">
        <v>138</v>
      </c>
      <c r="H195" t="s">
        <v>61</v>
      </c>
      <c r="I195">
        <v>2335</v>
      </c>
      <c r="J195" s="7">
        <v>597.32000000000005</v>
      </c>
      <c r="K195" s="7">
        <v>1394742.2</v>
      </c>
      <c r="L195">
        <v>666</v>
      </c>
      <c r="M195" t="s">
        <v>545</v>
      </c>
      <c r="N195" s="6">
        <f t="shared" ref="N195:N258" si="13">DATE(YEAR(M195), MONTH(M195),1)</f>
        <v>45992</v>
      </c>
      <c r="O195" t="s">
        <v>111</v>
      </c>
      <c r="P195" t="str">
        <f t="shared" ref="P195:P258" si="14">TEXT(O195, "mmmm yyyy")</f>
        <v>December 2025</v>
      </c>
      <c r="Q195" t="s">
        <v>28</v>
      </c>
      <c r="R195" s="7">
        <v>34117.19</v>
      </c>
      <c r="S195" s="7">
        <f t="shared" ref="S195:S258" si="15">K195 +R195</f>
        <v>1428859.39</v>
      </c>
    </row>
    <row r="196" spans="1:19" x14ac:dyDescent="0.3">
      <c r="A196" t="s">
        <v>546</v>
      </c>
      <c r="B196" s="5" t="s">
        <v>195</v>
      </c>
      <c r="C196" s="6">
        <f t="shared" si="12"/>
        <v>45658</v>
      </c>
      <c r="D196" t="s">
        <v>65</v>
      </c>
      <c r="E196" t="s">
        <v>70</v>
      </c>
      <c r="F196" t="s">
        <v>33</v>
      </c>
      <c r="G196" t="s">
        <v>66</v>
      </c>
      <c r="H196" t="s">
        <v>47</v>
      </c>
      <c r="I196">
        <v>925</v>
      </c>
      <c r="J196" s="7">
        <v>423.69</v>
      </c>
      <c r="K196" s="7">
        <v>391913.25</v>
      </c>
      <c r="L196">
        <v>586</v>
      </c>
      <c r="M196" t="s">
        <v>319</v>
      </c>
      <c r="N196" s="6">
        <f t="shared" si="13"/>
        <v>45658</v>
      </c>
      <c r="O196" t="s">
        <v>320</v>
      </c>
      <c r="P196" t="str">
        <f t="shared" si="14"/>
        <v>January 2025</v>
      </c>
      <c r="Q196" t="s">
        <v>28</v>
      </c>
      <c r="R196" s="7">
        <v>21963.22</v>
      </c>
      <c r="S196" s="7">
        <f t="shared" si="15"/>
        <v>413876.47</v>
      </c>
    </row>
    <row r="197" spans="1:19" x14ac:dyDescent="0.3">
      <c r="A197" t="s">
        <v>547</v>
      </c>
      <c r="B197" s="5" t="s">
        <v>538</v>
      </c>
      <c r="C197" s="6">
        <f t="shared" si="12"/>
        <v>45839</v>
      </c>
      <c r="D197" t="s">
        <v>40</v>
      </c>
      <c r="E197" t="s">
        <v>22</v>
      </c>
      <c r="F197" t="s">
        <v>23</v>
      </c>
      <c r="G197" t="s">
        <v>76</v>
      </c>
      <c r="H197" t="s">
        <v>25</v>
      </c>
      <c r="I197">
        <v>2084</v>
      </c>
      <c r="J197" s="7">
        <v>219.58</v>
      </c>
      <c r="K197" s="7">
        <v>457604.72</v>
      </c>
      <c r="L197">
        <v>47</v>
      </c>
      <c r="M197" t="s">
        <v>129</v>
      </c>
      <c r="N197" s="6">
        <f t="shared" si="13"/>
        <v>45839</v>
      </c>
      <c r="O197" t="s">
        <v>129</v>
      </c>
      <c r="P197" t="str">
        <f t="shared" si="14"/>
        <v>July 2025</v>
      </c>
      <c r="Q197" t="s">
        <v>37</v>
      </c>
      <c r="R197" s="7">
        <v>2675.27</v>
      </c>
      <c r="S197" s="7">
        <f t="shared" si="15"/>
        <v>460279.99</v>
      </c>
    </row>
    <row r="198" spans="1:19" x14ac:dyDescent="0.3">
      <c r="A198" t="s">
        <v>548</v>
      </c>
      <c r="B198" s="5" t="s">
        <v>324</v>
      </c>
      <c r="C198" s="6">
        <f t="shared" si="12"/>
        <v>45689</v>
      </c>
      <c r="D198" t="s">
        <v>96</v>
      </c>
      <c r="E198" t="s">
        <v>53</v>
      </c>
      <c r="F198" t="s">
        <v>45</v>
      </c>
      <c r="G198" t="s">
        <v>172</v>
      </c>
      <c r="H198" t="s">
        <v>35</v>
      </c>
      <c r="I198">
        <v>2056</v>
      </c>
      <c r="J198" s="7">
        <v>676.64</v>
      </c>
      <c r="K198" s="7">
        <v>1391171.84</v>
      </c>
      <c r="L198">
        <v>214</v>
      </c>
      <c r="M198" t="s">
        <v>509</v>
      </c>
      <c r="N198" s="6">
        <f t="shared" si="13"/>
        <v>45717</v>
      </c>
      <c r="O198" t="s">
        <v>269</v>
      </c>
      <c r="P198" t="str">
        <f t="shared" si="14"/>
        <v>March 2025</v>
      </c>
      <c r="Q198" t="s">
        <v>28</v>
      </c>
      <c r="R198" s="7">
        <v>9524.09</v>
      </c>
      <c r="S198" s="7">
        <f t="shared" si="15"/>
        <v>1400695.9300000002</v>
      </c>
    </row>
    <row r="199" spans="1:19" x14ac:dyDescent="0.3">
      <c r="A199" t="s">
        <v>549</v>
      </c>
      <c r="B199" s="5" t="s">
        <v>550</v>
      </c>
      <c r="C199" s="6">
        <f t="shared" si="12"/>
        <v>45901</v>
      </c>
      <c r="D199" t="s">
        <v>31</v>
      </c>
      <c r="E199" t="s">
        <v>143</v>
      </c>
      <c r="F199" t="s">
        <v>45</v>
      </c>
      <c r="G199" t="s">
        <v>168</v>
      </c>
      <c r="H199" t="s">
        <v>132</v>
      </c>
      <c r="I199">
        <v>1367</v>
      </c>
      <c r="J199" s="7">
        <v>425.99</v>
      </c>
      <c r="K199" s="7">
        <v>582328.32999999996</v>
      </c>
      <c r="L199">
        <v>60</v>
      </c>
      <c r="M199" t="s">
        <v>551</v>
      </c>
      <c r="N199" s="6">
        <f t="shared" si="13"/>
        <v>45901</v>
      </c>
      <c r="O199" t="s">
        <v>482</v>
      </c>
      <c r="P199" t="str">
        <f t="shared" si="14"/>
        <v>September 2025</v>
      </c>
      <c r="Q199" t="s">
        <v>28</v>
      </c>
      <c r="R199" s="7">
        <v>2382.77</v>
      </c>
      <c r="S199" s="7">
        <f t="shared" si="15"/>
        <v>584711.1</v>
      </c>
    </row>
    <row r="200" spans="1:19" x14ac:dyDescent="0.3">
      <c r="A200" t="s">
        <v>552</v>
      </c>
      <c r="B200" s="5" t="s">
        <v>122</v>
      </c>
      <c r="C200" s="6">
        <f t="shared" si="12"/>
        <v>45992</v>
      </c>
      <c r="D200" t="s">
        <v>21</v>
      </c>
      <c r="E200" t="s">
        <v>32</v>
      </c>
      <c r="F200" t="s">
        <v>59</v>
      </c>
      <c r="G200" t="s">
        <v>86</v>
      </c>
      <c r="H200" t="s">
        <v>123</v>
      </c>
      <c r="I200">
        <v>2333</v>
      </c>
      <c r="J200" s="7">
        <v>498.49</v>
      </c>
      <c r="K200" s="7">
        <v>1162977.17</v>
      </c>
      <c r="L200">
        <v>139</v>
      </c>
      <c r="M200" t="s">
        <v>124</v>
      </c>
      <c r="N200" s="6">
        <f t="shared" si="13"/>
        <v>45992</v>
      </c>
      <c r="O200" t="s">
        <v>124</v>
      </c>
      <c r="P200" t="str">
        <f t="shared" si="14"/>
        <v>December 2025</v>
      </c>
      <c r="Q200" t="s">
        <v>37</v>
      </c>
      <c r="R200" s="7">
        <v>5103.4399999999996</v>
      </c>
      <c r="S200" s="7">
        <f t="shared" si="15"/>
        <v>1168080.6099999999</v>
      </c>
    </row>
    <row r="201" spans="1:19" x14ac:dyDescent="0.3">
      <c r="A201" t="s">
        <v>553</v>
      </c>
      <c r="B201" s="5" t="s">
        <v>554</v>
      </c>
      <c r="C201" s="6">
        <f t="shared" si="12"/>
        <v>45870</v>
      </c>
      <c r="D201" t="s">
        <v>40</v>
      </c>
      <c r="E201" t="s">
        <v>143</v>
      </c>
      <c r="F201" t="s">
        <v>23</v>
      </c>
      <c r="G201" t="s">
        <v>202</v>
      </c>
      <c r="H201" t="s">
        <v>61</v>
      </c>
      <c r="I201">
        <v>1729</v>
      </c>
      <c r="J201" s="7">
        <v>139.63999999999999</v>
      </c>
      <c r="K201" s="7">
        <v>241437.56</v>
      </c>
      <c r="L201">
        <v>44</v>
      </c>
      <c r="M201" t="s">
        <v>250</v>
      </c>
      <c r="N201" s="6">
        <f t="shared" si="13"/>
        <v>45870</v>
      </c>
      <c r="O201" t="s">
        <v>554</v>
      </c>
      <c r="P201" t="str">
        <f t="shared" si="14"/>
        <v>August 2025</v>
      </c>
      <c r="Q201" t="s">
        <v>37</v>
      </c>
      <c r="R201" s="7">
        <v>2502.0100000000002</v>
      </c>
      <c r="S201" s="7">
        <f t="shared" si="15"/>
        <v>243939.57</v>
      </c>
    </row>
    <row r="202" spans="1:19" x14ac:dyDescent="0.3">
      <c r="A202" t="s">
        <v>555</v>
      </c>
      <c r="B202" s="5" t="s">
        <v>150</v>
      </c>
      <c r="C202" s="6">
        <f t="shared" si="12"/>
        <v>45689</v>
      </c>
      <c r="D202" t="s">
        <v>109</v>
      </c>
      <c r="E202" t="s">
        <v>70</v>
      </c>
      <c r="F202" t="s">
        <v>23</v>
      </c>
      <c r="G202" t="s">
        <v>60</v>
      </c>
      <c r="H202" t="s">
        <v>55</v>
      </c>
      <c r="I202">
        <v>2001</v>
      </c>
      <c r="J202" s="7">
        <v>165.89</v>
      </c>
      <c r="K202" s="7">
        <v>331945.89</v>
      </c>
      <c r="L202">
        <v>673</v>
      </c>
      <c r="M202" t="s">
        <v>151</v>
      </c>
      <c r="N202" s="6">
        <f t="shared" si="13"/>
        <v>45689</v>
      </c>
      <c r="O202" t="s">
        <v>486</v>
      </c>
      <c r="P202" t="str">
        <f t="shared" si="14"/>
        <v>February 2025</v>
      </c>
      <c r="Q202" t="s">
        <v>28</v>
      </c>
      <c r="R202" s="7">
        <v>24698.5</v>
      </c>
      <c r="S202" s="7">
        <f t="shared" si="15"/>
        <v>356644.39</v>
      </c>
    </row>
    <row r="203" spans="1:19" x14ac:dyDescent="0.3">
      <c r="A203" t="s">
        <v>556</v>
      </c>
      <c r="B203" s="5" t="s">
        <v>167</v>
      </c>
      <c r="C203" s="6">
        <f t="shared" si="12"/>
        <v>45870</v>
      </c>
      <c r="D203" t="s">
        <v>96</v>
      </c>
      <c r="E203" t="s">
        <v>53</v>
      </c>
      <c r="F203" t="s">
        <v>33</v>
      </c>
      <c r="G203" t="s">
        <v>190</v>
      </c>
      <c r="H203" t="s">
        <v>47</v>
      </c>
      <c r="I203">
        <v>2364</v>
      </c>
      <c r="J203" s="7">
        <v>222.61</v>
      </c>
      <c r="K203" s="7">
        <v>526250.04</v>
      </c>
      <c r="L203">
        <v>658</v>
      </c>
      <c r="M203" t="s">
        <v>557</v>
      </c>
      <c r="N203" s="6">
        <f t="shared" si="13"/>
        <v>45870</v>
      </c>
      <c r="O203" t="s">
        <v>557</v>
      </c>
      <c r="P203" t="str">
        <f t="shared" si="14"/>
        <v>August 2025</v>
      </c>
      <c r="Q203" t="s">
        <v>37</v>
      </c>
      <c r="R203" s="7">
        <v>31041.57</v>
      </c>
      <c r="S203" s="7">
        <f t="shared" si="15"/>
        <v>557291.61</v>
      </c>
    </row>
    <row r="204" spans="1:19" x14ac:dyDescent="0.3">
      <c r="A204" t="s">
        <v>558</v>
      </c>
      <c r="B204" s="5" t="s">
        <v>316</v>
      </c>
      <c r="C204" s="6">
        <f t="shared" si="12"/>
        <v>45839</v>
      </c>
      <c r="D204" t="s">
        <v>109</v>
      </c>
      <c r="E204" t="s">
        <v>32</v>
      </c>
      <c r="F204" t="s">
        <v>45</v>
      </c>
      <c r="G204" t="s">
        <v>222</v>
      </c>
      <c r="H204" t="s">
        <v>77</v>
      </c>
      <c r="I204">
        <v>1454</v>
      </c>
      <c r="J204" s="7">
        <v>899.03</v>
      </c>
      <c r="K204" s="7">
        <v>1307189.6200000001</v>
      </c>
      <c r="L204">
        <v>550</v>
      </c>
      <c r="M204" t="s">
        <v>463</v>
      </c>
      <c r="N204" s="6">
        <f t="shared" si="13"/>
        <v>45839</v>
      </c>
      <c r="O204" t="s">
        <v>463</v>
      </c>
      <c r="P204" t="str">
        <f t="shared" si="14"/>
        <v>July 2025</v>
      </c>
      <c r="Q204" t="s">
        <v>37</v>
      </c>
      <c r="R204" s="7">
        <v>24687.42</v>
      </c>
      <c r="S204" s="7">
        <f t="shared" si="15"/>
        <v>1331877.04</v>
      </c>
    </row>
    <row r="205" spans="1:19" x14ac:dyDescent="0.3">
      <c r="A205" t="s">
        <v>559</v>
      </c>
      <c r="B205" s="5" t="s">
        <v>560</v>
      </c>
      <c r="C205" s="6">
        <f t="shared" si="12"/>
        <v>45658</v>
      </c>
      <c r="D205" t="s">
        <v>96</v>
      </c>
      <c r="E205" t="s">
        <v>32</v>
      </c>
      <c r="F205" t="s">
        <v>33</v>
      </c>
      <c r="G205" t="s">
        <v>118</v>
      </c>
      <c r="H205" t="s">
        <v>132</v>
      </c>
      <c r="I205">
        <v>2216</v>
      </c>
      <c r="J205" s="7">
        <v>825.26</v>
      </c>
      <c r="K205" s="7">
        <v>1828776.16</v>
      </c>
      <c r="L205">
        <v>560</v>
      </c>
      <c r="M205" t="s">
        <v>287</v>
      </c>
      <c r="N205" s="6">
        <f t="shared" si="13"/>
        <v>45658</v>
      </c>
      <c r="O205" t="s">
        <v>287</v>
      </c>
      <c r="P205" t="str">
        <f t="shared" si="14"/>
        <v>January 2025</v>
      </c>
      <c r="Q205" t="s">
        <v>37</v>
      </c>
      <c r="R205" s="7">
        <v>30877.78</v>
      </c>
      <c r="S205" s="7">
        <f t="shared" si="15"/>
        <v>1859653.94</v>
      </c>
    </row>
    <row r="206" spans="1:19" x14ac:dyDescent="0.3">
      <c r="A206" t="s">
        <v>561</v>
      </c>
      <c r="B206" s="5" t="s">
        <v>473</v>
      </c>
      <c r="C206" s="6">
        <f t="shared" si="12"/>
        <v>45839</v>
      </c>
      <c r="D206" t="s">
        <v>65</v>
      </c>
      <c r="E206" t="s">
        <v>70</v>
      </c>
      <c r="F206" t="s">
        <v>23</v>
      </c>
      <c r="G206" t="s">
        <v>172</v>
      </c>
      <c r="H206" t="s">
        <v>155</v>
      </c>
      <c r="I206">
        <v>816</v>
      </c>
      <c r="J206" s="7">
        <v>612.07000000000005</v>
      </c>
      <c r="K206" s="7">
        <v>499449.12</v>
      </c>
      <c r="L206">
        <v>639</v>
      </c>
      <c r="M206" t="s">
        <v>538</v>
      </c>
      <c r="N206" s="6">
        <f t="shared" si="13"/>
        <v>45839</v>
      </c>
      <c r="O206" t="s">
        <v>147</v>
      </c>
      <c r="P206" t="str">
        <f t="shared" si="14"/>
        <v>July 2025</v>
      </c>
      <c r="Q206" t="s">
        <v>28</v>
      </c>
      <c r="R206" s="7">
        <v>26687.03</v>
      </c>
      <c r="S206" s="7">
        <f t="shared" si="15"/>
        <v>526136.15</v>
      </c>
    </row>
    <row r="207" spans="1:19" x14ac:dyDescent="0.3">
      <c r="A207" t="s">
        <v>562</v>
      </c>
      <c r="B207" s="5" t="s">
        <v>563</v>
      </c>
      <c r="C207" s="6">
        <f t="shared" si="12"/>
        <v>45992</v>
      </c>
      <c r="D207" t="s">
        <v>52</v>
      </c>
      <c r="E207" t="s">
        <v>70</v>
      </c>
      <c r="F207" t="s">
        <v>59</v>
      </c>
      <c r="G207" t="s">
        <v>34</v>
      </c>
      <c r="H207" t="s">
        <v>35</v>
      </c>
      <c r="I207">
        <v>2413</v>
      </c>
      <c r="J207" s="7">
        <v>306.85000000000002</v>
      </c>
      <c r="K207" s="7">
        <v>740429.05</v>
      </c>
      <c r="L207">
        <v>175</v>
      </c>
      <c r="M207" t="s">
        <v>411</v>
      </c>
      <c r="N207" s="6">
        <f t="shared" si="13"/>
        <v>45992</v>
      </c>
      <c r="O207" t="s">
        <v>411</v>
      </c>
      <c r="P207" t="str">
        <f t="shared" si="14"/>
        <v>December 2025</v>
      </c>
      <c r="Q207" t="s">
        <v>37</v>
      </c>
      <c r="R207" s="7">
        <v>8519.76</v>
      </c>
      <c r="S207" s="7">
        <f t="shared" si="15"/>
        <v>748948.81</v>
      </c>
    </row>
    <row r="208" spans="1:19" x14ac:dyDescent="0.3">
      <c r="A208" t="s">
        <v>564</v>
      </c>
      <c r="B208" s="5" t="s">
        <v>565</v>
      </c>
      <c r="C208" s="6">
        <f t="shared" si="12"/>
        <v>45870</v>
      </c>
      <c r="D208" t="s">
        <v>31</v>
      </c>
      <c r="E208" t="s">
        <v>53</v>
      </c>
      <c r="F208" t="s">
        <v>23</v>
      </c>
      <c r="G208" t="s">
        <v>71</v>
      </c>
      <c r="H208" t="s">
        <v>123</v>
      </c>
      <c r="I208">
        <v>326</v>
      </c>
      <c r="J208" s="7">
        <v>580.27</v>
      </c>
      <c r="K208" s="7">
        <v>189168.02</v>
      </c>
      <c r="L208">
        <v>255</v>
      </c>
      <c r="M208" t="s">
        <v>566</v>
      </c>
      <c r="N208" s="6">
        <f t="shared" si="13"/>
        <v>45870</v>
      </c>
      <c r="O208" t="s">
        <v>566</v>
      </c>
      <c r="P208" t="str">
        <f t="shared" si="14"/>
        <v>August 2025</v>
      </c>
      <c r="Q208" t="s">
        <v>37</v>
      </c>
      <c r="R208" s="7">
        <v>11679.17</v>
      </c>
      <c r="S208" s="7">
        <f t="shared" si="15"/>
        <v>200847.19</v>
      </c>
    </row>
    <row r="209" spans="1:19" x14ac:dyDescent="0.3">
      <c r="A209" t="s">
        <v>567</v>
      </c>
      <c r="B209" s="5" t="s">
        <v>186</v>
      </c>
      <c r="C209" s="6">
        <f t="shared" si="12"/>
        <v>45962</v>
      </c>
      <c r="D209" t="s">
        <v>40</v>
      </c>
      <c r="E209" t="s">
        <v>75</v>
      </c>
      <c r="F209" t="s">
        <v>23</v>
      </c>
      <c r="G209" t="s">
        <v>60</v>
      </c>
      <c r="H209" t="s">
        <v>25</v>
      </c>
      <c r="I209">
        <v>1976</v>
      </c>
      <c r="J209" s="7">
        <v>550.72</v>
      </c>
      <c r="K209" s="7">
        <v>1088222.72</v>
      </c>
      <c r="L209">
        <v>335</v>
      </c>
      <c r="M209" t="s">
        <v>247</v>
      </c>
      <c r="N209" s="6">
        <f t="shared" si="13"/>
        <v>45962</v>
      </c>
      <c r="O209" t="s">
        <v>247</v>
      </c>
      <c r="P209" t="str">
        <f t="shared" si="14"/>
        <v>November 2025</v>
      </c>
      <c r="Q209" t="s">
        <v>37</v>
      </c>
      <c r="R209" s="7">
        <v>14683.73</v>
      </c>
      <c r="S209" s="7">
        <f t="shared" si="15"/>
        <v>1102906.45</v>
      </c>
    </row>
    <row r="210" spans="1:19" x14ac:dyDescent="0.3">
      <c r="A210" t="s">
        <v>568</v>
      </c>
      <c r="B210" s="5" t="s">
        <v>569</v>
      </c>
      <c r="C210" s="6">
        <f t="shared" si="12"/>
        <v>45778</v>
      </c>
      <c r="D210" t="s">
        <v>109</v>
      </c>
      <c r="E210" t="s">
        <v>75</v>
      </c>
      <c r="F210" t="s">
        <v>59</v>
      </c>
      <c r="G210" t="s">
        <v>222</v>
      </c>
      <c r="H210" t="s">
        <v>91</v>
      </c>
      <c r="I210">
        <v>320</v>
      </c>
      <c r="J210" s="7">
        <v>883.85</v>
      </c>
      <c r="K210" s="7">
        <v>282832</v>
      </c>
      <c r="L210">
        <v>452</v>
      </c>
      <c r="M210" t="s">
        <v>570</v>
      </c>
      <c r="N210" s="6">
        <f t="shared" si="13"/>
        <v>45778</v>
      </c>
      <c r="O210" t="s">
        <v>570</v>
      </c>
      <c r="P210" t="str">
        <f t="shared" si="14"/>
        <v>May 2025</v>
      </c>
      <c r="Q210" t="s">
        <v>37</v>
      </c>
      <c r="R210" s="7">
        <v>22778.639999999999</v>
      </c>
      <c r="S210" s="7">
        <f t="shared" si="15"/>
        <v>305610.64</v>
      </c>
    </row>
    <row r="211" spans="1:19" x14ac:dyDescent="0.3">
      <c r="A211" t="s">
        <v>571</v>
      </c>
      <c r="B211" s="5" t="s">
        <v>572</v>
      </c>
      <c r="C211" s="6">
        <f t="shared" si="12"/>
        <v>45870</v>
      </c>
      <c r="D211" t="s">
        <v>31</v>
      </c>
      <c r="E211" t="s">
        <v>53</v>
      </c>
      <c r="F211" t="s">
        <v>59</v>
      </c>
      <c r="G211" t="s">
        <v>265</v>
      </c>
      <c r="H211" t="s">
        <v>155</v>
      </c>
      <c r="I211">
        <v>1137</v>
      </c>
      <c r="J211" s="7">
        <v>258.37</v>
      </c>
      <c r="K211" s="7">
        <v>293766.69</v>
      </c>
      <c r="L211">
        <v>166</v>
      </c>
      <c r="M211" t="s">
        <v>573</v>
      </c>
      <c r="N211" s="6">
        <f t="shared" si="13"/>
        <v>45870</v>
      </c>
      <c r="O211" t="s">
        <v>573</v>
      </c>
      <c r="P211" t="str">
        <f t="shared" si="14"/>
        <v>August 2025</v>
      </c>
      <c r="Q211" t="s">
        <v>37</v>
      </c>
      <c r="R211" s="7">
        <v>9912.1299999999992</v>
      </c>
      <c r="S211" s="7">
        <f t="shared" si="15"/>
        <v>303678.82</v>
      </c>
    </row>
    <row r="212" spans="1:19" x14ac:dyDescent="0.3">
      <c r="A212" t="s">
        <v>574</v>
      </c>
      <c r="B212" s="5" t="s">
        <v>108</v>
      </c>
      <c r="C212" s="6">
        <f t="shared" si="12"/>
        <v>45992</v>
      </c>
      <c r="D212" t="s">
        <v>128</v>
      </c>
      <c r="E212" t="s">
        <v>75</v>
      </c>
      <c r="F212" t="s">
        <v>45</v>
      </c>
      <c r="G212" t="s">
        <v>88</v>
      </c>
      <c r="H212" t="s">
        <v>25</v>
      </c>
      <c r="I212">
        <v>800</v>
      </c>
      <c r="J212" s="7">
        <v>214.44</v>
      </c>
      <c r="K212" s="7">
        <v>171552</v>
      </c>
      <c r="L212">
        <v>107</v>
      </c>
      <c r="M212" t="s">
        <v>398</v>
      </c>
      <c r="N212" s="6">
        <f t="shared" si="13"/>
        <v>45992</v>
      </c>
      <c r="O212" t="s">
        <v>398</v>
      </c>
      <c r="P212" t="str">
        <f t="shared" si="14"/>
        <v>December 2025</v>
      </c>
      <c r="Q212" t="s">
        <v>37</v>
      </c>
      <c r="R212" s="7">
        <v>6175.9</v>
      </c>
      <c r="S212" s="7">
        <f t="shared" si="15"/>
        <v>177727.9</v>
      </c>
    </row>
    <row r="213" spans="1:19" x14ac:dyDescent="0.3">
      <c r="A213" t="s">
        <v>575</v>
      </c>
      <c r="B213" s="5" t="s">
        <v>259</v>
      </c>
      <c r="C213" s="6">
        <f t="shared" si="12"/>
        <v>45931</v>
      </c>
      <c r="D213" t="s">
        <v>65</v>
      </c>
      <c r="E213" t="s">
        <v>22</v>
      </c>
      <c r="F213" t="s">
        <v>45</v>
      </c>
      <c r="G213" t="s">
        <v>110</v>
      </c>
      <c r="H213" t="s">
        <v>61</v>
      </c>
      <c r="I213">
        <v>1321</v>
      </c>
      <c r="J213" s="7">
        <v>341.47</v>
      </c>
      <c r="K213" s="7">
        <v>451081.87</v>
      </c>
      <c r="L213">
        <v>306</v>
      </c>
      <c r="M213" t="s">
        <v>576</v>
      </c>
      <c r="N213" s="6">
        <f t="shared" si="13"/>
        <v>45931</v>
      </c>
      <c r="O213" t="s">
        <v>576</v>
      </c>
      <c r="P213" t="str">
        <f t="shared" si="14"/>
        <v>October 2025</v>
      </c>
      <c r="Q213" t="s">
        <v>37</v>
      </c>
      <c r="R213" s="7">
        <v>15722.38</v>
      </c>
      <c r="S213" s="7">
        <f t="shared" si="15"/>
        <v>466804.25</v>
      </c>
    </row>
    <row r="214" spans="1:19" x14ac:dyDescent="0.3">
      <c r="A214" t="s">
        <v>577</v>
      </c>
      <c r="B214" s="5" t="s">
        <v>525</v>
      </c>
      <c r="C214" s="6">
        <f t="shared" si="12"/>
        <v>45809</v>
      </c>
      <c r="D214" t="s">
        <v>128</v>
      </c>
      <c r="E214" t="s">
        <v>75</v>
      </c>
      <c r="F214" t="s">
        <v>33</v>
      </c>
      <c r="G214" t="s">
        <v>118</v>
      </c>
      <c r="H214" t="s">
        <v>47</v>
      </c>
      <c r="I214">
        <v>955</v>
      </c>
      <c r="J214" s="7">
        <v>45.9</v>
      </c>
      <c r="K214" s="7">
        <v>43834.5</v>
      </c>
      <c r="L214">
        <v>79</v>
      </c>
      <c r="M214" t="s">
        <v>526</v>
      </c>
      <c r="N214" s="6">
        <f t="shared" si="13"/>
        <v>45809</v>
      </c>
      <c r="O214" t="s">
        <v>578</v>
      </c>
      <c r="P214" t="str">
        <f t="shared" si="14"/>
        <v>June 2025</v>
      </c>
      <c r="Q214" t="s">
        <v>28</v>
      </c>
      <c r="R214" s="7">
        <v>4044.57</v>
      </c>
      <c r="S214" s="7">
        <f t="shared" si="15"/>
        <v>47879.07</v>
      </c>
    </row>
    <row r="215" spans="1:19" x14ac:dyDescent="0.3">
      <c r="A215" t="s">
        <v>579</v>
      </c>
      <c r="B215" s="5" t="s">
        <v>44</v>
      </c>
      <c r="C215" s="6">
        <f t="shared" si="12"/>
        <v>45658</v>
      </c>
      <c r="D215" t="s">
        <v>109</v>
      </c>
      <c r="E215" t="s">
        <v>53</v>
      </c>
      <c r="F215" t="s">
        <v>45</v>
      </c>
      <c r="G215" t="s">
        <v>97</v>
      </c>
      <c r="H215" t="str">
        <f xml:space="preserve"> "Not Found"</f>
        <v>Not Found</v>
      </c>
      <c r="I215">
        <v>1399</v>
      </c>
      <c r="J215" s="7">
        <v>292.99</v>
      </c>
      <c r="K215" s="7">
        <v>409893.01</v>
      </c>
      <c r="L215">
        <v>53</v>
      </c>
      <c r="M215" t="s">
        <v>580</v>
      </c>
      <c r="N215" s="6">
        <f t="shared" si="13"/>
        <v>45658</v>
      </c>
      <c r="O215" t="s">
        <v>328</v>
      </c>
      <c r="P215" t="str">
        <f t="shared" si="14"/>
        <v>January 2025</v>
      </c>
      <c r="Q215" t="s">
        <v>28</v>
      </c>
      <c r="R215" s="7">
        <v>2505.81</v>
      </c>
      <c r="S215" s="7">
        <f t="shared" si="15"/>
        <v>412398.82</v>
      </c>
    </row>
    <row r="216" spans="1:19" x14ac:dyDescent="0.3">
      <c r="A216" t="s">
        <v>581</v>
      </c>
      <c r="B216" s="5" t="s">
        <v>312</v>
      </c>
      <c r="C216" s="6">
        <f t="shared" si="12"/>
        <v>45962</v>
      </c>
      <c r="D216" t="s">
        <v>128</v>
      </c>
      <c r="E216" t="s">
        <v>70</v>
      </c>
      <c r="F216" t="s">
        <v>59</v>
      </c>
      <c r="G216" t="s">
        <v>222</v>
      </c>
      <c r="H216" t="s">
        <v>47</v>
      </c>
      <c r="I216">
        <v>755</v>
      </c>
      <c r="J216" s="7">
        <v>100.02</v>
      </c>
      <c r="K216" s="7">
        <v>75515.100000000006</v>
      </c>
      <c r="L216">
        <v>248</v>
      </c>
      <c r="M216" t="s">
        <v>362</v>
      </c>
      <c r="N216" s="6">
        <f t="shared" si="13"/>
        <v>45962</v>
      </c>
      <c r="O216" t="s">
        <v>39</v>
      </c>
      <c r="P216" t="str">
        <f t="shared" si="14"/>
        <v>November 2025</v>
      </c>
      <c r="Q216" t="s">
        <v>28</v>
      </c>
      <c r="R216" s="7">
        <v>14565.81</v>
      </c>
      <c r="S216" s="7">
        <f t="shared" si="15"/>
        <v>90080.91</v>
      </c>
    </row>
    <row r="217" spans="1:19" x14ac:dyDescent="0.3">
      <c r="A217" t="s">
        <v>582</v>
      </c>
      <c r="B217" s="5" t="s">
        <v>185</v>
      </c>
      <c r="C217" s="6">
        <f t="shared" si="12"/>
        <v>45962</v>
      </c>
      <c r="D217" t="s">
        <v>65</v>
      </c>
      <c r="E217" t="s">
        <v>70</v>
      </c>
      <c r="F217" t="s">
        <v>45</v>
      </c>
      <c r="G217" t="s">
        <v>71</v>
      </c>
      <c r="H217" t="s">
        <v>155</v>
      </c>
      <c r="I217">
        <v>792</v>
      </c>
      <c r="J217" s="7">
        <v>329.61</v>
      </c>
      <c r="K217" s="7">
        <v>261051.12</v>
      </c>
      <c r="L217">
        <v>258</v>
      </c>
      <c r="M217" t="s">
        <v>186</v>
      </c>
      <c r="N217" s="6">
        <f t="shared" si="13"/>
        <v>45962</v>
      </c>
      <c r="O217" t="s">
        <v>311</v>
      </c>
      <c r="P217" t="str">
        <f t="shared" si="14"/>
        <v>November 2025</v>
      </c>
      <c r="Q217" t="s">
        <v>28</v>
      </c>
      <c r="R217" s="7">
        <v>11564.56</v>
      </c>
      <c r="S217" s="7">
        <f t="shared" si="15"/>
        <v>272615.67999999999</v>
      </c>
    </row>
    <row r="218" spans="1:19" x14ac:dyDescent="0.3">
      <c r="A218" t="s">
        <v>583</v>
      </c>
      <c r="B218" s="5" t="s">
        <v>267</v>
      </c>
      <c r="C218" s="6">
        <f t="shared" si="12"/>
        <v>45870</v>
      </c>
      <c r="D218" t="s">
        <v>128</v>
      </c>
      <c r="E218" t="s">
        <v>75</v>
      </c>
      <c r="F218" t="s">
        <v>45</v>
      </c>
      <c r="G218" t="s">
        <v>110</v>
      </c>
      <c r="H218" t="s">
        <v>91</v>
      </c>
      <c r="I218">
        <v>298</v>
      </c>
      <c r="J218" s="7">
        <v>194.35</v>
      </c>
      <c r="K218" s="7">
        <v>57916.3</v>
      </c>
      <c r="L218">
        <v>666</v>
      </c>
      <c r="M218" t="s">
        <v>572</v>
      </c>
      <c r="N218" s="6">
        <f t="shared" si="13"/>
        <v>45870</v>
      </c>
      <c r="O218" t="s">
        <v>554</v>
      </c>
      <c r="P218" t="str">
        <f t="shared" si="14"/>
        <v>August 2025</v>
      </c>
      <c r="Q218" t="s">
        <v>28</v>
      </c>
      <c r="R218" s="7">
        <v>26118.16</v>
      </c>
      <c r="S218" s="7">
        <f t="shared" si="15"/>
        <v>84034.46</v>
      </c>
    </row>
    <row r="219" spans="1:19" x14ac:dyDescent="0.3">
      <c r="A219" t="s">
        <v>584</v>
      </c>
      <c r="B219" s="5" t="s">
        <v>550</v>
      </c>
      <c r="C219" s="6">
        <f t="shared" si="12"/>
        <v>45901</v>
      </c>
      <c r="D219" t="s">
        <v>40</v>
      </c>
      <c r="E219" t="s">
        <v>143</v>
      </c>
      <c r="F219" t="s">
        <v>33</v>
      </c>
      <c r="G219" t="s">
        <v>494</v>
      </c>
      <c r="H219" t="s">
        <v>55</v>
      </c>
      <c r="I219">
        <v>525</v>
      </c>
      <c r="J219" s="7">
        <v>796.75</v>
      </c>
      <c r="K219" s="7">
        <v>418293.75</v>
      </c>
      <c r="L219">
        <v>58</v>
      </c>
      <c r="M219" t="s">
        <v>551</v>
      </c>
      <c r="N219" s="6">
        <f t="shared" si="13"/>
        <v>45901</v>
      </c>
      <c r="O219" t="s">
        <v>585</v>
      </c>
      <c r="P219" t="str">
        <f t="shared" si="14"/>
        <v>September 2025</v>
      </c>
      <c r="Q219" t="s">
        <v>28</v>
      </c>
      <c r="R219" s="7">
        <v>3381.03</v>
      </c>
      <c r="S219" s="7">
        <f t="shared" si="15"/>
        <v>421674.78</v>
      </c>
    </row>
    <row r="220" spans="1:19" x14ac:dyDescent="0.3">
      <c r="A220" t="s">
        <v>586</v>
      </c>
      <c r="B220" s="5" t="s">
        <v>239</v>
      </c>
      <c r="C220" s="6">
        <f t="shared" si="12"/>
        <v>45962</v>
      </c>
      <c r="D220" t="s">
        <v>31</v>
      </c>
      <c r="E220" t="s">
        <v>75</v>
      </c>
      <c r="F220" t="s">
        <v>59</v>
      </c>
      <c r="G220" t="s">
        <v>190</v>
      </c>
      <c r="H220" t="s">
        <v>61</v>
      </c>
      <c r="I220">
        <v>849</v>
      </c>
      <c r="J220" s="7">
        <v>154.58000000000001</v>
      </c>
      <c r="K220" s="7">
        <v>131238.42000000001</v>
      </c>
      <c r="L220">
        <v>90</v>
      </c>
      <c r="M220" t="s">
        <v>244</v>
      </c>
      <c r="N220" s="6">
        <f t="shared" si="13"/>
        <v>45962</v>
      </c>
      <c r="O220" t="s">
        <v>105</v>
      </c>
      <c r="P220" t="str">
        <f t="shared" si="14"/>
        <v>November 2025</v>
      </c>
      <c r="Q220" t="s">
        <v>28</v>
      </c>
      <c r="R220" s="7">
        <v>4977.7</v>
      </c>
      <c r="S220" s="7">
        <f t="shared" si="15"/>
        <v>136216.12000000002</v>
      </c>
    </row>
    <row r="221" spans="1:19" x14ac:dyDescent="0.3">
      <c r="A221" t="s">
        <v>587</v>
      </c>
      <c r="B221" s="5" t="s">
        <v>588</v>
      </c>
      <c r="C221" s="6">
        <f t="shared" si="12"/>
        <v>45809</v>
      </c>
      <c r="D221" t="s">
        <v>128</v>
      </c>
      <c r="E221" t="s">
        <v>70</v>
      </c>
      <c r="F221" t="s">
        <v>33</v>
      </c>
      <c r="G221" t="s">
        <v>34</v>
      </c>
      <c r="H221" t="s">
        <v>25</v>
      </c>
      <c r="I221">
        <v>1761</v>
      </c>
      <c r="J221" s="7">
        <v>373.8</v>
      </c>
      <c r="K221" s="7">
        <v>658261.80000000005</v>
      </c>
      <c r="L221">
        <v>434</v>
      </c>
      <c r="M221" t="s">
        <v>301</v>
      </c>
      <c r="N221" s="6">
        <f t="shared" si="13"/>
        <v>45809</v>
      </c>
      <c r="O221" t="s">
        <v>589</v>
      </c>
      <c r="P221" t="str">
        <f t="shared" si="14"/>
        <v>June 2025</v>
      </c>
      <c r="Q221" t="s">
        <v>28</v>
      </c>
      <c r="R221" s="7">
        <v>26328.99</v>
      </c>
      <c r="S221" s="7">
        <f t="shared" si="15"/>
        <v>684590.79</v>
      </c>
    </row>
    <row r="222" spans="1:19" x14ac:dyDescent="0.3">
      <c r="A222" t="s">
        <v>590</v>
      </c>
      <c r="B222" s="5" t="s">
        <v>57</v>
      </c>
      <c r="C222" s="6">
        <f t="shared" si="12"/>
        <v>45717</v>
      </c>
      <c r="D222" t="s">
        <v>109</v>
      </c>
      <c r="E222" t="s">
        <v>53</v>
      </c>
      <c r="F222" t="s">
        <v>23</v>
      </c>
      <c r="G222" t="s">
        <v>82</v>
      </c>
      <c r="H222" t="s">
        <v>123</v>
      </c>
      <c r="I222">
        <v>1443</v>
      </c>
      <c r="J222" s="7">
        <v>296.89999999999998</v>
      </c>
      <c r="K222" s="7">
        <v>428426.7</v>
      </c>
      <c r="L222">
        <v>420</v>
      </c>
      <c r="M222" t="s">
        <v>591</v>
      </c>
      <c r="N222" s="6">
        <f t="shared" si="13"/>
        <v>45717</v>
      </c>
      <c r="O222" t="s">
        <v>591</v>
      </c>
      <c r="P222" t="str">
        <f t="shared" si="14"/>
        <v>March 2025</v>
      </c>
      <c r="Q222" t="s">
        <v>37</v>
      </c>
      <c r="R222" s="7">
        <v>23671.45</v>
      </c>
      <c r="S222" s="7">
        <f t="shared" si="15"/>
        <v>452098.15</v>
      </c>
    </row>
    <row r="223" spans="1:19" x14ac:dyDescent="0.3">
      <c r="A223" t="s">
        <v>592</v>
      </c>
      <c r="B223" s="5" t="s">
        <v>593</v>
      </c>
      <c r="C223" s="6">
        <f t="shared" si="12"/>
        <v>45748</v>
      </c>
      <c r="D223" t="s">
        <v>96</v>
      </c>
      <c r="E223" t="s">
        <v>75</v>
      </c>
      <c r="F223" t="s">
        <v>45</v>
      </c>
      <c r="G223" t="s">
        <v>227</v>
      </c>
      <c r="H223" t="s">
        <v>155</v>
      </c>
      <c r="I223">
        <v>1482</v>
      </c>
      <c r="J223" s="7">
        <v>53.07</v>
      </c>
      <c r="K223" s="7">
        <v>78649.740000000005</v>
      </c>
      <c r="L223">
        <v>658</v>
      </c>
      <c r="M223" t="s">
        <v>74</v>
      </c>
      <c r="N223" s="6">
        <f t="shared" si="13"/>
        <v>45748</v>
      </c>
      <c r="O223" t="s">
        <v>79</v>
      </c>
      <c r="P223" t="str">
        <f t="shared" si="14"/>
        <v>April 2025</v>
      </c>
      <c r="Q223" t="s">
        <v>28</v>
      </c>
      <c r="R223" s="7">
        <v>30380.18</v>
      </c>
      <c r="S223" s="7">
        <f t="shared" si="15"/>
        <v>109029.92000000001</v>
      </c>
    </row>
    <row r="224" spans="1:19" x14ac:dyDescent="0.3">
      <c r="A224" t="s">
        <v>594</v>
      </c>
      <c r="B224" s="5" t="s">
        <v>461</v>
      </c>
      <c r="C224" s="6">
        <f t="shared" si="12"/>
        <v>45717</v>
      </c>
      <c r="D224" t="s">
        <v>31</v>
      </c>
      <c r="E224" t="s">
        <v>75</v>
      </c>
      <c r="F224" t="s">
        <v>23</v>
      </c>
      <c r="G224" t="s">
        <v>159</v>
      </c>
      <c r="H224" t="s">
        <v>47</v>
      </c>
      <c r="I224">
        <v>1458</v>
      </c>
      <c r="J224" s="7">
        <v>451.12</v>
      </c>
      <c r="K224" s="7">
        <v>657732.96</v>
      </c>
      <c r="L224">
        <v>707</v>
      </c>
      <c r="M224" t="s">
        <v>64</v>
      </c>
      <c r="N224" s="6">
        <f t="shared" si="13"/>
        <v>45717</v>
      </c>
      <c r="O224" t="s">
        <v>56</v>
      </c>
      <c r="P224" t="str">
        <f t="shared" si="14"/>
        <v>March 2025</v>
      </c>
      <c r="Q224" t="s">
        <v>28</v>
      </c>
      <c r="R224" s="7">
        <v>42123.86</v>
      </c>
      <c r="S224" s="7">
        <f t="shared" si="15"/>
        <v>699856.82</v>
      </c>
    </row>
    <row r="225" spans="1:19" x14ac:dyDescent="0.3">
      <c r="A225" t="s">
        <v>595</v>
      </c>
      <c r="B225" s="5" t="s">
        <v>464</v>
      </c>
      <c r="C225" s="6">
        <f t="shared" si="12"/>
        <v>45839</v>
      </c>
      <c r="D225" t="s">
        <v>96</v>
      </c>
      <c r="E225" t="s">
        <v>32</v>
      </c>
      <c r="F225" t="s">
        <v>45</v>
      </c>
      <c r="G225" t="s">
        <v>138</v>
      </c>
      <c r="H225" t="s">
        <v>132</v>
      </c>
      <c r="I225">
        <v>1393</v>
      </c>
      <c r="J225" s="7">
        <v>520.85</v>
      </c>
      <c r="K225" s="7">
        <v>725544.05</v>
      </c>
      <c r="L225">
        <v>62</v>
      </c>
      <c r="M225" t="s">
        <v>425</v>
      </c>
      <c r="N225" s="6">
        <f t="shared" si="13"/>
        <v>45839</v>
      </c>
      <c r="O225" t="s">
        <v>425</v>
      </c>
      <c r="P225" t="str">
        <f t="shared" si="14"/>
        <v>July 2025</v>
      </c>
      <c r="Q225" t="s">
        <v>37</v>
      </c>
      <c r="R225" s="7">
        <v>3356.94</v>
      </c>
      <c r="S225" s="7">
        <f t="shared" si="15"/>
        <v>728900.99</v>
      </c>
    </row>
    <row r="226" spans="1:19" x14ac:dyDescent="0.3">
      <c r="A226" t="s">
        <v>596</v>
      </c>
      <c r="B226" s="5" t="s">
        <v>167</v>
      </c>
      <c r="C226" s="6">
        <f t="shared" si="12"/>
        <v>45870</v>
      </c>
      <c r="D226" t="s">
        <v>31</v>
      </c>
      <c r="E226" t="s">
        <v>75</v>
      </c>
      <c r="F226" t="s">
        <v>45</v>
      </c>
      <c r="G226" t="s">
        <v>190</v>
      </c>
      <c r="H226" t="s">
        <v>47</v>
      </c>
      <c r="I226">
        <v>165</v>
      </c>
      <c r="J226" s="7">
        <v>652.80999999999995</v>
      </c>
      <c r="K226" s="7">
        <v>107713.65</v>
      </c>
      <c r="L226">
        <v>567</v>
      </c>
      <c r="M226" t="s">
        <v>557</v>
      </c>
      <c r="N226" s="6">
        <f t="shared" si="13"/>
        <v>45870</v>
      </c>
      <c r="O226" t="s">
        <v>566</v>
      </c>
      <c r="P226" t="str">
        <f t="shared" si="14"/>
        <v>August 2025</v>
      </c>
      <c r="Q226" t="s">
        <v>28</v>
      </c>
      <c r="R226" s="7">
        <v>23317.72</v>
      </c>
      <c r="S226" s="7">
        <f t="shared" si="15"/>
        <v>131031.37</v>
      </c>
    </row>
    <row r="227" spans="1:19" x14ac:dyDescent="0.3">
      <c r="A227" t="s">
        <v>597</v>
      </c>
      <c r="B227" s="5" t="s">
        <v>151</v>
      </c>
      <c r="C227" s="6">
        <f t="shared" si="12"/>
        <v>45689</v>
      </c>
      <c r="D227" t="s">
        <v>40</v>
      </c>
      <c r="E227" t="s">
        <v>70</v>
      </c>
      <c r="F227" t="s">
        <v>23</v>
      </c>
      <c r="G227" t="s">
        <v>138</v>
      </c>
      <c r="H227" t="s">
        <v>155</v>
      </c>
      <c r="I227">
        <v>1129</v>
      </c>
      <c r="J227" s="7">
        <v>759.47</v>
      </c>
      <c r="K227" s="7">
        <v>857441.63</v>
      </c>
      <c r="L227">
        <v>699</v>
      </c>
      <c r="M227" t="s">
        <v>486</v>
      </c>
      <c r="N227" s="6">
        <f t="shared" si="13"/>
        <v>45689</v>
      </c>
      <c r="O227" t="s">
        <v>486</v>
      </c>
      <c r="P227" t="str">
        <f t="shared" si="14"/>
        <v>February 2025</v>
      </c>
      <c r="Q227" t="s">
        <v>37</v>
      </c>
      <c r="R227" s="7">
        <v>30349.06</v>
      </c>
      <c r="S227" s="7">
        <f t="shared" si="15"/>
        <v>887790.69000000006</v>
      </c>
    </row>
    <row r="228" spans="1:19" x14ac:dyDescent="0.3">
      <c r="A228" t="s">
        <v>598</v>
      </c>
      <c r="B228" s="5" t="s">
        <v>513</v>
      </c>
      <c r="C228" s="6">
        <f t="shared" si="12"/>
        <v>45839</v>
      </c>
      <c r="D228" t="s">
        <v>21</v>
      </c>
      <c r="E228" t="s">
        <v>70</v>
      </c>
      <c r="F228" t="s">
        <v>45</v>
      </c>
      <c r="G228" t="s">
        <v>60</v>
      </c>
      <c r="H228" t="s">
        <v>77</v>
      </c>
      <c r="I228">
        <v>1622</v>
      </c>
      <c r="J228" s="7">
        <v>570.45000000000005</v>
      </c>
      <c r="K228" s="7">
        <v>925269.9</v>
      </c>
      <c r="L228">
        <v>668</v>
      </c>
      <c r="M228" t="s">
        <v>99</v>
      </c>
      <c r="N228" s="6">
        <f t="shared" si="13"/>
        <v>45839</v>
      </c>
      <c r="O228" t="s">
        <v>599</v>
      </c>
      <c r="P228" t="str">
        <f t="shared" si="14"/>
        <v>July 2025</v>
      </c>
      <c r="Q228" t="s">
        <v>28</v>
      </c>
      <c r="R228" s="7">
        <v>37244.81</v>
      </c>
      <c r="S228" s="7">
        <f t="shared" si="15"/>
        <v>962514.71</v>
      </c>
    </row>
    <row r="229" spans="1:19" x14ac:dyDescent="0.3">
      <c r="A229" t="s">
        <v>600</v>
      </c>
      <c r="B229" s="5" t="s">
        <v>345</v>
      </c>
      <c r="C229" s="6">
        <f t="shared" si="12"/>
        <v>45658</v>
      </c>
      <c r="D229" t="s">
        <v>128</v>
      </c>
      <c r="E229" t="s">
        <v>22</v>
      </c>
      <c r="F229" t="s">
        <v>59</v>
      </c>
      <c r="G229" t="s">
        <v>222</v>
      </c>
      <c r="H229" t="s">
        <v>35</v>
      </c>
      <c r="I229">
        <v>194</v>
      </c>
      <c r="J229" s="7">
        <v>304.63</v>
      </c>
      <c r="K229" s="7">
        <v>59098.22</v>
      </c>
      <c r="L229">
        <v>182</v>
      </c>
      <c r="M229" t="s">
        <v>346</v>
      </c>
      <c r="N229" s="6">
        <f t="shared" si="13"/>
        <v>45658</v>
      </c>
      <c r="O229" t="s">
        <v>346</v>
      </c>
      <c r="P229" t="str">
        <f t="shared" si="14"/>
        <v>January 2025</v>
      </c>
      <c r="Q229" t="s">
        <v>37</v>
      </c>
      <c r="R229" s="7">
        <v>6719.53</v>
      </c>
      <c r="S229" s="7">
        <f t="shared" si="15"/>
        <v>65817.75</v>
      </c>
    </row>
    <row r="230" spans="1:19" x14ac:dyDescent="0.3">
      <c r="A230" t="s">
        <v>601</v>
      </c>
      <c r="B230" s="5" t="s">
        <v>245</v>
      </c>
      <c r="C230" s="6">
        <f t="shared" si="12"/>
        <v>45962</v>
      </c>
      <c r="D230" t="s">
        <v>52</v>
      </c>
      <c r="E230" t="s">
        <v>22</v>
      </c>
      <c r="F230" t="s">
        <v>23</v>
      </c>
      <c r="G230" t="s">
        <v>227</v>
      </c>
      <c r="H230" t="s">
        <v>47</v>
      </c>
      <c r="I230">
        <v>327</v>
      </c>
      <c r="J230" s="7">
        <v>616.73</v>
      </c>
      <c r="K230" s="7">
        <v>201670.71</v>
      </c>
      <c r="L230">
        <v>376</v>
      </c>
      <c r="M230" t="s">
        <v>423</v>
      </c>
      <c r="N230" s="6">
        <f t="shared" si="13"/>
        <v>45962</v>
      </c>
      <c r="O230" t="s">
        <v>105</v>
      </c>
      <c r="P230" t="str">
        <f t="shared" si="14"/>
        <v>November 2025</v>
      </c>
      <c r="Q230" t="s">
        <v>37</v>
      </c>
      <c r="R230" s="7">
        <v>18872.560000000001</v>
      </c>
      <c r="S230" s="7">
        <f t="shared" si="15"/>
        <v>220543.27</v>
      </c>
    </row>
    <row r="231" spans="1:19" x14ac:dyDescent="0.3">
      <c r="A231" t="s">
        <v>602</v>
      </c>
      <c r="B231" s="5" t="s">
        <v>603</v>
      </c>
      <c r="C231" s="6">
        <f t="shared" si="12"/>
        <v>45717</v>
      </c>
      <c r="D231" t="s">
        <v>21</v>
      </c>
      <c r="E231" t="s">
        <v>53</v>
      </c>
      <c r="F231" t="s">
        <v>45</v>
      </c>
      <c r="G231" t="s">
        <v>88</v>
      </c>
      <c r="H231" t="s">
        <v>35</v>
      </c>
      <c r="I231">
        <v>1009</v>
      </c>
      <c r="J231" s="7">
        <v>726.41</v>
      </c>
      <c r="K231" s="7">
        <v>732947.69</v>
      </c>
      <c r="L231">
        <v>459</v>
      </c>
      <c r="M231" t="s">
        <v>604</v>
      </c>
      <c r="N231" s="6">
        <f t="shared" si="13"/>
        <v>45717</v>
      </c>
      <c r="O231" t="s">
        <v>270</v>
      </c>
      <c r="P231" t="str">
        <f t="shared" si="14"/>
        <v>March 2025</v>
      </c>
      <c r="Q231" t="s">
        <v>28</v>
      </c>
      <c r="R231" s="7">
        <v>18885.009999999998</v>
      </c>
      <c r="S231" s="7">
        <f t="shared" si="15"/>
        <v>751832.7</v>
      </c>
    </row>
    <row r="232" spans="1:19" x14ac:dyDescent="0.3">
      <c r="A232" t="s">
        <v>605</v>
      </c>
      <c r="B232" s="5" t="s">
        <v>516</v>
      </c>
      <c r="C232" s="6">
        <f t="shared" si="12"/>
        <v>45931</v>
      </c>
      <c r="D232" t="s">
        <v>31</v>
      </c>
      <c r="E232" t="s">
        <v>32</v>
      </c>
      <c r="F232" t="s">
        <v>23</v>
      </c>
      <c r="G232" t="s">
        <v>82</v>
      </c>
      <c r="H232" t="s">
        <v>25</v>
      </c>
      <c r="I232">
        <v>1472</v>
      </c>
      <c r="J232" s="7">
        <v>114.48</v>
      </c>
      <c r="K232" s="7">
        <v>168514.56</v>
      </c>
      <c r="L232">
        <v>713</v>
      </c>
      <c r="M232" t="s">
        <v>606</v>
      </c>
      <c r="N232" s="6">
        <f t="shared" si="13"/>
        <v>45931</v>
      </c>
      <c r="O232" t="s">
        <v>607</v>
      </c>
      <c r="P232" t="str">
        <f t="shared" si="14"/>
        <v>October 2025</v>
      </c>
      <c r="Q232" t="s">
        <v>28</v>
      </c>
      <c r="R232" s="7">
        <v>33519.79</v>
      </c>
      <c r="S232" s="7">
        <f t="shared" si="15"/>
        <v>202034.35</v>
      </c>
    </row>
    <row r="233" spans="1:19" x14ac:dyDescent="0.3">
      <c r="A233" t="s">
        <v>608</v>
      </c>
      <c r="B233" s="5" t="s">
        <v>427</v>
      </c>
      <c r="C233" s="6">
        <f t="shared" si="12"/>
        <v>45901</v>
      </c>
      <c r="D233" t="s">
        <v>96</v>
      </c>
      <c r="E233" t="s">
        <v>32</v>
      </c>
      <c r="F233" t="s">
        <v>45</v>
      </c>
      <c r="G233" t="s">
        <v>71</v>
      </c>
      <c r="H233" t="s">
        <v>91</v>
      </c>
      <c r="I233">
        <v>1497</v>
      </c>
      <c r="J233" s="7">
        <v>353.13</v>
      </c>
      <c r="K233" s="7">
        <v>528635.61</v>
      </c>
      <c r="L233">
        <v>274</v>
      </c>
      <c r="M233" t="s">
        <v>550</v>
      </c>
      <c r="N233" s="6">
        <f t="shared" si="13"/>
        <v>45901</v>
      </c>
      <c r="O233" t="s">
        <v>154</v>
      </c>
      <c r="P233" t="str">
        <f t="shared" si="14"/>
        <v>September 2025</v>
      </c>
      <c r="Q233" t="s">
        <v>28</v>
      </c>
      <c r="R233" s="7">
        <v>15504.45</v>
      </c>
      <c r="S233" s="7">
        <f t="shared" si="15"/>
        <v>544140.05999999994</v>
      </c>
    </row>
    <row r="234" spans="1:19" x14ac:dyDescent="0.3">
      <c r="A234" t="s">
        <v>609</v>
      </c>
      <c r="B234" s="5" t="s">
        <v>152</v>
      </c>
      <c r="C234" s="6">
        <f t="shared" si="12"/>
        <v>45689</v>
      </c>
      <c r="D234" t="s">
        <v>52</v>
      </c>
      <c r="E234" t="s">
        <v>22</v>
      </c>
      <c r="F234" t="s">
        <v>45</v>
      </c>
      <c r="G234" t="s">
        <v>190</v>
      </c>
      <c r="H234" t="s">
        <v>91</v>
      </c>
      <c r="I234">
        <v>376</v>
      </c>
      <c r="J234" s="7">
        <v>683.45</v>
      </c>
      <c r="K234" s="7">
        <v>256977.2</v>
      </c>
      <c r="L234">
        <v>538</v>
      </c>
      <c r="M234" t="s">
        <v>509</v>
      </c>
      <c r="N234" s="6">
        <f t="shared" si="13"/>
        <v>45717</v>
      </c>
      <c r="O234" t="s">
        <v>325</v>
      </c>
      <c r="P234" t="str">
        <f t="shared" si="14"/>
        <v>March 2025</v>
      </c>
      <c r="Q234" t="s">
        <v>28</v>
      </c>
      <c r="R234" s="7">
        <v>20719.05</v>
      </c>
      <c r="S234" s="7">
        <f t="shared" si="15"/>
        <v>277696.25</v>
      </c>
    </row>
    <row r="235" spans="1:19" x14ac:dyDescent="0.3">
      <c r="A235" t="s">
        <v>610</v>
      </c>
      <c r="B235" s="5" t="s">
        <v>48</v>
      </c>
      <c r="C235" s="6">
        <f t="shared" si="12"/>
        <v>45658</v>
      </c>
      <c r="D235" t="s">
        <v>65</v>
      </c>
      <c r="E235" t="s">
        <v>75</v>
      </c>
      <c r="F235" t="s">
        <v>59</v>
      </c>
      <c r="G235" t="s">
        <v>283</v>
      </c>
      <c r="H235" t="s">
        <v>61</v>
      </c>
      <c r="I235">
        <v>564</v>
      </c>
      <c r="J235" s="7">
        <v>640.12</v>
      </c>
      <c r="K235" s="7">
        <v>361027.68</v>
      </c>
      <c r="L235">
        <v>683</v>
      </c>
      <c r="M235" t="s">
        <v>327</v>
      </c>
      <c r="N235" s="6">
        <f t="shared" si="13"/>
        <v>45658</v>
      </c>
      <c r="O235" t="s">
        <v>49</v>
      </c>
      <c r="P235" t="str">
        <f t="shared" si="14"/>
        <v>January 2025</v>
      </c>
      <c r="Q235" t="s">
        <v>28</v>
      </c>
      <c r="R235" s="7">
        <v>39253.14</v>
      </c>
      <c r="S235" s="7">
        <f t="shared" si="15"/>
        <v>400280.82</v>
      </c>
    </row>
    <row r="236" spans="1:19" x14ac:dyDescent="0.3">
      <c r="A236" t="s">
        <v>611</v>
      </c>
      <c r="B236" s="5" t="s">
        <v>125</v>
      </c>
      <c r="C236" s="6">
        <f t="shared" si="12"/>
        <v>45992</v>
      </c>
      <c r="D236" t="s">
        <v>128</v>
      </c>
      <c r="E236" t="s">
        <v>32</v>
      </c>
      <c r="F236" t="s">
        <v>23</v>
      </c>
      <c r="G236" t="s">
        <v>118</v>
      </c>
      <c r="H236" t="s">
        <v>91</v>
      </c>
      <c r="I236">
        <v>1557</v>
      </c>
      <c r="J236" s="7">
        <v>787.87</v>
      </c>
      <c r="K236" s="7">
        <v>1226713.5900000001</v>
      </c>
      <c r="L236">
        <v>497</v>
      </c>
      <c r="M236" t="s">
        <v>612</v>
      </c>
      <c r="N236" s="6">
        <f t="shared" si="13"/>
        <v>45992</v>
      </c>
      <c r="O236" t="s">
        <v>613</v>
      </c>
      <c r="P236" t="str">
        <f t="shared" si="14"/>
        <v>December 2025</v>
      </c>
      <c r="Q236" t="s">
        <v>28</v>
      </c>
      <c r="R236" s="7">
        <v>29522.97</v>
      </c>
      <c r="S236" s="7">
        <f t="shared" si="15"/>
        <v>1256236.56</v>
      </c>
    </row>
    <row r="237" spans="1:19" x14ac:dyDescent="0.3">
      <c r="A237" t="s">
        <v>614</v>
      </c>
      <c r="B237" s="5" t="s">
        <v>401</v>
      </c>
      <c r="C237" s="6">
        <f t="shared" si="12"/>
        <v>45839</v>
      </c>
      <c r="D237" t="s">
        <v>96</v>
      </c>
      <c r="E237" t="s">
        <v>143</v>
      </c>
      <c r="F237" t="s">
        <v>23</v>
      </c>
      <c r="G237" t="s">
        <v>66</v>
      </c>
      <c r="H237" t="s">
        <v>25</v>
      </c>
      <c r="I237">
        <v>454</v>
      </c>
      <c r="J237" s="7">
        <v>539.24</v>
      </c>
      <c r="K237" s="7">
        <v>244814.96</v>
      </c>
      <c r="L237">
        <v>217</v>
      </c>
      <c r="M237" t="s">
        <v>409</v>
      </c>
      <c r="N237" s="6">
        <f t="shared" si="13"/>
        <v>45870</v>
      </c>
      <c r="O237" t="s">
        <v>81</v>
      </c>
      <c r="P237" t="str">
        <f t="shared" si="14"/>
        <v>August 2025</v>
      </c>
      <c r="Q237" t="s">
        <v>28</v>
      </c>
      <c r="R237" s="7">
        <v>9780.49</v>
      </c>
      <c r="S237" s="7">
        <f t="shared" si="15"/>
        <v>254595.44999999998</v>
      </c>
    </row>
    <row r="238" spans="1:19" x14ac:dyDescent="0.3">
      <c r="A238" t="s">
        <v>615</v>
      </c>
      <c r="B238" s="5" t="s">
        <v>106</v>
      </c>
      <c r="C238" s="6">
        <f t="shared" si="12"/>
        <v>45962</v>
      </c>
      <c r="D238" t="s">
        <v>21</v>
      </c>
      <c r="E238" t="s">
        <v>22</v>
      </c>
      <c r="F238" t="s">
        <v>33</v>
      </c>
      <c r="G238" t="s">
        <v>222</v>
      </c>
      <c r="H238" t="s">
        <v>25</v>
      </c>
      <c r="I238">
        <v>474</v>
      </c>
      <c r="J238" s="7">
        <v>544.36</v>
      </c>
      <c r="K238" s="7">
        <v>258026.64</v>
      </c>
      <c r="L238">
        <v>617</v>
      </c>
      <c r="M238" t="s">
        <v>185</v>
      </c>
      <c r="N238" s="6">
        <f t="shared" si="13"/>
        <v>45962</v>
      </c>
      <c r="O238" t="s">
        <v>367</v>
      </c>
      <c r="P238" t="str">
        <f t="shared" si="14"/>
        <v>November 2025</v>
      </c>
      <c r="Q238" t="s">
        <v>37</v>
      </c>
      <c r="R238" s="7">
        <v>24848.12</v>
      </c>
      <c r="S238" s="7">
        <f t="shared" si="15"/>
        <v>282874.76</v>
      </c>
    </row>
    <row r="239" spans="1:19" x14ac:dyDescent="0.3">
      <c r="A239" t="s">
        <v>616</v>
      </c>
      <c r="B239" s="5" t="s">
        <v>617</v>
      </c>
      <c r="C239" s="6">
        <f t="shared" si="12"/>
        <v>45992</v>
      </c>
      <c r="D239" t="s">
        <v>109</v>
      </c>
      <c r="E239" t="s">
        <v>143</v>
      </c>
      <c r="F239" t="s">
        <v>23</v>
      </c>
      <c r="G239" t="s">
        <v>138</v>
      </c>
      <c r="H239" t="s">
        <v>55</v>
      </c>
      <c r="I239">
        <v>1935</v>
      </c>
      <c r="J239" s="7">
        <v>807.69</v>
      </c>
      <c r="K239" s="7">
        <v>1562880.15</v>
      </c>
      <c r="L239">
        <v>192</v>
      </c>
      <c r="M239" t="s">
        <v>618</v>
      </c>
      <c r="N239" s="6">
        <f t="shared" si="13"/>
        <v>45992</v>
      </c>
      <c r="O239" t="s">
        <v>125</v>
      </c>
      <c r="P239" t="str">
        <f t="shared" si="14"/>
        <v>December 2025</v>
      </c>
      <c r="Q239" t="s">
        <v>28</v>
      </c>
      <c r="R239" s="7">
        <v>11155.46</v>
      </c>
      <c r="S239" s="7">
        <f t="shared" si="15"/>
        <v>1574035.6099999999</v>
      </c>
    </row>
    <row r="240" spans="1:19" x14ac:dyDescent="0.3">
      <c r="A240" t="s">
        <v>619</v>
      </c>
      <c r="B240" s="5" t="s">
        <v>325</v>
      </c>
      <c r="C240" s="6">
        <f t="shared" si="12"/>
        <v>45717</v>
      </c>
      <c r="D240" t="s">
        <v>109</v>
      </c>
      <c r="E240" t="s">
        <v>70</v>
      </c>
      <c r="F240" t="s">
        <v>23</v>
      </c>
      <c r="G240" t="s">
        <v>283</v>
      </c>
      <c r="H240" t="s">
        <v>35</v>
      </c>
      <c r="I240">
        <v>1886</v>
      </c>
      <c r="J240" s="7">
        <v>293.89</v>
      </c>
      <c r="K240" s="7">
        <v>554276.54</v>
      </c>
      <c r="L240">
        <v>138</v>
      </c>
      <c r="M240" t="s">
        <v>603</v>
      </c>
      <c r="N240" s="6">
        <f t="shared" si="13"/>
        <v>45717</v>
      </c>
      <c r="O240" t="s">
        <v>270</v>
      </c>
      <c r="P240" t="str">
        <f t="shared" si="14"/>
        <v>March 2025</v>
      </c>
      <c r="Q240" t="s">
        <v>28</v>
      </c>
      <c r="R240" s="7">
        <v>5030.1400000000003</v>
      </c>
      <c r="S240" s="7">
        <f t="shared" si="15"/>
        <v>559306.68000000005</v>
      </c>
    </row>
    <row r="241" spans="1:19" x14ac:dyDescent="0.3">
      <c r="A241" t="s">
        <v>620</v>
      </c>
      <c r="B241" s="5" t="s">
        <v>224</v>
      </c>
      <c r="C241" s="6">
        <f t="shared" si="12"/>
        <v>45778</v>
      </c>
      <c r="D241" t="s">
        <v>40</v>
      </c>
      <c r="E241" t="s">
        <v>32</v>
      </c>
      <c r="F241" t="s">
        <v>45</v>
      </c>
      <c r="G241" t="s">
        <v>159</v>
      </c>
      <c r="H241" t="s">
        <v>91</v>
      </c>
      <c r="I241">
        <v>2068</v>
      </c>
      <c r="J241" s="7">
        <v>128.12</v>
      </c>
      <c r="K241" s="7">
        <v>264952.15999999997</v>
      </c>
      <c r="L241">
        <v>602</v>
      </c>
      <c r="M241" t="s">
        <v>336</v>
      </c>
      <c r="N241" s="6">
        <f t="shared" si="13"/>
        <v>45778</v>
      </c>
      <c r="O241" t="s">
        <v>272</v>
      </c>
      <c r="P241" t="str">
        <f t="shared" si="14"/>
        <v>May 2025</v>
      </c>
      <c r="Q241" t="s">
        <v>28</v>
      </c>
      <c r="R241" s="7">
        <v>27808.06</v>
      </c>
      <c r="S241" s="7">
        <f t="shared" si="15"/>
        <v>292760.21999999997</v>
      </c>
    </row>
    <row r="242" spans="1:19" x14ac:dyDescent="0.3">
      <c r="A242" t="s">
        <v>621</v>
      </c>
      <c r="B242" s="5" t="s">
        <v>369</v>
      </c>
      <c r="C242" s="6">
        <f t="shared" si="12"/>
        <v>45931</v>
      </c>
      <c r="D242" t="s">
        <v>52</v>
      </c>
      <c r="E242" t="s">
        <v>22</v>
      </c>
      <c r="F242" t="s">
        <v>45</v>
      </c>
      <c r="G242" t="s">
        <v>86</v>
      </c>
      <c r="H242" t="s">
        <v>47</v>
      </c>
      <c r="I242">
        <v>2265</v>
      </c>
      <c r="J242" s="7">
        <v>762.6</v>
      </c>
      <c r="K242" s="7">
        <v>1727289</v>
      </c>
      <c r="L242">
        <v>562</v>
      </c>
      <c r="M242" t="s">
        <v>459</v>
      </c>
      <c r="N242" s="6">
        <f t="shared" si="13"/>
        <v>45931</v>
      </c>
      <c r="O242" t="s">
        <v>622</v>
      </c>
      <c r="P242" t="str">
        <f t="shared" si="14"/>
        <v>October 2025</v>
      </c>
      <c r="Q242" t="s">
        <v>28</v>
      </c>
      <c r="R242" s="7">
        <v>28023.14</v>
      </c>
      <c r="S242" s="7">
        <f t="shared" si="15"/>
        <v>1755312.14</v>
      </c>
    </row>
    <row r="243" spans="1:19" x14ac:dyDescent="0.3">
      <c r="A243" t="s">
        <v>623</v>
      </c>
      <c r="B243" s="5" t="s">
        <v>20</v>
      </c>
      <c r="C243" s="6">
        <f t="shared" si="12"/>
        <v>45748</v>
      </c>
      <c r="D243" t="s">
        <v>109</v>
      </c>
      <c r="E243" t="s">
        <v>70</v>
      </c>
      <c r="F243" t="s">
        <v>45</v>
      </c>
      <c r="G243" t="s">
        <v>351</v>
      </c>
      <c r="H243" t="s">
        <v>132</v>
      </c>
      <c r="I243">
        <v>2459</v>
      </c>
      <c r="J243" s="7">
        <v>631.57000000000005</v>
      </c>
      <c r="K243" s="7">
        <v>1553030.63</v>
      </c>
      <c r="L243">
        <v>466</v>
      </c>
      <c r="M243" t="s">
        <v>26</v>
      </c>
      <c r="N243" s="6">
        <f t="shared" si="13"/>
        <v>45748</v>
      </c>
      <c r="O243" t="s">
        <v>135</v>
      </c>
      <c r="P243" t="str">
        <f t="shared" si="14"/>
        <v>May 2025</v>
      </c>
      <c r="Q243" t="s">
        <v>28</v>
      </c>
      <c r="R243" s="7">
        <v>28851.19</v>
      </c>
      <c r="S243" s="7">
        <f t="shared" si="15"/>
        <v>1581881.8199999998</v>
      </c>
    </row>
    <row r="244" spans="1:19" x14ac:dyDescent="0.3">
      <c r="A244" t="s">
        <v>624</v>
      </c>
      <c r="B244" s="5" t="s">
        <v>36</v>
      </c>
      <c r="C244" s="6">
        <f t="shared" si="12"/>
        <v>45689</v>
      </c>
      <c r="D244" t="s">
        <v>65</v>
      </c>
      <c r="E244" t="s">
        <v>22</v>
      </c>
      <c r="F244" t="s">
        <v>23</v>
      </c>
      <c r="G244" t="s">
        <v>82</v>
      </c>
      <c r="H244" t="s">
        <v>61</v>
      </c>
      <c r="I244">
        <v>291</v>
      </c>
      <c r="J244" s="7">
        <v>130.78</v>
      </c>
      <c r="K244" s="7">
        <v>38056.980000000003</v>
      </c>
      <c r="L244">
        <v>533</v>
      </c>
      <c r="M244" t="s">
        <v>625</v>
      </c>
      <c r="N244" s="6">
        <f t="shared" si="13"/>
        <v>45689</v>
      </c>
      <c r="O244" t="s">
        <v>431</v>
      </c>
      <c r="P244" t="str">
        <f t="shared" si="14"/>
        <v>February 2025</v>
      </c>
      <c r="Q244" t="s">
        <v>37</v>
      </c>
      <c r="R244" s="7">
        <v>31445.96</v>
      </c>
      <c r="S244" s="7">
        <f t="shared" si="15"/>
        <v>69502.94</v>
      </c>
    </row>
    <row r="245" spans="1:19" x14ac:dyDescent="0.3">
      <c r="A245" t="s">
        <v>626</v>
      </c>
      <c r="B245" s="5" t="s">
        <v>392</v>
      </c>
      <c r="C245" s="6">
        <f t="shared" si="12"/>
        <v>45992</v>
      </c>
      <c r="D245" t="s">
        <v>65</v>
      </c>
      <c r="E245" t="s">
        <v>32</v>
      </c>
      <c r="F245" t="s">
        <v>23</v>
      </c>
      <c r="G245" t="s">
        <v>76</v>
      </c>
      <c r="H245" t="s">
        <v>25</v>
      </c>
      <c r="I245">
        <v>2011</v>
      </c>
      <c r="J245" s="7">
        <v>798.74</v>
      </c>
      <c r="K245" s="7">
        <v>1606266.14</v>
      </c>
      <c r="L245">
        <v>557</v>
      </c>
      <c r="M245" t="s">
        <v>352</v>
      </c>
      <c r="N245" s="6">
        <f t="shared" si="13"/>
        <v>46023</v>
      </c>
      <c r="O245" t="s">
        <v>627</v>
      </c>
      <c r="P245" t="str">
        <f t="shared" si="14"/>
        <v>January 2026</v>
      </c>
      <c r="Q245" t="s">
        <v>28</v>
      </c>
      <c r="R245" s="7">
        <v>23987.5</v>
      </c>
      <c r="S245" s="7">
        <f t="shared" si="15"/>
        <v>1630253.64</v>
      </c>
    </row>
    <row r="246" spans="1:19" x14ac:dyDescent="0.3">
      <c r="A246" t="s">
        <v>628</v>
      </c>
      <c r="B246" s="5" t="s">
        <v>629</v>
      </c>
      <c r="C246" s="6">
        <f t="shared" si="12"/>
        <v>45689</v>
      </c>
      <c r="D246" t="s">
        <v>109</v>
      </c>
      <c r="E246" t="s">
        <v>32</v>
      </c>
      <c r="F246" t="s">
        <v>23</v>
      </c>
      <c r="G246" t="s">
        <v>138</v>
      </c>
      <c r="H246" t="s">
        <v>91</v>
      </c>
      <c r="I246">
        <v>725</v>
      </c>
      <c r="J246" s="7">
        <v>802.87</v>
      </c>
      <c r="K246" s="7">
        <v>582080.75</v>
      </c>
      <c r="L246">
        <v>111</v>
      </c>
      <c r="M246" t="s">
        <v>486</v>
      </c>
      <c r="N246" s="6">
        <f t="shared" si="13"/>
        <v>45689</v>
      </c>
      <c r="O246" t="s">
        <v>486</v>
      </c>
      <c r="P246" t="str">
        <f t="shared" si="14"/>
        <v>February 2025</v>
      </c>
      <c r="Q246" t="s">
        <v>37</v>
      </c>
      <c r="R246" s="7">
        <v>6739.03</v>
      </c>
      <c r="S246" s="7">
        <f t="shared" si="15"/>
        <v>588819.78</v>
      </c>
    </row>
    <row r="247" spans="1:19" x14ac:dyDescent="0.3">
      <c r="A247" t="s">
        <v>630</v>
      </c>
      <c r="B247" s="5" t="s">
        <v>631</v>
      </c>
      <c r="C247" s="6">
        <f t="shared" si="12"/>
        <v>45962</v>
      </c>
      <c r="D247" t="s">
        <v>40</v>
      </c>
      <c r="E247" t="s">
        <v>75</v>
      </c>
      <c r="F247" t="s">
        <v>59</v>
      </c>
      <c r="G247" t="s">
        <v>118</v>
      </c>
      <c r="H247" t="s">
        <v>132</v>
      </c>
      <c r="I247">
        <v>1551</v>
      </c>
      <c r="J247" s="7">
        <v>616.16999999999996</v>
      </c>
      <c r="K247" s="7">
        <v>955679.67</v>
      </c>
      <c r="L247">
        <v>60</v>
      </c>
      <c r="M247" t="s">
        <v>632</v>
      </c>
      <c r="N247" s="6">
        <f t="shared" si="13"/>
        <v>45962</v>
      </c>
      <c r="O247" t="s">
        <v>563</v>
      </c>
      <c r="P247" t="str">
        <f t="shared" si="14"/>
        <v>December 2025</v>
      </c>
      <c r="Q247" t="s">
        <v>28</v>
      </c>
      <c r="R247" s="7">
        <v>3137.35</v>
      </c>
      <c r="S247" s="7">
        <f t="shared" si="15"/>
        <v>958817.02</v>
      </c>
    </row>
    <row r="248" spans="1:19" x14ac:dyDescent="0.3">
      <c r="A248" t="s">
        <v>633</v>
      </c>
      <c r="B248" s="5" t="s">
        <v>106</v>
      </c>
      <c r="C248" s="6">
        <f t="shared" si="12"/>
        <v>45962</v>
      </c>
      <c r="D248" t="s">
        <v>31</v>
      </c>
      <c r="E248" t="s">
        <v>143</v>
      </c>
      <c r="F248" t="s">
        <v>45</v>
      </c>
      <c r="G248" t="s">
        <v>168</v>
      </c>
      <c r="H248" t="s">
        <v>35</v>
      </c>
      <c r="I248">
        <v>1980</v>
      </c>
      <c r="J248" s="7">
        <v>811.89</v>
      </c>
      <c r="K248" s="7">
        <v>1607542.2</v>
      </c>
      <c r="L248">
        <v>270</v>
      </c>
      <c r="M248" t="s">
        <v>367</v>
      </c>
      <c r="N248" s="6">
        <f t="shared" si="13"/>
        <v>45962</v>
      </c>
      <c r="O248" t="s">
        <v>367</v>
      </c>
      <c r="P248" t="str">
        <f t="shared" si="14"/>
        <v>November 2025</v>
      </c>
      <c r="Q248" t="s">
        <v>37</v>
      </c>
      <c r="R248" s="7">
        <v>16404.5</v>
      </c>
      <c r="S248" s="7">
        <f t="shared" si="15"/>
        <v>1623946.7</v>
      </c>
    </row>
    <row r="249" spans="1:19" x14ac:dyDescent="0.3">
      <c r="A249" t="s">
        <v>634</v>
      </c>
      <c r="B249" s="5" t="s">
        <v>208</v>
      </c>
      <c r="C249" s="6">
        <f t="shared" si="12"/>
        <v>45778</v>
      </c>
      <c r="D249" t="s">
        <v>21</v>
      </c>
      <c r="E249" t="s">
        <v>75</v>
      </c>
      <c r="F249" t="s">
        <v>45</v>
      </c>
      <c r="G249" t="s">
        <v>46</v>
      </c>
      <c r="H249" t="s">
        <v>132</v>
      </c>
      <c r="I249">
        <v>2424</v>
      </c>
      <c r="J249" s="7">
        <v>872.14</v>
      </c>
      <c r="K249" s="7">
        <v>2114067.36</v>
      </c>
      <c r="L249">
        <v>177</v>
      </c>
      <c r="M249" t="s">
        <v>209</v>
      </c>
      <c r="N249" s="6">
        <f t="shared" si="13"/>
        <v>45778</v>
      </c>
      <c r="O249" t="s">
        <v>278</v>
      </c>
      <c r="P249" t="str">
        <f t="shared" si="14"/>
        <v>June 2025</v>
      </c>
      <c r="Q249" t="s">
        <v>28</v>
      </c>
      <c r="R249" s="7">
        <v>9793.0400000000009</v>
      </c>
      <c r="S249" s="7">
        <f t="shared" si="15"/>
        <v>2123860.4</v>
      </c>
    </row>
    <row r="250" spans="1:19" x14ac:dyDescent="0.3">
      <c r="A250" t="s">
        <v>635</v>
      </c>
      <c r="B250" s="5" t="s">
        <v>51</v>
      </c>
      <c r="C250" s="6">
        <f t="shared" si="12"/>
        <v>45717</v>
      </c>
      <c r="D250" t="s">
        <v>109</v>
      </c>
      <c r="E250" t="s">
        <v>53</v>
      </c>
      <c r="F250" t="s">
        <v>59</v>
      </c>
      <c r="G250" t="s">
        <v>494</v>
      </c>
      <c r="H250" t="s">
        <v>47</v>
      </c>
      <c r="I250">
        <v>260</v>
      </c>
      <c r="J250" s="7">
        <v>566.11</v>
      </c>
      <c r="K250" s="7">
        <v>147188.6</v>
      </c>
      <c r="L250">
        <v>173</v>
      </c>
      <c r="M250" t="s">
        <v>56</v>
      </c>
      <c r="N250" s="6">
        <f t="shared" si="13"/>
        <v>45717</v>
      </c>
      <c r="O250" t="s">
        <v>56</v>
      </c>
      <c r="P250" t="str">
        <f t="shared" si="14"/>
        <v>March 2025</v>
      </c>
      <c r="Q250" t="s">
        <v>37</v>
      </c>
      <c r="R250" s="7">
        <v>6303.32</v>
      </c>
      <c r="S250" s="7">
        <f t="shared" si="15"/>
        <v>153491.92000000001</v>
      </c>
    </row>
    <row r="251" spans="1:19" x14ac:dyDescent="0.3">
      <c r="A251" t="s">
        <v>636</v>
      </c>
      <c r="B251" s="5" t="s">
        <v>212</v>
      </c>
      <c r="C251" s="6">
        <f t="shared" si="12"/>
        <v>45901</v>
      </c>
      <c r="D251" t="s">
        <v>109</v>
      </c>
      <c r="E251" t="s">
        <v>143</v>
      </c>
      <c r="F251" t="s">
        <v>59</v>
      </c>
      <c r="G251" t="s">
        <v>88</v>
      </c>
      <c r="H251" t="s">
        <v>61</v>
      </c>
      <c r="I251">
        <v>246</v>
      </c>
      <c r="J251" s="7">
        <v>823.81</v>
      </c>
      <c r="K251" s="7">
        <v>202657.26</v>
      </c>
      <c r="L251">
        <v>257</v>
      </c>
      <c r="M251" t="s">
        <v>162</v>
      </c>
      <c r="N251" s="6">
        <f t="shared" si="13"/>
        <v>45901</v>
      </c>
      <c r="O251" t="s">
        <v>162</v>
      </c>
      <c r="P251" t="str">
        <f t="shared" si="14"/>
        <v>September 2025</v>
      </c>
      <c r="Q251" t="s">
        <v>37</v>
      </c>
      <c r="R251" s="7">
        <v>11862.84</v>
      </c>
      <c r="S251" s="7">
        <f t="shared" si="15"/>
        <v>214520.1</v>
      </c>
    </row>
    <row r="252" spans="1:19" x14ac:dyDescent="0.3">
      <c r="A252" t="s">
        <v>637</v>
      </c>
      <c r="B252" s="5" t="s">
        <v>119</v>
      </c>
      <c r="C252" s="6">
        <f t="shared" si="12"/>
        <v>45992</v>
      </c>
      <c r="D252" t="s">
        <v>21</v>
      </c>
      <c r="E252" t="s">
        <v>143</v>
      </c>
      <c r="F252" t="s">
        <v>45</v>
      </c>
      <c r="G252" t="s">
        <v>222</v>
      </c>
      <c r="H252" t="s">
        <v>91</v>
      </c>
      <c r="I252">
        <v>928</v>
      </c>
      <c r="J252" s="7">
        <v>571.94000000000005</v>
      </c>
      <c r="K252" s="7">
        <v>530760.31999999995</v>
      </c>
      <c r="L252">
        <v>468</v>
      </c>
      <c r="M252" t="s">
        <v>420</v>
      </c>
      <c r="N252" s="6">
        <f t="shared" si="13"/>
        <v>45992</v>
      </c>
      <c r="O252" t="s">
        <v>122</v>
      </c>
      <c r="P252" t="str">
        <f t="shared" si="14"/>
        <v>December 2025</v>
      </c>
      <c r="Q252" t="s">
        <v>28</v>
      </c>
      <c r="R252" s="7">
        <v>27447.17</v>
      </c>
      <c r="S252" s="7">
        <f t="shared" si="15"/>
        <v>558207.49</v>
      </c>
    </row>
    <row r="253" spans="1:19" x14ac:dyDescent="0.3">
      <c r="A253" t="s">
        <v>638</v>
      </c>
      <c r="B253" s="5" t="s">
        <v>639</v>
      </c>
      <c r="C253" s="6">
        <f t="shared" si="12"/>
        <v>45962</v>
      </c>
      <c r="D253" t="s">
        <v>40</v>
      </c>
      <c r="E253" t="s">
        <v>75</v>
      </c>
      <c r="F253" t="s">
        <v>59</v>
      </c>
      <c r="G253" t="s">
        <v>159</v>
      </c>
      <c r="H253" t="s">
        <v>25</v>
      </c>
      <c r="I253">
        <v>645</v>
      </c>
      <c r="J253" s="7">
        <v>495.6</v>
      </c>
      <c r="K253" s="7">
        <v>319662</v>
      </c>
      <c r="L253">
        <v>241</v>
      </c>
      <c r="M253" t="s">
        <v>640</v>
      </c>
      <c r="N253" s="6">
        <f t="shared" si="13"/>
        <v>45962</v>
      </c>
      <c r="O253" t="s">
        <v>244</v>
      </c>
      <c r="P253" t="str">
        <f t="shared" si="14"/>
        <v>November 2025</v>
      </c>
      <c r="Q253" t="s">
        <v>28</v>
      </c>
      <c r="R253" s="7">
        <v>12007.22</v>
      </c>
      <c r="S253" s="7">
        <f t="shared" si="15"/>
        <v>331669.21999999997</v>
      </c>
    </row>
    <row r="254" spans="1:19" x14ac:dyDescent="0.3">
      <c r="A254" t="s">
        <v>641</v>
      </c>
      <c r="B254" s="5" t="s">
        <v>570</v>
      </c>
      <c r="C254" s="6">
        <f t="shared" si="12"/>
        <v>45778</v>
      </c>
      <c r="D254" t="s">
        <v>52</v>
      </c>
      <c r="E254" t="s">
        <v>75</v>
      </c>
      <c r="F254" t="s">
        <v>45</v>
      </c>
      <c r="G254" t="s">
        <v>66</v>
      </c>
      <c r="H254" t="s">
        <v>77</v>
      </c>
      <c r="I254">
        <v>1824</v>
      </c>
      <c r="J254" s="7">
        <v>119.92</v>
      </c>
      <c r="K254" s="7">
        <v>218734.07999999999</v>
      </c>
      <c r="L254">
        <v>284</v>
      </c>
      <c r="M254" t="s">
        <v>642</v>
      </c>
      <c r="N254" s="6">
        <f t="shared" si="13"/>
        <v>45778</v>
      </c>
      <c r="O254" t="s">
        <v>642</v>
      </c>
      <c r="P254" t="str">
        <f t="shared" si="14"/>
        <v>May 2025</v>
      </c>
      <c r="Q254" t="s">
        <v>37</v>
      </c>
      <c r="R254" s="7">
        <v>16580.939999999999</v>
      </c>
      <c r="S254" s="7">
        <f t="shared" si="15"/>
        <v>235315.02</v>
      </c>
    </row>
    <row r="255" spans="1:19" x14ac:dyDescent="0.3">
      <c r="A255" t="s">
        <v>643</v>
      </c>
      <c r="B255" s="5" t="s">
        <v>339</v>
      </c>
      <c r="C255" s="6">
        <f t="shared" si="12"/>
        <v>45839</v>
      </c>
      <c r="D255" t="s">
        <v>31</v>
      </c>
      <c r="E255" t="s">
        <v>22</v>
      </c>
      <c r="F255" t="s">
        <v>59</v>
      </c>
      <c r="G255" t="s">
        <v>227</v>
      </c>
      <c r="H255" t="s">
        <v>77</v>
      </c>
      <c r="I255">
        <v>646</v>
      </c>
      <c r="J255" s="7">
        <v>675.62</v>
      </c>
      <c r="K255" s="7">
        <v>436450.52</v>
      </c>
      <c r="L255">
        <v>587</v>
      </c>
      <c r="M255" t="s">
        <v>316</v>
      </c>
      <c r="N255" s="6">
        <f t="shared" si="13"/>
        <v>45839</v>
      </c>
      <c r="O255" t="s">
        <v>464</v>
      </c>
      <c r="P255" t="str">
        <f t="shared" si="14"/>
        <v>July 2025</v>
      </c>
      <c r="Q255" t="s">
        <v>28</v>
      </c>
      <c r="R255" s="7">
        <v>27883.51</v>
      </c>
      <c r="S255" s="7">
        <f t="shared" si="15"/>
        <v>464334.03</v>
      </c>
    </row>
    <row r="256" spans="1:19" x14ac:dyDescent="0.3">
      <c r="A256" t="s">
        <v>644</v>
      </c>
      <c r="B256" s="5" t="s">
        <v>645</v>
      </c>
      <c r="C256" s="6">
        <f t="shared" si="12"/>
        <v>45931</v>
      </c>
      <c r="D256" t="s">
        <v>52</v>
      </c>
      <c r="E256" t="s">
        <v>70</v>
      </c>
      <c r="F256" t="s">
        <v>59</v>
      </c>
      <c r="G256" t="s">
        <v>24</v>
      </c>
      <c r="H256" t="s">
        <v>47</v>
      </c>
      <c r="I256">
        <v>2059</v>
      </c>
      <c r="J256" s="7">
        <v>635.54999999999995</v>
      </c>
      <c r="K256" s="7">
        <v>1308597.45</v>
      </c>
      <c r="L256">
        <v>253</v>
      </c>
      <c r="M256" t="s">
        <v>306</v>
      </c>
      <c r="N256" s="6">
        <f t="shared" si="13"/>
        <v>45931</v>
      </c>
      <c r="O256" t="s">
        <v>516</v>
      </c>
      <c r="P256" t="str">
        <f t="shared" si="14"/>
        <v>October 2025</v>
      </c>
      <c r="Q256" t="s">
        <v>28</v>
      </c>
      <c r="R256" s="7">
        <v>13127.55</v>
      </c>
      <c r="S256" s="7">
        <f t="shared" si="15"/>
        <v>1321725</v>
      </c>
    </row>
    <row r="257" spans="1:19" x14ac:dyDescent="0.3">
      <c r="A257" t="s">
        <v>646</v>
      </c>
      <c r="B257" s="5" t="s">
        <v>395</v>
      </c>
      <c r="C257" s="6">
        <f t="shared" si="12"/>
        <v>45870</v>
      </c>
      <c r="D257" t="s">
        <v>96</v>
      </c>
      <c r="E257" t="s">
        <v>32</v>
      </c>
      <c r="F257" t="s">
        <v>23</v>
      </c>
      <c r="G257" t="s">
        <v>46</v>
      </c>
      <c r="H257" t="s">
        <v>155</v>
      </c>
      <c r="I257">
        <v>1322</v>
      </c>
      <c r="J257" s="7">
        <v>820.71</v>
      </c>
      <c r="K257" s="7">
        <v>1084978.6200000001</v>
      </c>
      <c r="L257">
        <v>380</v>
      </c>
      <c r="M257" t="s">
        <v>175</v>
      </c>
      <c r="N257" s="6">
        <f t="shared" si="13"/>
        <v>45901</v>
      </c>
      <c r="O257" t="s">
        <v>175</v>
      </c>
      <c r="P257" t="str">
        <f t="shared" si="14"/>
        <v>September 2025</v>
      </c>
      <c r="Q257" t="s">
        <v>37</v>
      </c>
      <c r="R257" s="7">
        <v>19509.810000000001</v>
      </c>
      <c r="S257" s="7">
        <f t="shared" si="15"/>
        <v>1104488.4300000002</v>
      </c>
    </row>
    <row r="258" spans="1:19" x14ac:dyDescent="0.3">
      <c r="A258" t="s">
        <v>647</v>
      </c>
      <c r="B258" s="5" t="s">
        <v>164</v>
      </c>
      <c r="C258" s="6">
        <f t="shared" si="12"/>
        <v>45901</v>
      </c>
      <c r="D258" t="s">
        <v>40</v>
      </c>
      <c r="E258" t="s">
        <v>70</v>
      </c>
      <c r="F258" t="s">
        <v>33</v>
      </c>
      <c r="G258" t="s">
        <v>159</v>
      </c>
      <c r="H258" t="s">
        <v>91</v>
      </c>
      <c r="I258">
        <v>1913</v>
      </c>
      <c r="J258" s="7">
        <v>527.52</v>
      </c>
      <c r="K258" s="7">
        <v>1009145.76</v>
      </c>
      <c r="L258">
        <v>448</v>
      </c>
      <c r="M258" t="s">
        <v>540</v>
      </c>
      <c r="N258" s="6">
        <f t="shared" si="13"/>
        <v>45901</v>
      </c>
      <c r="O258" t="s">
        <v>520</v>
      </c>
      <c r="P258" t="str">
        <f t="shared" si="14"/>
        <v>September 2025</v>
      </c>
      <c r="Q258" t="s">
        <v>28</v>
      </c>
      <c r="R258" s="7">
        <v>25723.88</v>
      </c>
      <c r="S258" s="7">
        <f t="shared" si="15"/>
        <v>1034869.64</v>
      </c>
    </row>
    <row r="259" spans="1:19" x14ac:dyDescent="0.3">
      <c r="A259" t="s">
        <v>648</v>
      </c>
      <c r="B259" s="5" t="s">
        <v>182</v>
      </c>
      <c r="C259" s="6">
        <f t="shared" ref="C259:C322" si="16">DATE(YEAR(B259), MONTH(B259), 1)</f>
        <v>45778</v>
      </c>
      <c r="D259" t="s">
        <v>109</v>
      </c>
      <c r="E259" t="s">
        <v>53</v>
      </c>
      <c r="F259" t="s">
        <v>33</v>
      </c>
      <c r="G259" t="s">
        <v>76</v>
      </c>
      <c r="H259" t="s">
        <v>123</v>
      </c>
      <c r="I259">
        <v>203</v>
      </c>
      <c r="J259" s="7">
        <v>690.48</v>
      </c>
      <c r="K259" s="7">
        <v>140167.44</v>
      </c>
      <c r="L259">
        <v>590</v>
      </c>
      <c r="M259" t="s">
        <v>183</v>
      </c>
      <c r="N259" s="6">
        <f t="shared" ref="N259:N322" si="17">DATE(YEAR(M259), MONTH(M259),1)</f>
        <v>45778</v>
      </c>
      <c r="O259" t="s">
        <v>440</v>
      </c>
      <c r="P259" t="str">
        <f t="shared" ref="P259:P322" si="18">TEXT(O259, "mmmm yyyy")</f>
        <v>May 2025</v>
      </c>
      <c r="Q259" t="s">
        <v>28</v>
      </c>
      <c r="R259" s="7">
        <v>32064.49</v>
      </c>
      <c r="S259" s="7">
        <f t="shared" ref="S259:S322" si="19">K259 +R259</f>
        <v>172231.93</v>
      </c>
    </row>
    <row r="260" spans="1:19" x14ac:dyDescent="0.3">
      <c r="A260" t="s">
        <v>649</v>
      </c>
      <c r="B260" s="5" t="s">
        <v>142</v>
      </c>
      <c r="C260" s="6">
        <f t="shared" si="16"/>
        <v>45809</v>
      </c>
      <c r="D260" t="s">
        <v>96</v>
      </c>
      <c r="E260" t="s">
        <v>70</v>
      </c>
      <c r="F260" t="s">
        <v>23</v>
      </c>
      <c r="G260" t="s">
        <v>283</v>
      </c>
      <c r="H260" t="s">
        <v>35</v>
      </c>
      <c r="I260">
        <v>1333</v>
      </c>
      <c r="J260" s="7">
        <v>723.7</v>
      </c>
      <c r="K260" s="7">
        <v>964692.1</v>
      </c>
      <c r="L260">
        <v>190</v>
      </c>
      <c r="M260" t="s">
        <v>331</v>
      </c>
      <c r="N260" s="6">
        <f t="shared" si="17"/>
        <v>45809</v>
      </c>
      <c r="O260" t="s">
        <v>331</v>
      </c>
      <c r="P260" t="str">
        <f t="shared" si="18"/>
        <v>June 2025</v>
      </c>
      <c r="Q260" t="s">
        <v>37</v>
      </c>
      <c r="R260" s="7">
        <v>8753.56</v>
      </c>
      <c r="S260" s="7">
        <f t="shared" si="19"/>
        <v>973445.66</v>
      </c>
    </row>
    <row r="261" spans="1:19" x14ac:dyDescent="0.3">
      <c r="A261" t="s">
        <v>650</v>
      </c>
      <c r="B261" s="5" t="s">
        <v>538</v>
      </c>
      <c r="C261" s="6">
        <f t="shared" si="16"/>
        <v>45839</v>
      </c>
      <c r="D261" t="s">
        <v>52</v>
      </c>
      <c r="E261" t="s">
        <v>143</v>
      </c>
      <c r="F261" t="s">
        <v>33</v>
      </c>
      <c r="G261" t="s">
        <v>163</v>
      </c>
      <c r="H261" t="s">
        <v>47</v>
      </c>
      <c r="I261">
        <v>1755</v>
      </c>
      <c r="J261" s="7">
        <v>767.92</v>
      </c>
      <c r="K261" s="7">
        <v>1347699.6</v>
      </c>
      <c r="L261">
        <v>352</v>
      </c>
      <c r="M261" t="s">
        <v>338</v>
      </c>
      <c r="N261" s="6">
        <f t="shared" si="17"/>
        <v>45839</v>
      </c>
      <c r="O261" t="s">
        <v>338</v>
      </c>
      <c r="P261" t="str">
        <f t="shared" si="18"/>
        <v>July 2025</v>
      </c>
      <c r="Q261" t="s">
        <v>37</v>
      </c>
      <c r="R261" s="7">
        <v>13825.56</v>
      </c>
      <c r="S261" s="7">
        <f t="shared" si="19"/>
        <v>1361525.1600000001</v>
      </c>
    </row>
    <row r="262" spans="1:19" x14ac:dyDescent="0.3">
      <c r="A262" t="s">
        <v>651</v>
      </c>
      <c r="B262" s="5" t="s">
        <v>301</v>
      </c>
      <c r="C262" s="6">
        <f t="shared" si="16"/>
        <v>45809</v>
      </c>
      <c r="D262" t="s">
        <v>52</v>
      </c>
      <c r="E262" t="s">
        <v>75</v>
      </c>
      <c r="F262" t="s">
        <v>59</v>
      </c>
      <c r="G262" t="s">
        <v>241</v>
      </c>
      <c r="H262" t="s">
        <v>155</v>
      </c>
      <c r="I262">
        <v>1733</v>
      </c>
      <c r="J262" s="7">
        <v>257.19</v>
      </c>
      <c r="K262" s="7">
        <v>445710.27</v>
      </c>
      <c r="L262">
        <v>257</v>
      </c>
      <c r="M262" t="s">
        <v>302</v>
      </c>
      <c r="N262" s="6">
        <f t="shared" si="17"/>
        <v>45809</v>
      </c>
      <c r="O262" t="s">
        <v>525</v>
      </c>
      <c r="P262" t="str">
        <f t="shared" si="18"/>
        <v>June 2025</v>
      </c>
      <c r="Q262" t="s">
        <v>28</v>
      </c>
      <c r="R262" s="7">
        <v>11065.42</v>
      </c>
      <c r="S262" s="7">
        <f t="shared" si="19"/>
        <v>456775.69</v>
      </c>
    </row>
    <row r="263" spans="1:19" x14ac:dyDescent="0.3">
      <c r="A263" t="s">
        <v>652</v>
      </c>
      <c r="B263" s="5" t="s">
        <v>653</v>
      </c>
      <c r="C263" s="6">
        <f t="shared" si="16"/>
        <v>45931</v>
      </c>
      <c r="D263" t="s">
        <v>40</v>
      </c>
      <c r="E263" t="s">
        <v>22</v>
      </c>
      <c r="F263" t="s">
        <v>45</v>
      </c>
      <c r="G263" t="s">
        <v>60</v>
      </c>
      <c r="H263" t="str">
        <f xml:space="preserve"> "Not Found"</f>
        <v>Not Found</v>
      </c>
      <c r="I263">
        <v>865</v>
      </c>
      <c r="J263" s="7">
        <v>603.63</v>
      </c>
      <c r="K263" s="7">
        <v>522139.95</v>
      </c>
      <c r="L263">
        <v>453</v>
      </c>
      <c r="M263" t="s">
        <v>234</v>
      </c>
      <c r="N263" s="6">
        <f t="shared" si="17"/>
        <v>45931</v>
      </c>
      <c r="O263" t="s">
        <v>235</v>
      </c>
      <c r="P263" t="str">
        <f t="shared" si="18"/>
        <v>November 2025</v>
      </c>
      <c r="Q263" t="s">
        <v>28</v>
      </c>
      <c r="R263" s="7">
        <v>22124.77</v>
      </c>
      <c r="S263" s="7">
        <f t="shared" si="19"/>
        <v>544264.72</v>
      </c>
    </row>
    <row r="264" spans="1:19" x14ac:dyDescent="0.3">
      <c r="A264" t="s">
        <v>654</v>
      </c>
      <c r="B264" s="5" t="s">
        <v>311</v>
      </c>
      <c r="C264" s="6">
        <f t="shared" si="16"/>
        <v>45962</v>
      </c>
      <c r="D264" t="s">
        <v>109</v>
      </c>
      <c r="E264" t="s">
        <v>143</v>
      </c>
      <c r="F264" t="s">
        <v>23</v>
      </c>
      <c r="G264" t="s">
        <v>71</v>
      </c>
      <c r="H264" t="s">
        <v>35</v>
      </c>
      <c r="I264">
        <v>1210</v>
      </c>
      <c r="J264" s="7">
        <v>214.67</v>
      </c>
      <c r="K264" s="7">
        <v>259750.7</v>
      </c>
      <c r="L264">
        <v>207</v>
      </c>
      <c r="M264" t="s">
        <v>361</v>
      </c>
      <c r="N264" s="6">
        <f t="shared" si="17"/>
        <v>45962</v>
      </c>
      <c r="O264" t="s">
        <v>361</v>
      </c>
      <c r="P264" t="str">
        <f t="shared" si="18"/>
        <v>November 2025</v>
      </c>
      <c r="Q264" t="s">
        <v>37</v>
      </c>
      <c r="R264" s="7">
        <v>10416.24</v>
      </c>
      <c r="S264" s="7">
        <f t="shared" si="19"/>
        <v>270166.94</v>
      </c>
    </row>
    <row r="265" spans="1:19" x14ac:dyDescent="0.3">
      <c r="A265" t="s">
        <v>655</v>
      </c>
      <c r="B265" s="5" t="s">
        <v>151</v>
      </c>
      <c r="C265" s="6">
        <f t="shared" si="16"/>
        <v>45689</v>
      </c>
      <c r="D265" t="s">
        <v>128</v>
      </c>
      <c r="E265" t="s">
        <v>70</v>
      </c>
      <c r="F265" t="s">
        <v>45</v>
      </c>
      <c r="G265" t="s">
        <v>88</v>
      </c>
      <c r="H265" t="s">
        <v>47</v>
      </c>
      <c r="I265">
        <v>1183</v>
      </c>
      <c r="J265" s="7">
        <v>805.26</v>
      </c>
      <c r="K265" s="7">
        <v>952622.58</v>
      </c>
      <c r="L265">
        <v>511</v>
      </c>
      <c r="M265" t="s">
        <v>486</v>
      </c>
      <c r="N265" s="6">
        <f t="shared" si="17"/>
        <v>45689</v>
      </c>
      <c r="O265" t="s">
        <v>629</v>
      </c>
      <c r="P265" t="str">
        <f t="shared" si="18"/>
        <v>February 2025</v>
      </c>
      <c r="Q265" t="s">
        <v>37</v>
      </c>
      <c r="R265" s="7">
        <v>28720.3</v>
      </c>
      <c r="S265" s="7">
        <f t="shared" si="19"/>
        <v>981342.88</v>
      </c>
    </row>
    <row r="266" spans="1:19" x14ac:dyDescent="0.3">
      <c r="A266" t="s">
        <v>656</v>
      </c>
      <c r="B266" s="5" t="s">
        <v>212</v>
      </c>
      <c r="C266" s="6">
        <f t="shared" si="16"/>
        <v>45901</v>
      </c>
      <c r="D266" t="s">
        <v>52</v>
      </c>
      <c r="E266" t="s">
        <v>143</v>
      </c>
      <c r="F266" t="s">
        <v>59</v>
      </c>
      <c r="G266" t="s">
        <v>71</v>
      </c>
      <c r="H266" t="s">
        <v>91</v>
      </c>
      <c r="I266">
        <v>2488</v>
      </c>
      <c r="J266" s="7">
        <v>783.38</v>
      </c>
      <c r="K266" s="7">
        <v>1949049.44</v>
      </c>
      <c r="L266">
        <v>85</v>
      </c>
      <c r="M266" t="s">
        <v>162</v>
      </c>
      <c r="N266" s="6">
        <f t="shared" si="17"/>
        <v>45901</v>
      </c>
      <c r="O266" t="s">
        <v>212</v>
      </c>
      <c r="P266" t="str">
        <f t="shared" si="18"/>
        <v>September 2025</v>
      </c>
      <c r="Q266" t="s">
        <v>37</v>
      </c>
      <c r="R266" s="7">
        <v>4858.6899999999996</v>
      </c>
      <c r="S266" s="7">
        <f t="shared" si="19"/>
        <v>1953908.13</v>
      </c>
    </row>
    <row r="267" spans="1:19" x14ac:dyDescent="0.3">
      <c r="A267" t="s">
        <v>657</v>
      </c>
      <c r="B267" s="5" t="s">
        <v>639</v>
      </c>
      <c r="C267" s="6">
        <f t="shared" si="16"/>
        <v>45962</v>
      </c>
      <c r="D267" t="s">
        <v>31</v>
      </c>
      <c r="E267" t="s">
        <v>70</v>
      </c>
      <c r="F267" t="s">
        <v>45</v>
      </c>
      <c r="G267" t="s">
        <v>241</v>
      </c>
      <c r="H267" t="s">
        <v>61</v>
      </c>
      <c r="I267">
        <v>1475</v>
      </c>
      <c r="J267" s="7">
        <v>484.23</v>
      </c>
      <c r="K267" s="7">
        <v>714239.25</v>
      </c>
      <c r="L267">
        <v>329</v>
      </c>
      <c r="M267" t="s">
        <v>640</v>
      </c>
      <c r="N267" s="6">
        <f t="shared" si="17"/>
        <v>45962</v>
      </c>
      <c r="O267" t="s">
        <v>239</v>
      </c>
      <c r="P267" t="str">
        <f t="shared" si="18"/>
        <v>November 2025</v>
      </c>
      <c r="Q267" t="s">
        <v>28</v>
      </c>
      <c r="R267" s="7">
        <v>11787.41</v>
      </c>
      <c r="S267" s="7">
        <f t="shared" si="19"/>
        <v>726026.66</v>
      </c>
    </row>
    <row r="268" spans="1:19" x14ac:dyDescent="0.3">
      <c r="A268" t="s">
        <v>658</v>
      </c>
      <c r="B268" s="5" t="s">
        <v>262</v>
      </c>
      <c r="C268" s="6">
        <f t="shared" si="16"/>
        <v>45748</v>
      </c>
      <c r="D268" t="s">
        <v>128</v>
      </c>
      <c r="E268" t="s">
        <v>75</v>
      </c>
      <c r="F268" t="s">
        <v>59</v>
      </c>
      <c r="G268" t="s">
        <v>54</v>
      </c>
      <c r="H268" t="s">
        <v>55</v>
      </c>
      <c r="I268">
        <v>1633</v>
      </c>
      <c r="J268" s="7">
        <v>672.94</v>
      </c>
      <c r="K268" s="7">
        <v>1098911.02</v>
      </c>
      <c r="L268">
        <v>713</v>
      </c>
      <c r="M268" t="s">
        <v>659</v>
      </c>
      <c r="N268" s="6">
        <f t="shared" si="17"/>
        <v>45748</v>
      </c>
      <c r="O268" t="s">
        <v>660</v>
      </c>
      <c r="P268" t="str">
        <f t="shared" si="18"/>
        <v>April 2025</v>
      </c>
      <c r="Q268" t="s">
        <v>28</v>
      </c>
      <c r="R268" s="7">
        <v>38729.94</v>
      </c>
      <c r="S268" s="7">
        <f t="shared" si="19"/>
        <v>1137640.96</v>
      </c>
    </row>
    <row r="269" spans="1:19" x14ac:dyDescent="0.3">
      <c r="A269" t="s">
        <v>661</v>
      </c>
      <c r="B269" s="5" t="s">
        <v>662</v>
      </c>
      <c r="C269" s="6">
        <f t="shared" si="16"/>
        <v>45689</v>
      </c>
      <c r="D269" t="s">
        <v>31</v>
      </c>
      <c r="E269" t="s">
        <v>143</v>
      </c>
      <c r="F269" t="s">
        <v>33</v>
      </c>
      <c r="G269" t="s">
        <v>34</v>
      </c>
      <c r="H269" t="s">
        <v>61</v>
      </c>
      <c r="I269">
        <v>364</v>
      </c>
      <c r="J269" s="7">
        <v>211.85</v>
      </c>
      <c r="K269" s="7">
        <v>77113.399999999994</v>
      </c>
      <c r="L269">
        <v>442</v>
      </c>
      <c r="M269" t="s">
        <v>36</v>
      </c>
      <c r="N269" s="6">
        <f t="shared" si="17"/>
        <v>45689</v>
      </c>
      <c r="O269" t="s">
        <v>30</v>
      </c>
      <c r="P269" t="str">
        <f t="shared" si="18"/>
        <v>February 2025</v>
      </c>
      <c r="Q269" t="s">
        <v>37</v>
      </c>
      <c r="R269" s="7">
        <v>17319.400000000001</v>
      </c>
      <c r="S269" s="7">
        <f t="shared" si="19"/>
        <v>94432.799999999988</v>
      </c>
    </row>
    <row r="270" spans="1:19" x14ac:dyDescent="0.3">
      <c r="A270" t="s">
        <v>663</v>
      </c>
      <c r="B270" s="5" t="s">
        <v>664</v>
      </c>
      <c r="C270" s="6">
        <f t="shared" si="16"/>
        <v>45658</v>
      </c>
      <c r="D270" t="s">
        <v>128</v>
      </c>
      <c r="E270" t="s">
        <v>22</v>
      </c>
      <c r="F270" t="s">
        <v>33</v>
      </c>
      <c r="G270" t="s">
        <v>24</v>
      </c>
      <c r="H270" t="s">
        <v>25</v>
      </c>
      <c r="I270">
        <v>455</v>
      </c>
      <c r="J270" s="7">
        <v>453.51</v>
      </c>
      <c r="K270" s="7">
        <v>206347.05</v>
      </c>
      <c r="L270">
        <v>399</v>
      </c>
      <c r="M270" t="s">
        <v>346</v>
      </c>
      <c r="N270" s="6">
        <f t="shared" si="17"/>
        <v>45658</v>
      </c>
      <c r="O270" t="s">
        <v>665</v>
      </c>
      <c r="P270" t="str">
        <f t="shared" si="18"/>
        <v>February 2025</v>
      </c>
      <c r="Q270" t="s">
        <v>28</v>
      </c>
      <c r="R270" s="7">
        <v>16992.349999999999</v>
      </c>
      <c r="S270" s="7">
        <f t="shared" si="19"/>
        <v>223339.4</v>
      </c>
    </row>
    <row r="271" spans="1:19" x14ac:dyDescent="0.3">
      <c r="A271" t="s">
        <v>666</v>
      </c>
      <c r="B271" s="5" t="s">
        <v>275</v>
      </c>
      <c r="C271" s="6">
        <f t="shared" si="16"/>
        <v>45717</v>
      </c>
      <c r="D271" t="s">
        <v>31</v>
      </c>
      <c r="E271" t="s">
        <v>143</v>
      </c>
      <c r="F271" t="s">
        <v>23</v>
      </c>
      <c r="G271" t="s">
        <v>168</v>
      </c>
      <c r="H271" t="s">
        <v>35</v>
      </c>
      <c r="I271">
        <v>813</v>
      </c>
      <c r="J271" s="7">
        <v>236.09</v>
      </c>
      <c r="K271" s="7">
        <v>191941.17</v>
      </c>
      <c r="L271">
        <v>363</v>
      </c>
      <c r="M271" t="s">
        <v>436</v>
      </c>
      <c r="N271" s="6">
        <f t="shared" si="17"/>
        <v>45717</v>
      </c>
      <c r="O271" t="s">
        <v>436</v>
      </c>
      <c r="P271" t="str">
        <f t="shared" si="18"/>
        <v>March 2025</v>
      </c>
      <c r="Q271" t="s">
        <v>37</v>
      </c>
      <c r="R271" s="7">
        <v>13116.94</v>
      </c>
      <c r="S271" s="7">
        <f t="shared" si="19"/>
        <v>205058.11000000002</v>
      </c>
    </row>
    <row r="272" spans="1:19" x14ac:dyDescent="0.3">
      <c r="A272" t="s">
        <v>667</v>
      </c>
      <c r="B272" s="5" t="s">
        <v>511</v>
      </c>
      <c r="C272" s="6">
        <f t="shared" si="16"/>
        <v>45778</v>
      </c>
      <c r="D272" t="s">
        <v>31</v>
      </c>
      <c r="E272" t="s">
        <v>143</v>
      </c>
      <c r="F272" t="s">
        <v>33</v>
      </c>
      <c r="G272" t="s">
        <v>76</v>
      </c>
      <c r="H272" t="s">
        <v>77</v>
      </c>
      <c r="I272">
        <v>688</v>
      </c>
      <c r="J272" s="7">
        <v>180.13</v>
      </c>
      <c r="K272" s="7">
        <v>123929.44</v>
      </c>
      <c r="L272">
        <v>537</v>
      </c>
      <c r="M272" t="s">
        <v>285</v>
      </c>
      <c r="N272" s="6">
        <f t="shared" si="17"/>
        <v>45778</v>
      </c>
      <c r="O272" t="s">
        <v>322</v>
      </c>
      <c r="P272" t="str">
        <f t="shared" si="18"/>
        <v>May 2025</v>
      </c>
      <c r="Q272" t="s">
        <v>28</v>
      </c>
      <c r="R272" s="7">
        <v>27327.86</v>
      </c>
      <c r="S272" s="7">
        <f t="shared" si="19"/>
        <v>151257.29999999999</v>
      </c>
    </row>
    <row r="273" spans="1:19" x14ac:dyDescent="0.3">
      <c r="A273" t="s">
        <v>668</v>
      </c>
      <c r="B273" s="5" t="s">
        <v>85</v>
      </c>
      <c r="C273" s="6">
        <f t="shared" si="16"/>
        <v>45748</v>
      </c>
      <c r="D273" t="s">
        <v>96</v>
      </c>
      <c r="E273" t="s">
        <v>53</v>
      </c>
      <c r="F273" t="s">
        <v>33</v>
      </c>
      <c r="G273" t="s">
        <v>86</v>
      </c>
      <c r="H273" t="s">
        <v>77</v>
      </c>
      <c r="I273">
        <v>1318</v>
      </c>
      <c r="J273" s="7">
        <v>769.48</v>
      </c>
      <c r="K273" s="7">
        <v>1014174.64</v>
      </c>
      <c r="L273">
        <v>388</v>
      </c>
      <c r="M273" t="s">
        <v>376</v>
      </c>
      <c r="N273" s="6">
        <f t="shared" si="17"/>
        <v>45748</v>
      </c>
      <c r="O273" t="s">
        <v>26</v>
      </c>
      <c r="P273" t="str">
        <f t="shared" si="18"/>
        <v>April 2025</v>
      </c>
      <c r="Q273" t="s">
        <v>37</v>
      </c>
      <c r="R273" s="7">
        <v>22387.99</v>
      </c>
      <c r="S273" s="7">
        <f t="shared" si="19"/>
        <v>1036562.63</v>
      </c>
    </row>
    <row r="274" spans="1:19" x14ac:dyDescent="0.3">
      <c r="A274" t="s">
        <v>669</v>
      </c>
      <c r="B274" s="5" t="s">
        <v>445</v>
      </c>
      <c r="C274" s="6">
        <f t="shared" si="16"/>
        <v>45809</v>
      </c>
      <c r="D274" t="s">
        <v>21</v>
      </c>
      <c r="E274" t="s">
        <v>70</v>
      </c>
      <c r="F274" t="s">
        <v>59</v>
      </c>
      <c r="G274" t="s">
        <v>71</v>
      </c>
      <c r="H274" t="s">
        <v>91</v>
      </c>
      <c r="I274">
        <v>1347</v>
      </c>
      <c r="J274" s="7">
        <v>97.27</v>
      </c>
      <c r="K274" s="7">
        <v>131022.69</v>
      </c>
      <c r="L274">
        <v>160</v>
      </c>
      <c r="M274" t="s">
        <v>197</v>
      </c>
      <c r="N274" s="6">
        <f t="shared" si="17"/>
        <v>45809</v>
      </c>
      <c r="O274" t="s">
        <v>197</v>
      </c>
      <c r="P274" t="str">
        <f t="shared" si="18"/>
        <v>June 2025</v>
      </c>
      <c r="Q274" t="s">
        <v>37</v>
      </c>
      <c r="R274" s="7">
        <v>9046.6</v>
      </c>
      <c r="S274" s="7">
        <f t="shared" si="19"/>
        <v>140069.29</v>
      </c>
    </row>
    <row r="275" spans="1:19" x14ac:dyDescent="0.3">
      <c r="A275" t="s">
        <v>670</v>
      </c>
      <c r="B275" s="5" t="s">
        <v>653</v>
      </c>
      <c r="C275" s="6">
        <f t="shared" si="16"/>
        <v>45931</v>
      </c>
      <c r="D275" t="s">
        <v>96</v>
      </c>
      <c r="E275" t="s">
        <v>22</v>
      </c>
      <c r="F275" t="s">
        <v>59</v>
      </c>
      <c r="G275" t="s">
        <v>241</v>
      </c>
      <c r="H275" t="s">
        <v>25</v>
      </c>
      <c r="I275">
        <v>1189</v>
      </c>
      <c r="J275" s="7">
        <v>798.59</v>
      </c>
      <c r="K275" s="7">
        <v>949523.51</v>
      </c>
      <c r="L275">
        <v>408</v>
      </c>
      <c r="M275" t="s">
        <v>234</v>
      </c>
      <c r="N275" s="6">
        <f t="shared" si="17"/>
        <v>45931</v>
      </c>
      <c r="O275" t="s">
        <v>234</v>
      </c>
      <c r="P275" t="str">
        <f t="shared" si="18"/>
        <v>October 2025</v>
      </c>
      <c r="Q275" t="s">
        <v>37</v>
      </c>
      <c r="R275" s="7">
        <v>15752.62</v>
      </c>
      <c r="S275" s="7">
        <f t="shared" si="19"/>
        <v>965276.13</v>
      </c>
    </row>
    <row r="276" spans="1:19" x14ac:dyDescent="0.3">
      <c r="A276" t="s">
        <v>671</v>
      </c>
      <c r="B276" s="5" t="s">
        <v>254</v>
      </c>
      <c r="C276" s="6">
        <f t="shared" si="16"/>
        <v>45901</v>
      </c>
      <c r="D276" t="s">
        <v>96</v>
      </c>
      <c r="E276" t="s">
        <v>143</v>
      </c>
      <c r="F276" t="s">
        <v>59</v>
      </c>
      <c r="G276" t="s">
        <v>60</v>
      </c>
      <c r="H276" t="s">
        <v>55</v>
      </c>
      <c r="I276">
        <v>2405</v>
      </c>
      <c r="J276" s="7">
        <v>134.6</v>
      </c>
      <c r="K276" s="7">
        <v>323713</v>
      </c>
      <c r="L276">
        <v>405</v>
      </c>
      <c r="M276" t="s">
        <v>672</v>
      </c>
      <c r="N276" s="6">
        <f t="shared" si="17"/>
        <v>45901</v>
      </c>
      <c r="O276" t="s">
        <v>672</v>
      </c>
      <c r="P276" t="str">
        <f t="shared" si="18"/>
        <v>September 2025</v>
      </c>
      <c r="Q276" t="s">
        <v>37</v>
      </c>
      <c r="R276" s="7">
        <v>20676.8</v>
      </c>
      <c r="S276" s="7">
        <f t="shared" si="19"/>
        <v>344389.8</v>
      </c>
    </row>
    <row r="277" spans="1:19" x14ac:dyDescent="0.3">
      <c r="A277" t="s">
        <v>673</v>
      </c>
      <c r="B277" s="5" t="s">
        <v>251</v>
      </c>
      <c r="C277" s="6">
        <f t="shared" si="16"/>
        <v>45870</v>
      </c>
      <c r="D277" t="s">
        <v>109</v>
      </c>
      <c r="E277" t="s">
        <v>75</v>
      </c>
      <c r="F277" t="s">
        <v>23</v>
      </c>
      <c r="G277" t="s">
        <v>494</v>
      </c>
      <c r="H277" t="s">
        <v>55</v>
      </c>
      <c r="I277">
        <v>2005</v>
      </c>
      <c r="J277" s="7">
        <v>709.49</v>
      </c>
      <c r="K277" s="7">
        <v>1422527.45</v>
      </c>
      <c r="L277">
        <v>576</v>
      </c>
      <c r="M277" t="s">
        <v>228</v>
      </c>
      <c r="N277" s="6">
        <f t="shared" si="17"/>
        <v>45870</v>
      </c>
      <c r="O277" t="s">
        <v>228</v>
      </c>
      <c r="P277" t="str">
        <f t="shared" si="18"/>
        <v>August 2025</v>
      </c>
      <c r="Q277" t="s">
        <v>37</v>
      </c>
      <c r="R277" s="7">
        <v>20305.169999999998</v>
      </c>
      <c r="S277" s="7">
        <f t="shared" si="19"/>
        <v>1442832.6199999999</v>
      </c>
    </row>
    <row r="278" spans="1:19" x14ac:dyDescent="0.3">
      <c r="A278" t="s">
        <v>674</v>
      </c>
      <c r="B278" s="5" t="s">
        <v>500</v>
      </c>
      <c r="C278" s="6">
        <f t="shared" si="16"/>
        <v>45689</v>
      </c>
      <c r="D278" t="s">
        <v>52</v>
      </c>
      <c r="E278" t="s">
        <v>22</v>
      </c>
      <c r="F278" t="s">
        <v>23</v>
      </c>
      <c r="G278" t="s">
        <v>222</v>
      </c>
      <c r="H278" t="str">
        <f xml:space="preserve"> "Not Found"</f>
        <v>Not Found</v>
      </c>
      <c r="I278">
        <v>1880</v>
      </c>
      <c r="J278" s="7">
        <v>303.5</v>
      </c>
      <c r="K278" s="7">
        <v>570580</v>
      </c>
      <c r="L278">
        <v>234</v>
      </c>
      <c r="M278" t="s">
        <v>675</v>
      </c>
      <c r="N278" s="6">
        <f t="shared" si="17"/>
        <v>45689</v>
      </c>
      <c r="O278" t="s">
        <v>151</v>
      </c>
      <c r="P278" t="str">
        <f t="shared" si="18"/>
        <v>February 2025</v>
      </c>
      <c r="Q278" t="s">
        <v>28</v>
      </c>
      <c r="R278" s="7">
        <v>13353.53</v>
      </c>
      <c r="S278" s="7">
        <f t="shared" si="19"/>
        <v>583933.53</v>
      </c>
    </row>
    <row r="279" spans="1:19" x14ac:dyDescent="0.3">
      <c r="A279" t="s">
        <v>676</v>
      </c>
      <c r="B279" s="5" t="s">
        <v>250</v>
      </c>
      <c r="C279" s="6">
        <f t="shared" si="16"/>
        <v>45870</v>
      </c>
      <c r="D279" t="s">
        <v>21</v>
      </c>
      <c r="E279" t="s">
        <v>32</v>
      </c>
      <c r="F279" t="s">
        <v>59</v>
      </c>
      <c r="G279" t="s">
        <v>283</v>
      </c>
      <c r="H279" t="s">
        <v>91</v>
      </c>
      <c r="I279">
        <v>2200</v>
      </c>
      <c r="J279" s="7">
        <v>84.28</v>
      </c>
      <c r="K279" s="7">
        <v>185416</v>
      </c>
      <c r="L279">
        <v>95</v>
      </c>
      <c r="M279" t="s">
        <v>251</v>
      </c>
      <c r="N279" s="6">
        <f t="shared" si="17"/>
        <v>45870</v>
      </c>
      <c r="O279" t="s">
        <v>251</v>
      </c>
      <c r="P279" t="str">
        <f t="shared" si="18"/>
        <v>August 2025</v>
      </c>
      <c r="Q279" t="s">
        <v>37</v>
      </c>
      <c r="R279" s="7">
        <v>3964.55</v>
      </c>
      <c r="S279" s="7">
        <f t="shared" si="19"/>
        <v>189380.55</v>
      </c>
    </row>
    <row r="280" spans="1:19" x14ac:dyDescent="0.3">
      <c r="A280" t="s">
        <v>677</v>
      </c>
      <c r="B280" s="5" t="s">
        <v>178</v>
      </c>
      <c r="C280" s="6">
        <f t="shared" si="16"/>
        <v>45689</v>
      </c>
      <c r="D280" t="s">
        <v>96</v>
      </c>
      <c r="E280" t="s">
        <v>22</v>
      </c>
      <c r="F280" t="s">
        <v>23</v>
      </c>
      <c r="G280" t="s">
        <v>179</v>
      </c>
      <c r="H280" t="s">
        <v>61</v>
      </c>
      <c r="I280">
        <v>705</v>
      </c>
      <c r="J280" s="7">
        <v>517.53</v>
      </c>
      <c r="K280" s="7">
        <v>364858.65</v>
      </c>
      <c r="L280">
        <v>29</v>
      </c>
      <c r="M280" t="s">
        <v>180</v>
      </c>
      <c r="N280" s="6">
        <f t="shared" si="17"/>
        <v>45689</v>
      </c>
      <c r="O280" t="s">
        <v>469</v>
      </c>
      <c r="P280" t="str">
        <f t="shared" si="18"/>
        <v>February 2025</v>
      </c>
      <c r="Q280" t="s">
        <v>28</v>
      </c>
      <c r="R280" s="7">
        <v>1669.61</v>
      </c>
      <c r="S280" s="7">
        <f t="shared" si="19"/>
        <v>366528.26</v>
      </c>
    </row>
    <row r="281" spans="1:19" x14ac:dyDescent="0.3">
      <c r="A281" t="s">
        <v>678</v>
      </c>
      <c r="B281" s="5" t="s">
        <v>679</v>
      </c>
      <c r="C281" s="6">
        <f t="shared" si="16"/>
        <v>45717</v>
      </c>
      <c r="D281" t="s">
        <v>65</v>
      </c>
      <c r="E281" t="s">
        <v>32</v>
      </c>
      <c r="F281" t="s">
        <v>45</v>
      </c>
      <c r="G281" t="s">
        <v>60</v>
      </c>
      <c r="H281" t="s">
        <v>35</v>
      </c>
      <c r="I281">
        <v>1747</v>
      </c>
      <c r="J281" s="7">
        <v>553.15</v>
      </c>
      <c r="K281" s="7">
        <v>966353.05</v>
      </c>
      <c r="L281">
        <v>578</v>
      </c>
      <c r="M281" t="s">
        <v>680</v>
      </c>
      <c r="N281" s="6">
        <f t="shared" si="17"/>
        <v>45717</v>
      </c>
      <c r="O281" t="s">
        <v>453</v>
      </c>
      <c r="P281" t="str">
        <f t="shared" si="18"/>
        <v>March 2025</v>
      </c>
      <c r="Q281" t="s">
        <v>37</v>
      </c>
      <c r="R281" s="7">
        <v>24352.98</v>
      </c>
      <c r="S281" s="7">
        <f t="shared" si="19"/>
        <v>990706.03</v>
      </c>
    </row>
    <row r="282" spans="1:19" x14ac:dyDescent="0.3">
      <c r="A282" t="s">
        <v>681</v>
      </c>
      <c r="B282" s="5" t="s">
        <v>603</v>
      </c>
      <c r="C282" s="6">
        <f t="shared" si="16"/>
        <v>45717</v>
      </c>
      <c r="D282" t="s">
        <v>40</v>
      </c>
      <c r="E282" t="s">
        <v>53</v>
      </c>
      <c r="F282" t="s">
        <v>33</v>
      </c>
      <c r="G282" t="s">
        <v>34</v>
      </c>
      <c r="H282" t="s">
        <v>123</v>
      </c>
      <c r="I282">
        <v>189</v>
      </c>
      <c r="J282" s="7">
        <v>615.65</v>
      </c>
      <c r="K282" s="7">
        <v>116357.85</v>
      </c>
      <c r="L282">
        <v>389</v>
      </c>
      <c r="M282" t="s">
        <v>604</v>
      </c>
      <c r="N282" s="6">
        <f t="shared" si="17"/>
        <v>45717</v>
      </c>
      <c r="O282" t="s">
        <v>604</v>
      </c>
      <c r="P282" t="str">
        <f t="shared" si="18"/>
        <v>March 2025</v>
      </c>
      <c r="Q282" t="s">
        <v>37</v>
      </c>
      <c r="R282" s="7">
        <v>18401.64</v>
      </c>
      <c r="S282" s="7">
        <f t="shared" si="19"/>
        <v>134759.49</v>
      </c>
    </row>
    <row r="283" spans="1:19" x14ac:dyDescent="0.3">
      <c r="A283" t="s">
        <v>682</v>
      </c>
      <c r="B283" s="5" t="s">
        <v>129</v>
      </c>
      <c r="C283" s="6">
        <f t="shared" si="16"/>
        <v>45839</v>
      </c>
      <c r="D283" t="s">
        <v>52</v>
      </c>
      <c r="E283" t="s">
        <v>22</v>
      </c>
      <c r="F283" t="s">
        <v>33</v>
      </c>
      <c r="G283" t="s">
        <v>24</v>
      </c>
      <c r="H283" t="s">
        <v>77</v>
      </c>
      <c r="I283">
        <v>1172</v>
      </c>
      <c r="J283" s="7">
        <v>83.97</v>
      </c>
      <c r="K283" s="7">
        <v>98412.84</v>
      </c>
      <c r="L283">
        <v>387</v>
      </c>
      <c r="M283" t="s">
        <v>147</v>
      </c>
      <c r="N283" s="6">
        <f t="shared" si="17"/>
        <v>45839</v>
      </c>
      <c r="O283" t="s">
        <v>148</v>
      </c>
      <c r="P283" t="str">
        <f t="shared" si="18"/>
        <v>July 2025</v>
      </c>
      <c r="Q283" t="s">
        <v>28</v>
      </c>
      <c r="R283" s="7">
        <v>14331.64</v>
      </c>
      <c r="S283" s="7">
        <f t="shared" si="19"/>
        <v>112744.48</v>
      </c>
    </row>
    <row r="284" spans="1:19" x14ac:dyDescent="0.3">
      <c r="A284" t="s">
        <v>683</v>
      </c>
      <c r="B284" s="5" t="s">
        <v>278</v>
      </c>
      <c r="C284" s="6">
        <f t="shared" si="16"/>
        <v>45809</v>
      </c>
      <c r="D284" t="s">
        <v>96</v>
      </c>
      <c r="E284" t="s">
        <v>143</v>
      </c>
      <c r="F284" t="s">
        <v>33</v>
      </c>
      <c r="G284" t="s">
        <v>351</v>
      </c>
      <c r="H284" t="s">
        <v>55</v>
      </c>
      <c r="I284">
        <v>1687</v>
      </c>
      <c r="J284" s="7">
        <v>309.08</v>
      </c>
      <c r="K284" s="7">
        <v>521417.96</v>
      </c>
      <c r="L284">
        <v>621</v>
      </c>
      <c r="M284" t="s">
        <v>218</v>
      </c>
      <c r="N284" s="6">
        <f t="shared" si="17"/>
        <v>45809</v>
      </c>
      <c r="O284" t="s">
        <v>218</v>
      </c>
      <c r="P284" t="str">
        <f t="shared" si="18"/>
        <v>June 2025</v>
      </c>
      <c r="Q284" t="s">
        <v>37</v>
      </c>
      <c r="R284" s="7">
        <v>26939.5</v>
      </c>
      <c r="S284" s="7">
        <f t="shared" si="19"/>
        <v>548357.46</v>
      </c>
    </row>
    <row r="285" spans="1:19" x14ac:dyDescent="0.3">
      <c r="A285" t="s">
        <v>684</v>
      </c>
      <c r="B285" s="5" t="s">
        <v>125</v>
      </c>
      <c r="C285" s="6">
        <f t="shared" si="16"/>
        <v>45992</v>
      </c>
      <c r="D285" t="s">
        <v>52</v>
      </c>
      <c r="E285" t="s">
        <v>22</v>
      </c>
      <c r="F285" t="s">
        <v>59</v>
      </c>
      <c r="G285" t="s">
        <v>384</v>
      </c>
      <c r="H285" t="s">
        <v>25</v>
      </c>
      <c r="I285">
        <v>1751</v>
      </c>
      <c r="J285" s="7">
        <v>250.76</v>
      </c>
      <c r="K285" s="7">
        <v>439080.76</v>
      </c>
      <c r="L285">
        <v>67</v>
      </c>
      <c r="M285" t="s">
        <v>685</v>
      </c>
      <c r="N285" s="6">
        <f t="shared" si="17"/>
        <v>45992</v>
      </c>
      <c r="O285" t="s">
        <v>612</v>
      </c>
      <c r="P285" t="str">
        <f t="shared" si="18"/>
        <v>December 2025</v>
      </c>
      <c r="Q285" t="s">
        <v>28</v>
      </c>
      <c r="R285" s="7">
        <v>3790.78</v>
      </c>
      <c r="S285" s="7">
        <f t="shared" si="19"/>
        <v>442871.54000000004</v>
      </c>
    </row>
    <row r="286" spans="1:19" x14ac:dyDescent="0.3">
      <c r="A286" t="s">
        <v>686</v>
      </c>
      <c r="B286" s="5" t="s">
        <v>530</v>
      </c>
      <c r="C286" s="6">
        <f t="shared" si="16"/>
        <v>45748</v>
      </c>
      <c r="D286" t="s">
        <v>21</v>
      </c>
      <c r="E286" t="s">
        <v>143</v>
      </c>
      <c r="F286" t="s">
        <v>59</v>
      </c>
      <c r="G286" t="s">
        <v>172</v>
      </c>
      <c r="H286" t="str">
        <f xml:space="preserve"> "Not Found"</f>
        <v>Not Found</v>
      </c>
      <c r="I286">
        <v>994</v>
      </c>
      <c r="J286" s="7">
        <v>85.02</v>
      </c>
      <c r="K286" s="7">
        <v>84509.88</v>
      </c>
      <c r="L286">
        <v>534</v>
      </c>
      <c r="M286" t="s">
        <v>660</v>
      </c>
      <c r="N286" s="6">
        <f t="shared" si="17"/>
        <v>45748</v>
      </c>
      <c r="O286" t="s">
        <v>173</v>
      </c>
      <c r="P286" t="str">
        <f t="shared" si="18"/>
        <v>April 2025</v>
      </c>
      <c r="Q286" t="s">
        <v>28</v>
      </c>
      <c r="R286" s="7">
        <v>21876.7</v>
      </c>
      <c r="S286" s="7">
        <f t="shared" si="19"/>
        <v>106386.58</v>
      </c>
    </row>
    <row r="287" spans="1:19" x14ac:dyDescent="0.3">
      <c r="A287" t="s">
        <v>687</v>
      </c>
      <c r="B287" s="5" t="s">
        <v>242</v>
      </c>
      <c r="C287" s="6">
        <f t="shared" si="16"/>
        <v>45901</v>
      </c>
      <c r="D287" t="s">
        <v>128</v>
      </c>
      <c r="E287" t="s">
        <v>53</v>
      </c>
      <c r="F287" t="s">
        <v>23</v>
      </c>
      <c r="G287" t="s">
        <v>190</v>
      </c>
      <c r="H287" t="s">
        <v>61</v>
      </c>
      <c r="I287">
        <v>1902</v>
      </c>
      <c r="J287" s="7">
        <v>339.93</v>
      </c>
      <c r="K287" s="7">
        <v>646546.86</v>
      </c>
      <c r="L287">
        <v>603</v>
      </c>
      <c r="M287" t="s">
        <v>162</v>
      </c>
      <c r="N287" s="6">
        <f t="shared" si="17"/>
        <v>45901</v>
      </c>
      <c r="O287" t="s">
        <v>164</v>
      </c>
      <c r="P287" t="str">
        <f t="shared" si="18"/>
        <v>September 2025</v>
      </c>
      <c r="Q287" t="s">
        <v>28</v>
      </c>
      <c r="R287" s="7">
        <v>29884.21</v>
      </c>
      <c r="S287" s="7">
        <f t="shared" si="19"/>
        <v>676431.07</v>
      </c>
    </row>
    <row r="288" spans="1:19" x14ac:dyDescent="0.3">
      <c r="A288" t="s">
        <v>688</v>
      </c>
      <c r="B288" s="5" t="s">
        <v>689</v>
      </c>
      <c r="C288" s="6">
        <f t="shared" si="16"/>
        <v>45748</v>
      </c>
      <c r="D288" t="s">
        <v>65</v>
      </c>
      <c r="E288" t="s">
        <v>70</v>
      </c>
      <c r="F288" t="s">
        <v>59</v>
      </c>
      <c r="G288" t="s">
        <v>172</v>
      </c>
      <c r="H288" t="s">
        <v>123</v>
      </c>
      <c r="I288">
        <v>2077</v>
      </c>
      <c r="J288" s="7">
        <v>332.74</v>
      </c>
      <c r="K288" s="7">
        <v>691100.98</v>
      </c>
      <c r="L288">
        <v>455</v>
      </c>
      <c r="M288" t="s">
        <v>690</v>
      </c>
      <c r="N288" s="6">
        <f t="shared" si="17"/>
        <v>45748</v>
      </c>
      <c r="O288" t="s">
        <v>388</v>
      </c>
      <c r="P288" t="str">
        <f t="shared" si="18"/>
        <v>April 2025</v>
      </c>
      <c r="Q288" t="s">
        <v>37</v>
      </c>
      <c r="R288" s="7">
        <v>20568.919999999998</v>
      </c>
      <c r="S288" s="7">
        <f t="shared" si="19"/>
        <v>711669.9</v>
      </c>
    </row>
    <row r="289" spans="1:19" x14ac:dyDescent="0.3">
      <c r="A289" t="s">
        <v>691</v>
      </c>
      <c r="B289" s="5" t="s">
        <v>425</v>
      </c>
      <c r="C289" s="6">
        <f t="shared" si="16"/>
        <v>45839</v>
      </c>
      <c r="D289" t="s">
        <v>96</v>
      </c>
      <c r="E289" t="s">
        <v>70</v>
      </c>
      <c r="F289" t="s">
        <v>33</v>
      </c>
      <c r="G289" t="s">
        <v>168</v>
      </c>
      <c r="H289" t="s">
        <v>55</v>
      </c>
      <c r="I289">
        <v>2378</v>
      </c>
      <c r="J289" s="7">
        <v>458.19</v>
      </c>
      <c r="K289" s="7">
        <v>1089575.82</v>
      </c>
      <c r="L289">
        <v>470</v>
      </c>
      <c r="M289" t="s">
        <v>505</v>
      </c>
      <c r="N289" s="6">
        <f t="shared" si="17"/>
        <v>45839</v>
      </c>
      <c r="O289" t="s">
        <v>692</v>
      </c>
      <c r="P289" t="str">
        <f t="shared" si="18"/>
        <v>July 2025</v>
      </c>
      <c r="Q289" t="s">
        <v>28</v>
      </c>
      <c r="R289" s="7">
        <v>27971.83</v>
      </c>
      <c r="S289" s="7">
        <f t="shared" si="19"/>
        <v>1117547.6500000001</v>
      </c>
    </row>
    <row r="290" spans="1:19" x14ac:dyDescent="0.3">
      <c r="A290" t="s">
        <v>693</v>
      </c>
      <c r="B290" s="5" t="s">
        <v>355</v>
      </c>
      <c r="C290" s="6">
        <f t="shared" si="16"/>
        <v>45992</v>
      </c>
      <c r="D290" t="s">
        <v>96</v>
      </c>
      <c r="E290" t="s">
        <v>143</v>
      </c>
      <c r="F290" t="s">
        <v>59</v>
      </c>
      <c r="G290" t="s">
        <v>46</v>
      </c>
      <c r="H290" t="s">
        <v>123</v>
      </c>
      <c r="I290">
        <v>1451</v>
      </c>
      <c r="J290" s="7">
        <v>366.72</v>
      </c>
      <c r="K290" s="7">
        <v>532110.72</v>
      </c>
      <c r="L290">
        <v>554</v>
      </c>
      <c r="M290" t="s">
        <v>356</v>
      </c>
      <c r="N290" s="6">
        <f t="shared" si="17"/>
        <v>45992</v>
      </c>
      <c r="O290" t="s">
        <v>357</v>
      </c>
      <c r="P290" t="str">
        <f t="shared" si="18"/>
        <v>December 2025</v>
      </c>
      <c r="Q290" t="s">
        <v>28</v>
      </c>
      <c r="R290" s="7">
        <v>31638.27</v>
      </c>
      <c r="S290" s="7">
        <f t="shared" si="19"/>
        <v>563748.99</v>
      </c>
    </row>
    <row r="291" spans="1:19" x14ac:dyDescent="0.3">
      <c r="A291" t="s">
        <v>694</v>
      </c>
      <c r="B291" s="5" t="s">
        <v>129</v>
      </c>
      <c r="C291" s="6">
        <f t="shared" si="16"/>
        <v>45839</v>
      </c>
      <c r="D291" t="s">
        <v>109</v>
      </c>
      <c r="E291" t="s">
        <v>70</v>
      </c>
      <c r="F291" t="s">
        <v>45</v>
      </c>
      <c r="G291" t="s">
        <v>172</v>
      </c>
      <c r="H291" t="s">
        <v>155</v>
      </c>
      <c r="I291">
        <v>1166</v>
      </c>
      <c r="J291" s="7">
        <v>146.62</v>
      </c>
      <c r="K291" s="7">
        <v>170958.92</v>
      </c>
      <c r="L291">
        <v>434</v>
      </c>
      <c r="M291" t="s">
        <v>147</v>
      </c>
      <c r="N291" s="6">
        <f t="shared" si="17"/>
        <v>45839</v>
      </c>
      <c r="O291" t="s">
        <v>338</v>
      </c>
      <c r="P291" t="str">
        <f t="shared" si="18"/>
        <v>July 2025</v>
      </c>
      <c r="Q291" t="s">
        <v>37</v>
      </c>
      <c r="R291" s="7">
        <v>21033.39</v>
      </c>
      <c r="S291" s="7">
        <f t="shared" si="19"/>
        <v>191992.31</v>
      </c>
    </row>
    <row r="292" spans="1:19" x14ac:dyDescent="0.3">
      <c r="A292" t="s">
        <v>695</v>
      </c>
      <c r="B292" s="5" t="s">
        <v>204</v>
      </c>
      <c r="C292" s="6">
        <f t="shared" si="16"/>
        <v>45870</v>
      </c>
      <c r="D292" t="s">
        <v>65</v>
      </c>
      <c r="E292" t="s">
        <v>75</v>
      </c>
      <c r="F292" t="s">
        <v>59</v>
      </c>
      <c r="G292" t="s">
        <v>202</v>
      </c>
      <c r="H292" t="s">
        <v>91</v>
      </c>
      <c r="I292">
        <v>1656</v>
      </c>
      <c r="J292" s="7">
        <v>775.3</v>
      </c>
      <c r="K292" s="7">
        <v>1283896.8</v>
      </c>
      <c r="L292">
        <v>282</v>
      </c>
      <c r="M292" t="s">
        <v>696</v>
      </c>
      <c r="N292" s="6">
        <f t="shared" si="17"/>
        <v>45870</v>
      </c>
      <c r="O292" t="s">
        <v>267</v>
      </c>
      <c r="P292" t="str">
        <f t="shared" si="18"/>
        <v>August 2025</v>
      </c>
      <c r="Q292" t="s">
        <v>28</v>
      </c>
      <c r="R292" s="7">
        <v>15224.46</v>
      </c>
      <c r="S292" s="7">
        <f t="shared" si="19"/>
        <v>1299121.26</v>
      </c>
    </row>
    <row r="293" spans="1:19" x14ac:dyDescent="0.3">
      <c r="A293" t="s">
        <v>697</v>
      </c>
      <c r="B293" s="5" t="s">
        <v>411</v>
      </c>
      <c r="C293" s="6">
        <f t="shared" si="16"/>
        <v>45992</v>
      </c>
      <c r="D293" t="s">
        <v>96</v>
      </c>
      <c r="E293" t="s">
        <v>32</v>
      </c>
      <c r="F293" t="s">
        <v>33</v>
      </c>
      <c r="G293" t="s">
        <v>384</v>
      </c>
      <c r="H293" t="s">
        <v>155</v>
      </c>
      <c r="I293">
        <v>74</v>
      </c>
      <c r="J293" s="7">
        <v>580.32000000000005</v>
      </c>
      <c r="K293" s="7">
        <v>42943.68</v>
      </c>
      <c r="L293">
        <v>396</v>
      </c>
      <c r="M293" t="s">
        <v>334</v>
      </c>
      <c r="N293" s="6">
        <f t="shared" si="17"/>
        <v>45992</v>
      </c>
      <c r="O293" t="s">
        <v>334</v>
      </c>
      <c r="P293" t="str">
        <f t="shared" si="18"/>
        <v>December 2025</v>
      </c>
      <c r="Q293" t="s">
        <v>37</v>
      </c>
      <c r="R293" s="7">
        <v>22662.639999999999</v>
      </c>
      <c r="S293" s="7">
        <f t="shared" si="19"/>
        <v>65606.320000000007</v>
      </c>
    </row>
    <row r="294" spans="1:19" x14ac:dyDescent="0.3">
      <c r="A294" t="s">
        <v>698</v>
      </c>
      <c r="B294" s="5" t="s">
        <v>147</v>
      </c>
      <c r="C294" s="6">
        <f t="shared" si="16"/>
        <v>45839</v>
      </c>
      <c r="D294" t="s">
        <v>40</v>
      </c>
      <c r="E294" t="s">
        <v>32</v>
      </c>
      <c r="F294" t="s">
        <v>59</v>
      </c>
      <c r="G294" t="s">
        <v>76</v>
      </c>
      <c r="H294" t="s">
        <v>25</v>
      </c>
      <c r="I294">
        <v>1873</v>
      </c>
      <c r="J294" s="7">
        <v>856.2</v>
      </c>
      <c r="K294" s="7">
        <v>1603662.6</v>
      </c>
      <c r="L294">
        <v>342</v>
      </c>
      <c r="M294" t="s">
        <v>148</v>
      </c>
      <c r="N294" s="6">
        <f t="shared" si="17"/>
        <v>45839</v>
      </c>
      <c r="O294" t="s">
        <v>148</v>
      </c>
      <c r="P294" t="str">
        <f t="shared" si="18"/>
        <v>July 2025</v>
      </c>
      <c r="Q294" t="s">
        <v>37</v>
      </c>
      <c r="R294" s="7">
        <v>20080.990000000002</v>
      </c>
      <c r="S294" s="7">
        <f t="shared" si="19"/>
        <v>1623743.59</v>
      </c>
    </row>
    <row r="295" spans="1:19" x14ac:dyDescent="0.3">
      <c r="A295" t="s">
        <v>699</v>
      </c>
      <c r="B295" s="5" t="s">
        <v>30</v>
      </c>
      <c r="C295" s="6">
        <f t="shared" si="16"/>
        <v>45689</v>
      </c>
      <c r="D295" t="s">
        <v>40</v>
      </c>
      <c r="E295" t="s">
        <v>22</v>
      </c>
      <c r="F295" t="s">
        <v>23</v>
      </c>
      <c r="G295" t="s">
        <v>168</v>
      </c>
      <c r="H295" t="s">
        <v>55</v>
      </c>
      <c r="I295">
        <v>2105</v>
      </c>
      <c r="J295" s="7">
        <v>789.78</v>
      </c>
      <c r="K295" s="7">
        <v>1662486.9</v>
      </c>
      <c r="L295">
        <v>571</v>
      </c>
      <c r="M295" t="s">
        <v>431</v>
      </c>
      <c r="N295" s="6">
        <f t="shared" si="17"/>
        <v>45689</v>
      </c>
      <c r="O295" t="s">
        <v>150</v>
      </c>
      <c r="P295" t="str">
        <f t="shared" si="18"/>
        <v>February 2025</v>
      </c>
      <c r="Q295" t="s">
        <v>28</v>
      </c>
      <c r="R295" s="7">
        <v>22664.89</v>
      </c>
      <c r="S295" s="7">
        <f t="shared" si="19"/>
        <v>1685151.7899999998</v>
      </c>
    </row>
    <row r="296" spans="1:19" x14ac:dyDescent="0.3">
      <c r="A296" t="s">
        <v>700</v>
      </c>
      <c r="B296" s="5" t="s">
        <v>701</v>
      </c>
      <c r="C296" s="6">
        <f t="shared" si="16"/>
        <v>45809</v>
      </c>
      <c r="D296" t="s">
        <v>52</v>
      </c>
      <c r="E296" t="s">
        <v>22</v>
      </c>
      <c r="F296" t="s">
        <v>59</v>
      </c>
      <c r="G296" t="s">
        <v>76</v>
      </c>
      <c r="H296" t="s">
        <v>77</v>
      </c>
      <c r="I296">
        <v>953</v>
      </c>
      <c r="J296" s="7">
        <v>434.87</v>
      </c>
      <c r="K296" s="7">
        <v>414431.11</v>
      </c>
      <c r="L296">
        <v>197</v>
      </c>
      <c r="M296" t="s">
        <v>218</v>
      </c>
      <c r="N296" s="6">
        <f t="shared" si="17"/>
        <v>45809</v>
      </c>
      <c r="O296" t="s">
        <v>702</v>
      </c>
      <c r="P296" t="str">
        <f t="shared" si="18"/>
        <v>June 2025</v>
      </c>
      <c r="Q296" t="s">
        <v>28</v>
      </c>
      <c r="R296" s="7">
        <v>11557.94</v>
      </c>
      <c r="S296" s="7">
        <f t="shared" si="19"/>
        <v>425989.05</v>
      </c>
    </row>
    <row r="297" spans="1:19" x14ac:dyDescent="0.3">
      <c r="A297" t="s">
        <v>703</v>
      </c>
      <c r="B297" s="5" t="s">
        <v>704</v>
      </c>
      <c r="C297" s="6">
        <f t="shared" si="16"/>
        <v>45809</v>
      </c>
      <c r="D297" t="s">
        <v>52</v>
      </c>
      <c r="E297" t="s">
        <v>22</v>
      </c>
      <c r="F297" t="s">
        <v>33</v>
      </c>
      <c r="G297" t="s">
        <v>494</v>
      </c>
      <c r="H297" t="s">
        <v>77</v>
      </c>
      <c r="I297">
        <v>2286</v>
      </c>
      <c r="J297" s="7">
        <v>288.3</v>
      </c>
      <c r="K297" s="7">
        <v>659053.80000000005</v>
      </c>
      <c r="L297">
        <v>536</v>
      </c>
      <c r="M297" t="s">
        <v>588</v>
      </c>
      <c r="N297" s="6">
        <f t="shared" si="17"/>
        <v>45809</v>
      </c>
      <c r="O297" t="s">
        <v>588</v>
      </c>
      <c r="P297" t="str">
        <f t="shared" si="18"/>
        <v>June 2025</v>
      </c>
      <c r="Q297" t="s">
        <v>37</v>
      </c>
      <c r="R297" s="7">
        <v>18841.04</v>
      </c>
      <c r="S297" s="7">
        <f t="shared" si="19"/>
        <v>677894.84000000008</v>
      </c>
    </row>
    <row r="298" spans="1:19" x14ac:dyDescent="0.3">
      <c r="A298" t="s">
        <v>705</v>
      </c>
      <c r="B298" s="5" t="s">
        <v>156</v>
      </c>
      <c r="C298" s="6">
        <f t="shared" si="16"/>
        <v>45931</v>
      </c>
      <c r="D298" t="s">
        <v>31</v>
      </c>
      <c r="E298" t="s">
        <v>22</v>
      </c>
      <c r="F298" t="s">
        <v>59</v>
      </c>
      <c r="G298" t="s">
        <v>227</v>
      </c>
      <c r="H298" t="s">
        <v>35</v>
      </c>
      <c r="I298">
        <v>1959</v>
      </c>
      <c r="J298" s="7">
        <v>897.15</v>
      </c>
      <c r="K298" s="7">
        <v>1757516.85</v>
      </c>
      <c r="L298">
        <v>566</v>
      </c>
      <c r="M298" t="s">
        <v>645</v>
      </c>
      <c r="N298" s="6">
        <f t="shared" si="17"/>
        <v>45931</v>
      </c>
      <c r="O298" t="s">
        <v>645</v>
      </c>
      <c r="P298" t="str">
        <f t="shared" si="18"/>
        <v>October 2025</v>
      </c>
      <c r="Q298" t="s">
        <v>37</v>
      </c>
      <c r="R298" s="7">
        <v>21278.25</v>
      </c>
      <c r="S298" s="7">
        <f t="shared" si="19"/>
        <v>1778795.1</v>
      </c>
    </row>
    <row r="299" spans="1:19" x14ac:dyDescent="0.3">
      <c r="A299" t="s">
        <v>706</v>
      </c>
      <c r="B299" s="5" t="s">
        <v>507</v>
      </c>
      <c r="C299" s="6">
        <f t="shared" si="16"/>
        <v>45748</v>
      </c>
      <c r="D299" t="s">
        <v>21</v>
      </c>
      <c r="E299" t="s">
        <v>53</v>
      </c>
      <c r="F299" t="s">
        <v>33</v>
      </c>
      <c r="G299" t="s">
        <v>76</v>
      </c>
      <c r="H299" t="s">
        <v>132</v>
      </c>
      <c r="I299">
        <v>702</v>
      </c>
      <c r="J299" s="7">
        <v>474.32</v>
      </c>
      <c r="K299" s="7">
        <v>332972.64</v>
      </c>
      <c r="L299">
        <v>520</v>
      </c>
      <c r="M299" t="s">
        <v>85</v>
      </c>
      <c r="N299" s="6">
        <f t="shared" si="17"/>
        <v>45748</v>
      </c>
      <c r="O299" t="s">
        <v>377</v>
      </c>
      <c r="P299" t="str">
        <f t="shared" si="18"/>
        <v>May 2025</v>
      </c>
      <c r="Q299" t="s">
        <v>28</v>
      </c>
      <c r="R299" s="7">
        <v>21362.400000000001</v>
      </c>
      <c r="S299" s="7">
        <f t="shared" si="19"/>
        <v>354335.04000000004</v>
      </c>
    </row>
    <row r="300" spans="1:19" x14ac:dyDescent="0.3">
      <c r="A300" t="s">
        <v>707</v>
      </c>
      <c r="B300" s="5" t="s">
        <v>131</v>
      </c>
      <c r="C300" s="6">
        <f t="shared" si="16"/>
        <v>45748</v>
      </c>
      <c r="D300" t="s">
        <v>31</v>
      </c>
      <c r="E300" t="s">
        <v>75</v>
      </c>
      <c r="F300" t="s">
        <v>23</v>
      </c>
      <c r="G300" t="s">
        <v>138</v>
      </c>
      <c r="H300" t="s">
        <v>91</v>
      </c>
      <c r="I300">
        <v>117</v>
      </c>
      <c r="J300" s="7">
        <v>77.680000000000007</v>
      </c>
      <c r="K300" s="7">
        <v>9088.56</v>
      </c>
      <c r="L300">
        <v>675</v>
      </c>
      <c r="M300" t="s">
        <v>708</v>
      </c>
      <c r="N300" s="6">
        <f t="shared" si="17"/>
        <v>45748</v>
      </c>
      <c r="O300" t="s">
        <v>264</v>
      </c>
      <c r="P300" t="str">
        <f t="shared" si="18"/>
        <v>April 2025</v>
      </c>
      <c r="Q300" t="s">
        <v>28</v>
      </c>
      <c r="R300" s="7">
        <v>39787.040000000001</v>
      </c>
      <c r="S300" s="7">
        <f t="shared" si="19"/>
        <v>48875.6</v>
      </c>
    </row>
    <row r="301" spans="1:19" x14ac:dyDescent="0.3">
      <c r="A301" t="s">
        <v>709</v>
      </c>
      <c r="B301" s="5" t="s">
        <v>585</v>
      </c>
      <c r="C301" s="6">
        <f t="shared" si="16"/>
        <v>45901</v>
      </c>
      <c r="D301" t="s">
        <v>52</v>
      </c>
      <c r="E301" t="s">
        <v>22</v>
      </c>
      <c r="F301" t="s">
        <v>45</v>
      </c>
      <c r="G301" t="s">
        <v>227</v>
      </c>
      <c r="H301" t="s">
        <v>25</v>
      </c>
      <c r="I301">
        <v>1606</v>
      </c>
      <c r="J301" s="7">
        <v>389.69</v>
      </c>
      <c r="K301" s="7">
        <v>625842.14</v>
      </c>
      <c r="L301">
        <v>213</v>
      </c>
      <c r="M301" t="s">
        <v>482</v>
      </c>
      <c r="N301" s="6">
        <f t="shared" si="17"/>
        <v>45901</v>
      </c>
      <c r="O301" t="s">
        <v>482</v>
      </c>
      <c r="P301" t="str">
        <f t="shared" si="18"/>
        <v>September 2025</v>
      </c>
      <c r="Q301" t="s">
        <v>37</v>
      </c>
      <c r="R301" s="7">
        <v>12458.52</v>
      </c>
      <c r="S301" s="7">
        <f t="shared" si="19"/>
        <v>638300.66</v>
      </c>
    </row>
    <row r="302" spans="1:19" x14ac:dyDescent="0.3">
      <c r="A302" t="s">
        <v>710</v>
      </c>
      <c r="B302" s="5" t="s">
        <v>171</v>
      </c>
      <c r="C302" s="6">
        <f t="shared" si="16"/>
        <v>45748</v>
      </c>
      <c r="D302" t="s">
        <v>21</v>
      </c>
      <c r="E302" t="s">
        <v>53</v>
      </c>
      <c r="F302" t="s">
        <v>23</v>
      </c>
      <c r="G302" t="s">
        <v>60</v>
      </c>
      <c r="H302" t="s">
        <v>25</v>
      </c>
      <c r="I302">
        <v>1242</v>
      </c>
      <c r="J302" s="7">
        <v>238.4</v>
      </c>
      <c r="K302" s="7">
        <v>296092.79999999999</v>
      </c>
      <c r="L302">
        <v>31</v>
      </c>
      <c r="M302" t="s">
        <v>429</v>
      </c>
      <c r="N302" s="6">
        <f t="shared" si="17"/>
        <v>45748</v>
      </c>
      <c r="O302" t="s">
        <v>85</v>
      </c>
      <c r="P302" t="str">
        <f t="shared" si="18"/>
        <v>April 2025</v>
      </c>
      <c r="Q302" t="s">
        <v>28</v>
      </c>
      <c r="R302" s="7">
        <v>1127.1400000000001</v>
      </c>
      <c r="S302" s="7">
        <f t="shared" si="19"/>
        <v>297219.94</v>
      </c>
    </row>
    <row r="303" spans="1:19" x14ac:dyDescent="0.3">
      <c r="A303" t="s">
        <v>711</v>
      </c>
      <c r="B303" s="5" t="s">
        <v>701</v>
      </c>
      <c r="C303" s="6">
        <f t="shared" si="16"/>
        <v>45809</v>
      </c>
      <c r="D303" t="s">
        <v>65</v>
      </c>
      <c r="E303" t="s">
        <v>70</v>
      </c>
      <c r="F303" t="s">
        <v>33</v>
      </c>
      <c r="G303" t="s">
        <v>24</v>
      </c>
      <c r="H303" t="s">
        <v>91</v>
      </c>
      <c r="I303">
        <v>81</v>
      </c>
      <c r="J303" s="7">
        <v>201.46</v>
      </c>
      <c r="K303" s="7">
        <v>16318.26</v>
      </c>
      <c r="L303">
        <v>87</v>
      </c>
      <c r="M303" t="s">
        <v>218</v>
      </c>
      <c r="N303" s="6">
        <f t="shared" si="17"/>
        <v>45809</v>
      </c>
      <c r="O303" t="s">
        <v>365</v>
      </c>
      <c r="P303" t="str">
        <f t="shared" si="18"/>
        <v>June 2025</v>
      </c>
      <c r="Q303" t="s">
        <v>28</v>
      </c>
      <c r="R303" s="7">
        <v>3885.31</v>
      </c>
      <c r="S303" s="7">
        <f t="shared" si="19"/>
        <v>20203.57</v>
      </c>
    </row>
    <row r="304" spans="1:19" x14ac:dyDescent="0.3">
      <c r="A304" t="s">
        <v>712</v>
      </c>
      <c r="B304" s="5" t="s">
        <v>312</v>
      </c>
      <c r="C304" s="6">
        <f t="shared" si="16"/>
        <v>45962</v>
      </c>
      <c r="D304" t="s">
        <v>31</v>
      </c>
      <c r="E304" t="s">
        <v>22</v>
      </c>
      <c r="F304" t="s">
        <v>45</v>
      </c>
      <c r="G304" t="s">
        <v>172</v>
      </c>
      <c r="H304" t="s">
        <v>132</v>
      </c>
      <c r="I304">
        <v>218</v>
      </c>
      <c r="J304" s="7">
        <v>777.02</v>
      </c>
      <c r="K304" s="7">
        <v>169390.36</v>
      </c>
      <c r="L304">
        <v>63</v>
      </c>
      <c r="M304" t="s">
        <v>362</v>
      </c>
      <c r="N304" s="6">
        <f t="shared" si="17"/>
        <v>45962</v>
      </c>
      <c r="O304" t="s">
        <v>385</v>
      </c>
      <c r="P304" t="str">
        <f t="shared" si="18"/>
        <v>November 2025</v>
      </c>
      <c r="Q304" t="s">
        <v>28</v>
      </c>
      <c r="R304" s="7">
        <v>2346.67</v>
      </c>
      <c r="S304" s="7">
        <f t="shared" si="19"/>
        <v>171737.03</v>
      </c>
    </row>
    <row r="305" spans="1:19" x14ac:dyDescent="0.3">
      <c r="A305" t="s">
        <v>713</v>
      </c>
      <c r="B305" s="5" t="s">
        <v>117</v>
      </c>
      <c r="C305" s="6">
        <f t="shared" si="16"/>
        <v>45992</v>
      </c>
      <c r="D305" t="s">
        <v>65</v>
      </c>
      <c r="E305" t="s">
        <v>75</v>
      </c>
      <c r="F305" t="s">
        <v>23</v>
      </c>
      <c r="G305" t="s">
        <v>110</v>
      </c>
      <c r="H305" t="s">
        <v>123</v>
      </c>
      <c r="I305">
        <v>284</v>
      </c>
      <c r="J305" s="7">
        <v>729.32</v>
      </c>
      <c r="K305" s="7">
        <v>207126.88</v>
      </c>
      <c r="L305">
        <v>382</v>
      </c>
      <c r="M305" t="s">
        <v>490</v>
      </c>
      <c r="N305" s="6">
        <f t="shared" si="17"/>
        <v>45992</v>
      </c>
      <c r="O305" t="s">
        <v>490</v>
      </c>
      <c r="P305" t="str">
        <f t="shared" si="18"/>
        <v>December 2025</v>
      </c>
      <c r="Q305" t="s">
        <v>37</v>
      </c>
      <c r="R305" s="7">
        <v>20891.39</v>
      </c>
      <c r="S305" s="7">
        <f t="shared" si="19"/>
        <v>228018.27000000002</v>
      </c>
    </row>
    <row r="306" spans="1:19" x14ac:dyDescent="0.3">
      <c r="A306" t="s">
        <v>714</v>
      </c>
      <c r="B306" s="5" t="s">
        <v>162</v>
      </c>
      <c r="C306" s="6">
        <f t="shared" si="16"/>
        <v>45901</v>
      </c>
      <c r="D306" t="s">
        <v>128</v>
      </c>
      <c r="E306" t="s">
        <v>75</v>
      </c>
      <c r="F306" t="s">
        <v>45</v>
      </c>
      <c r="G306" t="s">
        <v>76</v>
      </c>
      <c r="H306" t="s">
        <v>91</v>
      </c>
      <c r="I306">
        <v>212</v>
      </c>
      <c r="J306" s="7">
        <v>144.59</v>
      </c>
      <c r="K306" s="7">
        <v>30653.08</v>
      </c>
      <c r="L306">
        <v>50</v>
      </c>
      <c r="M306" t="s">
        <v>164</v>
      </c>
      <c r="N306" s="6">
        <f t="shared" si="17"/>
        <v>45901</v>
      </c>
      <c r="O306" t="s">
        <v>520</v>
      </c>
      <c r="P306" t="str">
        <f t="shared" si="18"/>
        <v>September 2025</v>
      </c>
      <c r="Q306" t="s">
        <v>28</v>
      </c>
      <c r="R306" s="7">
        <v>2255.64</v>
      </c>
      <c r="S306" s="7">
        <f t="shared" si="19"/>
        <v>32908.720000000001</v>
      </c>
    </row>
    <row r="307" spans="1:19" x14ac:dyDescent="0.3">
      <c r="A307" t="s">
        <v>715</v>
      </c>
      <c r="B307" s="5" t="s">
        <v>293</v>
      </c>
      <c r="C307" s="6">
        <f t="shared" si="16"/>
        <v>45809</v>
      </c>
      <c r="D307" t="s">
        <v>31</v>
      </c>
      <c r="E307" t="s">
        <v>53</v>
      </c>
      <c r="F307" t="s">
        <v>45</v>
      </c>
      <c r="G307" t="s">
        <v>168</v>
      </c>
      <c r="H307" t="s">
        <v>47</v>
      </c>
      <c r="I307">
        <v>209</v>
      </c>
      <c r="J307" s="7">
        <v>504.59</v>
      </c>
      <c r="K307" s="7">
        <v>105459.31</v>
      </c>
      <c r="L307">
        <v>31</v>
      </c>
      <c r="M307" t="s">
        <v>365</v>
      </c>
      <c r="N307" s="6">
        <f t="shared" si="17"/>
        <v>45809</v>
      </c>
      <c r="O307" t="s">
        <v>404</v>
      </c>
      <c r="P307" t="str">
        <f t="shared" si="18"/>
        <v>June 2025</v>
      </c>
      <c r="Q307" t="s">
        <v>28</v>
      </c>
      <c r="R307" s="7">
        <v>1250.53</v>
      </c>
      <c r="S307" s="7">
        <f t="shared" si="19"/>
        <v>106709.84</v>
      </c>
    </row>
    <row r="308" spans="1:19" x14ac:dyDescent="0.3">
      <c r="A308" t="s">
        <v>716</v>
      </c>
      <c r="B308" s="5" t="s">
        <v>98</v>
      </c>
      <c r="C308" s="6">
        <f t="shared" si="16"/>
        <v>45839</v>
      </c>
      <c r="D308" t="s">
        <v>65</v>
      </c>
      <c r="E308" t="s">
        <v>53</v>
      </c>
      <c r="F308" t="s">
        <v>33</v>
      </c>
      <c r="G308" t="s">
        <v>118</v>
      </c>
      <c r="H308" t="s">
        <v>77</v>
      </c>
      <c r="I308">
        <v>2120</v>
      </c>
      <c r="J308" s="7">
        <v>759.06</v>
      </c>
      <c r="K308" s="7">
        <v>1609207.2</v>
      </c>
      <c r="L308">
        <v>524</v>
      </c>
      <c r="M308" t="s">
        <v>692</v>
      </c>
      <c r="N308" s="6">
        <f t="shared" si="17"/>
        <v>45839</v>
      </c>
      <c r="O308" t="s">
        <v>102</v>
      </c>
      <c r="P308" t="str">
        <f t="shared" si="18"/>
        <v>July 2025</v>
      </c>
      <c r="Q308" t="s">
        <v>28</v>
      </c>
      <c r="R308" s="7">
        <v>20168.64</v>
      </c>
      <c r="S308" s="7">
        <f t="shared" si="19"/>
        <v>1629375.8399999999</v>
      </c>
    </row>
    <row r="309" spans="1:19" x14ac:dyDescent="0.3">
      <c r="A309" t="s">
        <v>717</v>
      </c>
      <c r="B309" s="5" t="s">
        <v>580</v>
      </c>
      <c r="C309" s="6">
        <f t="shared" si="16"/>
        <v>45658</v>
      </c>
      <c r="D309" t="s">
        <v>21</v>
      </c>
      <c r="E309" t="s">
        <v>75</v>
      </c>
      <c r="F309" t="s">
        <v>45</v>
      </c>
      <c r="G309" t="s">
        <v>241</v>
      </c>
      <c r="H309" t="s">
        <v>25</v>
      </c>
      <c r="I309">
        <v>951</v>
      </c>
      <c r="J309" s="7">
        <v>558.27</v>
      </c>
      <c r="K309" s="7">
        <v>530914.77</v>
      </c>
      <c r="L309">
        <v>449</v>
      </c>
      <c r="M309" t="s">
        <v>328</v>
      </c>
      <c r="N309" s="6">
        <f t="shared" si="17"/>
        <v>45658</v>
      </c>
      <c r="O309" t="s">
        <v>328</v>
      </c>
      <c r="P309" t="str">
        <f t="shared" si="18"/>
        <v>January 2025</v>
      </c>
      <c r="Q309" t="s">
        <v>37</v>
      </c>
      <c r="R309" s="7">
        <v>27256.7</v>
      </c>
      <c r="S309" s="7">
        <f t="shared" si="19"/>
        <v>558171.47</v>
      </c>
    </row>
    <row r="310" spans="1:19" x14ac:dyDescent="0.3">
      <c r="A310" t="s">
        <v>718</v>
      </c>
      <c r="B310" s="5" t="s">
        <v>101</v>
      </c>
      <c r="C310" s="6">
        <f t="shared" si="16"/>
        <v>45839</v>
      </c>
      <c r="D310" t="s">
        <v>109</v>
      </c>
      <c r="E310" t="s">
        <v>53</v>
      </c>
      <c r="F310" t="s">
        <v>59</v>
      </c>
      <c r="G310" t="s">
        <v>283</v>
      </c>
      <c r="H310" t="s">
        <v>25</v>
      </c>
      <c r="I310">
        <v>1058</v>
      </c>
      <c r="J310" s="7">
        <v>697.08</v>
      </c>
      <c r="K310" s="7">
        <v>737510.64</v>
      </c>
      <c r="L310">
        <v>348</v>
      </c>
      <c r="M310" t="s">
        <v>466</v>
      </c>
      <c r="N310" s="6">
        <f t="shared" si="17"/>
        <v>45839</v>
      </c>
      <c r="O310" t="s">
        <v>342</v>
      </c>
      <c r="P310" t="str">
        <f t="shared" si="18"/>
        <v>July 2025</v>
      </c>
      <c r="Q310" t="s">
        <v>28</v>
      </c>
      <c r="R310" s="7">
        <v>12183.92</v>
      </c>
      <c r="S310" s="7">
        <f t="shared" si="19"/>
        <v>749694.56</v>
      </c>
    </row>
    <row r="311" spans="1:19" x14ac:dyDescent="0.3">
      <c r="A311" t="s">
        <v>719</v>
      </c>
      <c r="B311" s="5" t="s">
        <v>679</v>
      </c>
      <c r="C311" s="6">
        <f t="shared" si="16"/>
        <v>45717</v>
      </c>
      <c r="D311" t="s">
        <v>31</v>
      </c>
      <c r="E311" t="s">
        <v>143</v>
      </c>
      <c r="F311" t="s">
        <v>59</v>
      </c>
      <c r="G311" t="s">
        <v>110</v>
      </c>
      <c r="H311" t="s">
        <v>155</v>
      </c>
      <c r="I311">
        <v>187</v>
      </c>
      <c r="J311" s="7">
        <v>356.55</v>
      </c>
      <c r="K311" s="7">
        <v>66674.850000000006</v>
      </c>
      <c r="L311">
        <v>108</v>
      </c>
      <c r="M311" t="s">
        <v>453</v>
      </c>
      <c r="N311" s="6">
        <f t="shared" si="17"/>
        <v>45717</v>
      </c>
      <c r="O311" t="s">
        <v>679</v>
      </c>
      <c r="P311" t="str">
        <f t="shared" si="18"/>
        <v>March 2025</v>
      </c>
      <c r="Q311" t="s">
        <v>37</v>
      </c>
      <c r="R311" s="7">
        <v>4706.82</v>
      </c>
      <c r="S311" s="7">
        <f t="shared" si="19"/>
        <v>71381.670000000013</v>
      </c>
    </row>
    <row r="312" spans="1:19" x14ac:dyDescent="0.3">
      <c r="A312" t="s">
        <v>720</v>
      </c>
      <c r="B312" s="5" t="s">
        <v>129</v>
      </c>
      <c r="C312" s="6">
        <f t="shared" si="16"/>
        <v>45839</v>
      </c>
      <c r="D312" t="s">
        <v>31</v>
      </c>
      <c r="E312" t="s">
        <v>70</v>
      </c>
      <c r="F312" t="s">
        <v>45</v>
      </c>
      <c r="G312" t="s">
        <v>163</v>
      </c>
      <c r="H312" t="s">
        <v>35</v>
      </c>
      <c r="I312">
        <v>650</v>
      </c>
      <c r="J312" s="7">
        <v>49.63</v>
      </c>
      <c r="K312" s="7">
        <v>32259.5</v>
      </c>
      <c r="L312">
        <v>683</v>
      </c>
      <c r="M312" t="s">
        <v>147</v>
      </c>
      <c r="N312" s="6">
        <f t="shared" si="17"/>
        <v>45839</v>
      </c>
      <c r="O312" t="s">
        <v>147</v>
      </c>
      <c r="P312" t="str">
        <f t="shared" si="18"/>
        <v>July 2025</v>
      </c>
      <c r="Q312" t="s">
        <v>37</v>
      </c>
      <c r="R312" s="7">
        <v>35729.18</v>
      </c>
      <c r="S312" s="7">
        <f t="shared" si="19"/>
        <v>67988.679999999993</v>
      </c>
    </row>
    <row r="313" spans="1:19" x14ac:dyDescent="0.3">
      <c r="A313" t="s">
        <v>721</v>
      </c>
      <c r="B313" s="5" t="s">
        <v>429</v>
      </c>
      <c r="C313" s="6">
        <f t="shared" si="16"/>
        <v>45748</v>
      </c>
      <c r="D313" t="s">
        <v>128</v>
      </c>
      <c r="E313" t="s">
        <v>32</v>
      </c>
      <c r="F313" t="s">
        <v>59</v>
      </c>
      <c r="G313" t="s">
        <v>54</v>
      </c>
      <c r="H313" t="s">
        <v>61</v>
      </c>
      <c r="I313">
        <v>1827</v>
      </c>
      <c r="J313" s="7">
        <v>270.25</v>
      </c>
      <c r="K313" s="7">
        <v>493746.75</v>
      </c>
      <c r="L313">
        <v>209</v>
      </c>
      <c r="M313" t="s">
        <v>173</v>
      </c>
      <c r="N313" s="6">
        <f t="shared" si="17"/>
        <v>45748</v>
      </c>
      <c r="O313" t="s">
        <v>26</v>
      </c>
      <c r="P313" t="str">
        <f t="shared" si="18"/>
        <v>April 2025</v>
      </c>
      <c r="Q313" t="s">
        <v>28</v>
      </c>
      <c r="R313" s="7">
        <v>8390.1</v>
      </c>
      <c r="S313" s="7">
        <f t="shared" si="19"/>
        <v>502136.85</v>
      </c>
    </row>
    <row r="314" spans="1:19" x14ac:dyDescent="0.3">
      <c r="A314" t="s">
        <v>722</v>
      </c>
      <c r="B314" s="5" t="s">
        <v>367</v>
      </c>
      <c r="C314" s="6">
        <f t="shared" si="16"/>
        <v>45962</v>
      </c>
      <c r="D314" t="s">
        <v>52</v>
      </c>
      <c r="E314" t="s">
        <v>53</v>
      </c>
      <c r="F314" t="s">
        <v>23</v>
      </c>
      <c r="G314" t="s">
        <v>138</v>
      </c>
      <c r="H314" t="s">
        <v>132</v>
      </c>
      <c r="I314">
        <v>498</v>
      </c>
      <c r="J314" s="7">
        <v>425.51</v>
      </c>
      <c r="K314" s="7">
        <v>211903.98</v>
      </c>
      <c r="L314">
        <v>502</v>
      </c>
      <c r="M314" t="s">
        <v>186</v>
      </c>
      <c r="N314" s="6">
        <f t="shared" si="17"/>
        <v>45962</v>
      </c>
      <c r="O314" t="s">
        <v>185</v>
      </c>
      <c r="P314" t="str">
        <f t="shared" si="18"/>
        <v>November 2025</v>
      </c>
      <c r="Q314" t="s">
        <v>37</v>
      </c>
      <c r="R314" s="7">
        <v>26246.880000000001</v>
      </c>
      <c r="S314" s="7">
        <f t="shared" si="19"/>
        <v>238150.86000000002</v>
      </c>
    </row>
    <row r="315" spans="1:19" x14ac:dyDescent="0.3">
      <c r="A315" t="s">
        <v>723</v>
      </c>
      <c r="B315" s="5" t="s">
        <v>131</v>
      </c>
      <c r="C315" s="6">
        <f t="shared" si="16"/>
        <v>45748</v>
      </c>
      <c r="D315" t="s">
        <v>21</v>
      </c>
      <c r="E315" t="s">
        <v>32</v>
      </c>
      <c r="F315" t="s">
        <v>45</v>
      </c>
      <c r="G315" t="s">
        <v>168</v>
      </c>
      <c r="H315" t="s">
        <v>35</v>
      </c>
      <c r="I315">
        <v>1550</v>
      </c>
      <c r="J315" s="7">
        <v>600.89</v>
      </c>
      <c r="K315" s="7">
        <v>931379.5</v>
      </c>
      <c r="L315">
        <v>294</v>
      </c>
      <c r="M315" t="s">
        <v>133</v>
      </c>
      <c r="N315" s="6">
        <f t="shared" si="17"/>
        <v>45748</v>
      </c>
      <c r="O315" t="s">
        <v>264</v>
      </c>
      <c r="P315" t="str">
        <f t="shared" si="18"/>
        <v>April 2025</v>
      </c>
      <c r="Q315" t="s">
        <v>28</v>
      </c>
      <c r="R315" s="7">
        <v>16110.18</v>
      </c>
      <c r="S315" s="7">
        <f t="shared" si="19"/>
        <v>947489.68</v>
      </c>
    </row>
    <row r="316" spans="1:19" x14ac:dyDescent="0.3">
      <c r="A316" t="s">
        <v>724</v>
      </c>
      <c r="B316" s="5" t="s">
        <v>189</v>
      </c>
      <c r="C316" s="6">
        <f t="shared" si="16"/>
        <v>45931</v>
      </c>
      <c r="D316" t="s">
        <v>21</v>
      </c>
      <c r="E316" t="s">
        <v>22</v>
      </c>
      <c r="F316" t="s">
        <v>33</v>
      </c>
      <c r="G316" t="s">
        <v>24</v>
      </c>
      <c r="H316" t="s">
        <v>55</v>
      </c>
      <c r="I316">
        <v>2022</v>
      </c>
      <c r="J316" s="7">
        <v>661.42</v>
      </c>
      <c r="K316" s="7">
        <v>1337391.24</v>
      </c>
      <c r="L316">
        <v>155</v>
      </c>
      <c r="M316" t="s">
        <v>516</v>
      </c>
      <c r="N316" s="6">
        <f t="shared" si="17"/>
        <v>45931</v>
      </c>
      <c r="O316" t="s">
        <v>516</v>
      </c>
      <c r="P316" t="str">
        <f t="shared" si="18"/>
        <v>October 2025</v>
      </c>
      <c r="Q316" t="s">
        <v>37</v>
      </c>
      <c r="R316" s="7">
        <v>5831.07</v>
      </c>
      <c r="S316" s="7">
        <f t="shared" si="19"/>
        <v>1343222.31</v>
      </c>
    </row>
    <row r="317" spans="1:19" x14ac:dyDescent="0.3">
      <c r="A317" t="s">
        <v>725</v>
      </c>
      <c r="B317" s="5" t="s">
        <v>99</v>
      </c>
      <c r="C317" s="6">
        <f t="shared" si="16"/>
        <v>45839</v>
      </c>
      <c r="D317" t="s">
        <v>109</v>
      </c>
      <c r="E317" t="s">
        <v>143</v>
      </c>
      <c r="F317" t="s">
        <v>45</v>
      </c>
      <c r="G317" t="s">
        <v>110</v>
      </c>
      <c r="H317" t="s">
        <v>77</v>
      </c>
      <c r="I317">
        <v>1156</v>
      </c>
      <c r="J317" s="7">
        <v>81.89</v>
      </c>
      <c r="K317" s="7">
        <v>94664.84</v>
      </c>
      <c r="L317">
        <v>204</v>
      </c>
      <c r="M317" t="s">
        <v>692</v>
      </c>
      <c r="N317" s="6">
        <f t="shared" si="17"/>
        <v>45839</v>
      </c>
      <c r="O317" t="s">
        <v>101</v>
      </c>
      <c r="P317" t="str">
        <f t="shared" si="18"/>
        <v>July 2025</v>
      </c>
      <c r="Q317" t="s">
        <v>28</v>
      </c>
      <c r="R317" s="7">
        <v>10234.65</v>
      </c>
      <c r="S317" s="7">
        <f t="shared" si="19"/>
        <v>104899.48999999999</v>
      </c>
    </row>
    <row r="318" spans="1:19" x14ac:dyDescent="0.3">
      <c r="A318" t="s">
        <v>726</v>
      </c>
      <c r="B318" s="5" t="s">
        <v>333</v>
      </c>
      <c r="C318" s="6">
        <f t="shared" si="16"/>
        <v>45992</v>
      </c>
      <c r="D318" t="s">
        <v>96</v>
      </c>
      <c r="E318" t="s">
        <v>32</v>
      </c>
      <c r="F318" t="s">
        <v>45</v>
      </c>
      <c r="G318" t="s">
        <v>46</v>
      </c>
      <c r="H318" t="s">
        <v>77</v>
      </c>
      <c r="I318">
        <v>886</v>
      </c>
      <c r="J318" s="7">
        <v>532.80999999999995</v>
      </c>
      <c r="K318" s="7">
        <v>472069.66</v>
      </c>
      <c r="L318">
        <v>211</v>
      </c>
      <c r="M318" t="s">
        <v>334</v>
      </c>
      <c r="N318" s="6">
        <f t="shared" si="17"/>
        <v>45992</v>
      </c>
      <c r="O318" t="s">
        <v>545</v>
      </c>
      <c r="P318" t="str">
        <f t="shared" si="18"/>
        <v>December 2025</v>
      </c>
      <c r="Q318" t="s">
        <v>28</v>
      </c>
      <c r="R318" s="7">
        <v>10006.790000000001</v>
      </c>
      <c r="S318" s="7">
        <f t="shared" si="19"/>
        <v>482076.44999999995</v>
      </c>
    </row>
    <row r="319" spans="1:19" x14ac:dyDescent="0.3">
      <c r="A319" t="s">
        <v>727</v>
      </c>
      <c r="B319" s="5" t="s">
        <v>125</v>
      </c>
      <c r="C319" s="6">
        <f t="shared" si="16"/>
        <v>45992</v>
      </c>
      <c r="D319" t="s">
        <v>40</v>
      </c>
      <c r="E319" t="s">
        <v>75</v>
      </c>
      <c r="F319" t="s">
        <v>23</v>
      </c>
      <c r="G319" t="s">
        <v>159</v>
      </c>
      <c r="H319" t="s">
        <v>61</v>
      </c>
      <c r="I319">
        <v>897</v>
      </c>
      <c r="J319" s="7">
        <v>642.26</v>
      </c>
      <c r="K319" s="7">
        <v>576107.22</v>
      </c>
      <c r="L319">
        <v>481</v>
      </c>
      <c r="M319" t="s">
        <v>612</v>
      </c>
      <c r="N319" s="6">
        <f t="shared" si="17"/>
        <v>45992</v>
      </c>
      <c r="O319" t="s">
        <v>612</v>
      </c>
      <c r="P319" t="str">
        <f t="shared" si="18"/>
        <v>December 2025</v>
      </c>
      <c r="Q319" t="s">
        <v>37</v>
      </c>
      <c r="R319" s="7">
        <v>22394.91</v>
      </c>
      <c r="S319" s="7">
        <f t="shared" si="19"/>
        <v>598502.13</v>
      </c>
    </row>
    <row r="320" spans="1:19" x14ac:dyDescent="0.3">
      <c r="A320" t="s">
        <v>728</v>
      </c>
      <c r="B320" s="5" t="s">
        <v>191</v>
      </c>
      <c r="C320" s="6">
        <f t="shared" si="16"/>
        <v>45931</v>
      </c>
      <c r="D320" t="s">
        <v>31</v>
      </c>
      <c r="E320" t="s">
        <v>75</v>
      </c>
      <c r="F320" t="s">
        <v>59</v>
      </c>
      <c r="G320" t="s">
        <v>86</v>
      </c>
      <c r="H320" t="s">
        <v>91</v>
      </c>
      <c r="I320">
        <v>1093</v>
      </c>
      <c r="J320" s="7">
        <v>891.98</v>
      </c>
      <c r="K320" s="7">
        <v>974934.14</v>
      </c>
      <c r="L320">
        <v>386</v>
      </c>
      <c r="M320" t="s">
        <v>140</v>
      </c>
      <c r="N320" s="6">
        <f t="shared" si="17"/>
        <v>45931</v>
      </c>
      <c r="O320" t="s">
        <v>140</v>
      </c>
      <c r="P320" t="str">
        <f t="shared" si="18"/>
        <v>October 2025</v>
      </c>
      <c r="Q320" t="s">
        <v>37</v>
      </c>
      <c r="R320" s="7">
        <v>17999.77</v>
      </c>
      <c r="S320" s="7">
        <f t="shared" si="19"/>
        <v>992933.91</v>
      </c>
    </row>
    <row r="321" spans="1:19" x14ac:dyDescent="0.3">
      <c r="A321" t="s">
        <v>729</v>
      </c>
      <c r="B321" s="5" t="s">
        <v>195</v>
      </c>
      <c r="C321" s="6">
        <f t="shared" si="16"/>
        <v>45658</v>
      </c>
      <c r="D321" t="s">
        <v>52</v>
      </c>
      <c r="E321" t="s">
        <v>22</v>
      </c>
      <c r="F321" t="s">
        <v>59</v>
      </c>
      <c r="G321" t="s">
        <v>88</v>
      </c>
      <c r="H321" t="s">
        <v>155</v>
      </c>
      <c r="I321">
        <v>139</v>
      </c>
      <c r="J321" s="7">
        <v>496.28</v>
      </c>
      <c r="K321" s="7">
        <v>68982.92</v>
      </c>
      <c r="L321">
        <v>288</v>
      </c>
      <c r="M321" t="s">
        <v>215</v>
      </c>
      <c r="N321" s="6">
        <f t="shared" si="17"/>
        <v>45658</v>
      </c>
      <c r="O321" t="s">
        <v>215</v>
      </c>
      <c r="P321" t="str">
        <f t="shared" si="18"/>
        <v>January 2025</v>
      </c>
      <c r="Q321" t="s">
        <v>37</v>
      </c>
      <c r="R321" s="7">
        <v>15741.19</v>
      </c>
      <c r="S321" s="7">
        <f t="shared" si="19"/>
        <v>84724.11</v>
      </c>
    </row>
    <row r="322" spans="1:19" x14ac:dyDescent="0.3">
      <c r="A322" t="s">
        <v>730</v>
      </c>
      <c r="B322" s="5" t="s">
        <v>214</v>
      </c>
      <c r="C322" s="6">
        <f t="shared" si="16"/>
        <v>45658</v>
      </c>
      <c r="D322" t="s">
        <v>128</v>
      </c>
      <c r="E322" t="s">
        <v>32</v>
      </c>
      <c r="F322" t="s">
        <v>23</v>
      </c>
      <c r="G322" t="s">
        <v>118</v>
      </c>
      <c r="H322" t="s">
        <v>155</v>
      </c>
      <c r="I322">
        <v>1813</v>
      </c>
      <c r="J322" s="7">
        <v>269.47000000000003</v>
      </c>
      <c r="K322" s="7">
        <v>488549.11</v>
      </c>
      <c r="L322">
        <v>513</v>
      </c>
      <c r="M322" t="s">
        <v>215</v>
      </c>
      <c r="N322" s="6">
        <f t="shared" si="17"/>
        <v>45658</v>
      </c>
      <c r="O322" t="s">
        <v>320</v>
      </c>
      <c r="P322" t="str">
        <f t="shared" si="18"/>
        <v>January 2025</v>
      </c>
      <c r="Q322" t="s">
        <v>28</v>
      </c>
      <c r="R322" s="7">
        <v>19839.740000000002</v>
      </c>
      <c r="S322" s="7">
        <f t="shared" si="19"/>
        <v>508388.85</v>
      </c>
    </row>
    <row r="323" spans="1:19" x14ac:dyDescent="0.3">
      <c r="A323" t="s">
        <v>731</v>
      </c>
      <c r="B323" s="5" t="s">
        <v>248</v>
      </c>
      <c r="C323" s="6">
        <f t="shared" ref="C323:C386" si="20">DATE(YEAR(B323), MONTH(B323), 1)</f>
        <v>45962</v>
      </c>
      <c r="D323" t="s">
        <v>109</v>
      </c>
      <c r="E323" t="s">
        <v>70</v>
      </c>
      <c r="F323" t="s">
        <v>33</v>
      </c>
      <c r="G323" t="s">
        <v>168</v>
      </c>
      <c r="H323" t="s">
        <v>91</v>
      </c>
      <c r="I323">
        <v>527</v>
      </c>
      <c r="J323" s="7">
        <v>460.5</v>
      </c>
      <c r="K323" s="7">
        <v>242683.5</v>
      </c>
      <c r="L323">
        <v>557</v>
      </c>
      <c r="M323" t="s">
        <v>311</v>
      </c>
      <c r="N323" s="6">
        <f t="shared" ref="N323:N386" si="21">DATE(YEAR(M323), MONTH(M323),1)</f>
        <v>45962</v>
      </c>
      <c r="O323" t="s">
        <v>362</v>
      </c>
      <c r="P323" t="str">
        <f t="shared" ref="P323:P386" si="22">TEXT(O323, "mmmm yyyy")</f>
        <v>November 2025</v>
      </c>
      <c r="Q323" t="s">
        <v>28</v>
      </c>
      <c r="R323" s="7">
        <v>21731.52</v>
      </c>
      <c r="S323" s="7">
        <f t="shared" ref="S323:S386" si="23">K323 +R323</f>
        <v>264415.02</v>
      </c>
    </row>
    <row r="324" spans="1:19" x14ac:dyDescent="0.3">
      <c r="A324" t="s">
        <v>732</v>
      </c>
      <c r="B324" s="5" t="s">
        <v>355</v>
      </c>
      <c r="C324" s="6">
        <f t="shared" si="20"/>
        <v>45992</v>
      </c>
      <c r="D324" t="s">
        <v>109</v>
      </c>
      <c r="E324" t="s">
        <v>32</v>
      </c>
      <c r="F324" t="s">
        <v>45</v>
      </c>
      <c r="G324" t="s">
        <v>66</v>
      </c>
      <c r="H324" t="s">
        <v>35</v>
      </c>
      <c r="I324">
        <v>1177</v>
      </c>
      <c r="J324" s="7">
        <v>891.25</v>
      </c>
      <c r="K324" s="7">
        <v>1049001.25</v>
      </c>
      <c r="L324">
        <v>51</v>
      </c>
      <c r="M324" t="s">
        <v>230</v>
      </c>
      <c r="N324" s="6">
        <f t="shared" si="21"/>
        <v>45992</v>
      </c>
      <c r="O324" t="s">
        <v>356</v>
      </c>
      <c r="P324" t="str">
        <f t="shared" si="22"/>
        <v>December 2025</v>
      </c>
      <c r="Q324" t="s">
        <v>28</v>
      </c>
      <c r="R324" s="7">
        <v>2041.13</v>
      </c>
      <c r="S324" s="7">
        <f t="shared" si="23"/>
        <v>1051042.3799999999</v>
      </c>
    </row>
    <row r="325" spans="1:19" x14ac:dyDescent="0.3">
      <c r="A325" t="s">
        <v>733</v>
      </c>
      <c r="B325" s="5" t="s">
        <v>261</v>
      </c>
      <c r="C325" s="6">
        <f t="shared" si="20"/>
        <v>45748</v>
      </c>
      <c r="D325" t="s">
        <v>128</v>
      </c>
      <c r="E325" t="s">
        <v>22</v>
      </c>
      <c r="F325" t="s">
        <v>45</v>
      </c>
      <c r="G325" t="s">
        <v>179</v>
      </c>
      <c r="H325" t="s">
        <v>55</v>
      </c>
      <c r="I325">
        <v>410</v>
      </c>
      <c r="J325" s="7">
        <v>624.14</v>
      </c>
      <c r="K325" s="7">
        <v>255897.4</v>
      </c>
      <c r="L325">
        <v>288</v>
      </c>
      <c r="M325" t="s">
        <v>79</v>
      </c>
      <c r="N325" s="6">
        <f t="shared" si="21"/>
        <v>45748</v>
      </c>
      <c r="O325" t="s">
        <v>261</v>
      </c>
      <c r="P325" t="str">
        <f t="shared" si="22"/>
        <v>April 2025</v>
      </c>
      <c r="Q325" t="s">
        <v>37</v>
      </c>
      <c r="R325" s="7">
        <v>16658.89</v>
      </c>
      <c r="S325" s="7">
        <f t="shared" si="23"/>
        <v>272556.28999999998</v>
      </c>
    </row>
    <row r="326" spans="1:19" x14ac:dyDescent="0.3">
      <c r="A326" t="s">
        <v>734</v>
      </c>
      <c r="B326" s="5" t="s">
        <v>339</v>
      </c>
      <c r="C326" s="6">
        <f t="shared" si="20"/>
        <v>45839</v>
      </c>
      <c r="D326" t="s">
        <v>40</v>
      </c>
      <c r="E326" t="s">
        <v>32</v>
      </c>
      <c r="F326" t="s">
        <v>59</v>
      </c>
      <c r="G326" t="s">
        <v>24</v>
      </c>
      <c r="H326" t="s">
        <v>132</v>
      </c>
      <c r="I326">
        <v>129</v>
      </c>
      <c r="J326" s="7">
        <v>686.24</v>
      </c>
      <c r="K326" s="7">
        <v>88524.96</v>
      </c>
      <c r="L326">
        <v>258</v>
      </c>
      <c r="M326" t="s">
        <v>374</v>
      </c>
      <c r="N326" s="6">
        <f t="shared" si="21"/>
        <v>45839</v>
      </c>
      <c r="O326" t="s">
        <v>374</v>
      </c>
      <c r="P326" t="str">
        <f t="shared" si="22"/>
        <v>July 2025</v>
      </c>
      <c r="Q326" t="s">
        <v>37</v>
      </c>
      <c r="R326" s="7">
        <v>10112.51</v>
      </c>
      <c r="S326" s="7">
        <f t="shared" si="23"/>
        <v>98637.47</v>
      </c>
    </row>
    <row r="327" spans="1:19" x14ac:dyDescent="0.3">
      <c r="A327" t="s">
        <v>735</v>
      </c>
      <c r="B327" s="5" t="s">
        <v>736</v>
      </c>
      <c r="C327" s="6">
        <f t="shared" si="20"/>
        <v>45870</v>
      </c>
      <c r="D327" t="s">
        <v>31</v>
      </c>
      <c r="E327" t="s">
        <v>22</v>
      </c>
      <c r="F327" t="s">
        <v>33</v>
      </c>
      <c r="G327" t="s">
        <v>179</v>
      </c>
      <c r="H327" t="s">
        <v>55</v>
      </c>
      <c r="I327">
        <v>1357</v>
      </c>
      <c r="J327" s="7">
        <v>639.75</v>
      </c>
      <c r="K327" s="7">
        <v>868140.75</v>
      </c>
      <c r="L327">
        <v>280</v>
      </c>
      <c r="M327" t="s">
        <v>175</v>
      </c>
      <c r="N327" s="6">
        <f t="shared" si="21"/>
        <v>45901</v>
      </c>
      <c r="O327" t="s">
        <v>175</v>
      </c>
      <c r="P327" t="str">
        <f t="shared" si="22"/>
        <v>September 2025</v>
      </c>
      <c r="Q327" t="s">
        <v>37</v>
      </c>
      <c r="R327" s="7">
        <v>11432.8</v>
      </c>
      <c r="S327" s="7">
        <f t="shared" si="23"/>
        <v>879573.55</v>
      </c>
    </row>
    <row r="328" spans="1:19" x14ac:dyDescent="0.3">
      <c r="A328" t="s">
        <v>737</v>
      </c>
      <c r="B328" s="5" t="s">
        <v>593</v>
      </c>
      <c r="C328" s="6">
        <f t="shared" si="20"/>
        <v>45748</v>
      </c>
      <c r="D328" t="s">
        <v>40</v>
      </c>
      <c r="E328" t="s">
        <v>32</v>
      </c>
      <c r="F328" t="s">
        <v>45</v>
      </c>
      <c r="G328" t="s">
        <v>82</v>
      </c>
      <c r="H328" t="s">
        <v>55</v>
      </c>
      <c r="I328">
        <v>1434</v>
      </c>
      <c r="J328" s="7">
        <v>169.78</v>
      </c>
      <c r="K328" s="7">
        <v>243464.52</v>
      </c>
      <c r="L328">
        <v>414</v>
      </c>
      <c r="M328" t="s">
        <v>74</v>
      </c>
      <c r="N328" s="6">
        <f t="shared" si="21"/>
        <v>45748</v>
      </c>
      <c r="O328" t="s">
        <v>74</v>
      </c>
      <c r="P328" t="str">
        <f t="shared" si="22"/>
        <v>April 2025</v>
      </c>
      <c r="Q328" t="s">
        <v>37</v>
      </c>
      <c r="R328" s="7">
        <v>17973.05</v>
      </c>
      <c r="S328" s="7">
        <f t="shared" si="23"/>
        <v>261437.56999999998</v>
      </c>
    </row>
    <row r="329" spans="1:19" x14ac:dyDescent="0.3">
      <c r="A329" t="s">
        <v>738</v>
      </c>
      <c r="B329" s="5" t="s">
        <v>679</v>
      </c>
      <c r="C329" s="6">
        <f t="shared" si="20"/>
        <v>45717</v>
      </c>
      <c r="D329" t="s">
        <v>128</v>
      </c>
      <c r="E329" t="s">
        <v>32</v>
      </c>
      <c r="F329" t="s">
        <v>33</v>
      </c>
      <c r="G329" t="s">
        <v>97</v>
      </c>
      <c r="H329" t="s">
        <v>35</v>
      </c>
      <c r="I329">
        <v>1158</v>
      </c>
      <c r="J329" s="7">
        <v>415.86</v>
      </c>
      <c r="K329" s="7">
        <v>481565.88</v>
      </c>
      <c r="L329">
        <v>340</v>
      </c>
      <c r="M329" t="s">
        <v>453</v>
      </c>
      <c r="N329" s="6">
        <f t="shared" si="21"/>
        <v>45717</v>
      </c>
      <c r="O329" t="s">
        <v>739</v>
      </c>
      <c r="P329" t="str">
        <f t="shared" si="22"/>
        <v>March 2025</v>
      </c>
      <c r="Q329" t="s">
        <v>28</v>
      </c>
      <c r="R329" s="7">
        <v>13971.49</v>
      </c>
      <c r="S329" s="7">
        <f t="shared" si="23"/>
        <v>495537.37</v>
      </c>
    </row>
    <row r="330" spans="1:19" x14ac:dyDescent="0.3">
      <c r="A330" t="s">
        <v>740</v>
      </c>
      <c r="B330" s="5" t="s">
        <v>113</v>
      </c>
      <c r="C330" s="6">
        <f t="shared" si="20"/>
        <v>45809</v>
      </c>
      <c r="D330" t="s">
        <v>52</v>
      </c>
      <c r="E330" t="s">
        <v>75</v>
      </c>
      <c r="F330" t="s">
        <v>45</v>
      </c>
      <c r="G330" t="s">
        <v>351</v>
      </c>
      <c r="H330" t="s">
        <v>123</v>
      </c>
      <c r="I330">
        <v>912</v>
      </c>
      <c r="J330" s="7">
        <v>109.2</v>
      </c>
      <c r="K330" s="7">
        <v>99590.399999999994</v>
      </c>
      <c r="L330">
        <v>453</v>
      </c>
      <c r="M330" t="s">
        <v>115</v>
      </c>
      <c r="N330" s="6">
        <f t="shared" si="21"/>
        <v>45809</v>
      </c>
      <c r="O330" t="s">
        <v>741</v>
      </c>
      <c r="P330" t="str">
        <f t="shared" si="22"/>
        <v>June 2025</v>
      </c>
      <c r="Q330" t="s">
        <v>28</v>
      </c>
      <c r="R330" s="7">
        <v>22776.71</v>
      </c>
      <c r="S330" s="7">
        <f t="shared" si="23"/>
        <v>122367.10999999999</v>
      </c>
    </row>
    <row r="331" spans="1:19" x14ac:dyDescent="0.3">
      <c r="A331" t="s">
        <v>742</v>
      </c>
      <c r="B331" s="5" t="s">
        <v>618</v>
      </c>
      <c r="C331" s="6">
        <f t="shared" si="20"/>
        <v>45992</v>
      </c>
      <c r="D331" t="s">
        <v>40</v>
      </c>
      <c r="E331" t="s">
        <v>143</v>
      </c>
      <c r="F331" t="s">
        <v>45</v>
      </c>
      <c r="G331" t="s">
        <v>34</v>
      </c>
      <c r="H331" t="s">
        <v>47</v>
      </c>
      <c r="I331">
        <v>1618</v>
      </c>
      <c r="J331" s="7">
        <v>196.56</v>
      </c>
      <c r="K331" s="7">
        <v>318034.08</v>
      </c>
      <c r="L331">
        <v>315</v>
      </c>
      <c r="M331" t="s">
        <v>125</v>
      </c>
      <c r="N331" s="6">
        <f t="shared" si="21"/>
        <v>45992</v>
      </c>
      <c r="O331" t="s">
        <v>125</v>
      </c>
      <c r="P331" t="str">
        <f t="shared" si="22"/>
        <v>December 2025</v>
      </c>
      <c r="Q331" t="s">
        <v>37</v>
      </c>
      <c r="R331" s="7">
        <v>11800.4</v>
      </c>
      <c r="S331" s="7">
        <f t="shared" si="23"/>
        <v>329834.48000000004</v>
      </c>
    </row>
    <row r="332" spans="1:19" x14ac:dyDescent="0.3">
      <c r="A332" t="s">
        <v>743</v>
      </c>
      <c r="B332" s="5" t="s">
        <v>690</v>
      </c>
      <c r="C332" s="6">
        <f t="shared" si="20"/>
        <v>45748</v>
      </c>
      <c r="D332" t="s">
        <v>21</v>
      </c>
      <c r="E332" t="s">
        <v>70</v>
      </c>
      <c r="F332" t="s">
        <v>45</v>
      </c>
      <c r="G332" t="s">
        <v>283</v>
      </c>
      <c r="H332" t="s">
        <v>132</v>
      </c>
      <c r="I332">
        <v>2347</v>
      </c>
      <c r="J332" s="7">
        <v>868.81</v>
      </c>
      <c r="K332" s="7">
        <v>2039097.07</v>
      </c>
      <c r="L332">
        <v>264</v>
      </c>
      <c r="M332" t="s">
        <v>298</v>
      </c>
      <c r="N332" s="6">
        <f t="shared" si="21"/>
        <v>45748</v>
      </c>
      <c r="O332" t="s">
        <v>133</v>
      </c>
      <c r="P332" t="str">
        <f t="shared" si="22"/>
        <v>April 2025</v>
      </c>
      <c r="Q332" t="s">
        <v>28</v>
      </c>
      <c r="R332" s="7">
        <v>10699.24</v>
      </c>
      <c r="S332" s="7">
        <f t="shared" si="23"/>
        <v>2049796.31</v>
      </c>
    </row>
    <row r="333" spans="1:19" x14ac:dyDescent="0.3">
      <c r="A333" t="s">
        <v>744</v>
      </c>
      <c r="B333" s="5" t="s">
        <v>543</v>
      </c>
      <c r="C333" s="6">
        <f t="shared" si="20"/>
        <v>45809</v>
      </c>
      <c r="D333" t="s">
        <v>65</v>
      </c>
      <c r="E333" t="s">
        <v>53</v>
      </c>
      <c r="F333" t="s">
        <v>33</v>
      </c>
      <c r="G333" t="s">
        <v>222</v>
      </c>
      <c r="H333" t="s">
        <v>35</v>
      </c>
      <c r="I333">
        <v>1102</v>
      </c>
      <c r="J333" s="7">
        <v>350.25</v>
      </c>
      <c r="K333" s="7">
        <v>385975.5</v>
      </c>
      <c r="L333">
        <v>222</v>
      </c>
      <c r="M333" t="s">
        <v>588</v>
      </c>
      <c r="N333" s="6">
        <f t="shared" si="21"/>
        <v>45809</v>
      </c>
      <c r="O333" t="s">
        <v>301</v>
      </c>
      <c r="P333" t="str">
        <f t="shared" si="22"/>
        <v>June 2025</v>
      </c>
      <c r="Q333" t="s">
        <v>28</v>
      </c>
      <c r="R333" s="7">
        <v>8433.7800000000007</v>
      </c>
      <c r="S333" s="7">
        <f t="shared" si="23"/>
        <v>394409.28</v>
      </c>
    </row>
    <row r="334" spans="1:19" x14ac:dyDescent="0.3">
      <c r="A334" t="s">
        <v>745</v>
      </c>
      <c r="B334" s="5" t="s">
        <v>420</v>
      </c>
      <c r="C334" s="6">
        <f t="shared" si="20"/>
        <v>45992</v>
      </c>
      <c r="D334" t="s">
        <v>128</v>
      </c>
      <c r="E334" t="s">
        <v>75</v>
      </c>
      <c r="F334" t="s">
        <v>23</v>
      </c>
      <c r="G334" t="s">
        <v>82</v>
      </c>
      <c r="H334" t="s">
        <v>132</v>
      </c>
      <c r="I334">
        <v>1231</v>
      </c>
      <c r="J334" s="7">
        <v>254.76</v>
      </c>
      <c r="K334" s="7">
        <v>313609.56</v>
      </c>
      <c r="L334">
        <v>82</v>
      </c>
      <c r="M334" t="s">
        <v>746</v>
      </c>
      <c r="N334" s="6">
        <f t="shared" si="21"/>
        <v>45992</v>
      </c>
      <c r="O334" t="s">
        <v>420</v>
      </c>
      <c r="P334" t="str">
        <f t="shared" si="22"/>
        <v>December 2025</v>
      </c>
      <c r="Q334" t="s">
        <v>37</v>
      </c>
      <c r="R334" s="7">
        <v>4429.6099999999997</v>
      </c>
      <c r="S334" s="7">
        <f t="shared" si="23"/>
        <v>318039.17</v>
      </c>
    </row>
    <row r="335" spans="1:19" x14ac:dyDescent="0.3">
      <c r="A335" t="s">
        <v>747</v>
      </c>
      <c r="B335" s="5" t="s">
        <v>254</v>
      </c>
      <c r="C335" s="6">
        <f t="shared" si="20"/>
        <v>45901</v>
      </c>
      <c r="D335" t="s">
        <v>52</v>
      </c>
      <c r="E335" t="s">
        <v>143</v>
      </c>
      <c r="F335" t="s">
        <v>23</v>
      </c>
      <c r="G335" t="s">
        <v>46</v>
      </c>
      <c r="H335" t="s">
        <v>132</v>
      </c>
      <c r="I335">
        <v>1161</v>
      </c>
      <c r="J335" s="7">
        <v>761.8</v>
      </c>
      <c r="K335" s="7">
        <v>884449.8</v>
      </c>
      <c r="L335">
        <v>145</v>
      </c>
      <c r="M335" t="s">
        <v>255</v>
      </c>
      <c r="N335" s="6">
        <f t="shared" si="21"/>
        <v>45901</v>
      </c>
      <c r="O335" t="s">
        <v>254</v>
      </c>
      <c r="P335" t="str">
        <f t="shared" si="22"/>
        <v>September 2025</v>
      </c>
      <c r="Q335" t="s">
        <v>37</v>
      </c>
      <c r="R335" s="7">
        <v>5184.8900000000003</v>
      </c>
      <c r="S335" s="7">
        <f t="shared" si="23"/>
        <v>889634.69000000006</v>
      </c>
    </row>
    <row r="336" spans="1:19" x14ac:dyDescent="0.3">
      <c r="A336" t="s">
        <v>748</v>
      </c>
      <c r="B336" s="5" t="s">
        <v>259</v>
      </c>
      <c r="C336" s="6">
        <f t="shared" si="20"/>
        <v>45931</v>
      </c>
      <c r="D336" t="s">
        <v>109</v>
      </c>
      <c r="E336" t="s">
        <v>75</v>
      </c>
      <c r="F336" t="s">
        <v>59</v>
      </c>
      <c r="G336" t="s">
        <v>110</v>
      </c>
      <c r="H336" t="s">
        <v>123</v>
      </c>
      <c r="I336">
        <v>1180</v>
      </c>
      <c r="J336" s="7">
        <v>234.2</v>
      </c>
      <c r="K336" s="7">
        <v>276356</v>
      </c>
      <c r="L336">
        <v>449</v>
      </c>
      <c r="M336" t="s">
        <v>622</v>
      </c>
      <c r="N336" s="6">
        <f t="shared" si="21"/>
        <v>45931</v>
      </c>
      <c r="O336" t="s">
        <v>576</v>
      </c>
      <c r="P336" t="str">
        <f t="shared" si="22"/>
        <v>October 2025</v>
      </c>
      <c r="Q336" t="s">
        <v>37</v>
      </c>
      <c r="R336" s="7">
        <v>24530.22</v>
      </c>
      <c r="S336" s="7">
        <f t="shared" si="23"/>
        <v>300886.21999999997</v>
      </c>
    </row>
    <row r="337" spans="1:19" x14ac:dyDescent="0.3">
      <c r="A337" t="s">
        <v>749</v>
      </c>
      <c r="B337" s="5" t="s">
        <v>395</v>
      </c>
      <c r="C337" s="6">
        <f t="shared" si="20"/>
        <v>45870</v>
      </c>
      <c r="D337" t="s">
        <v>21</v>
      </c>
      <c r="E337" t="s">
        <v>143</v>
      </c>
      <c r="F337" t="s">
        <v>23</v>
      </c>
      <c r="G337" t="s">
        <v>97</v>
      </c>
      <c r="H337" t="s">
        <v>25</v>
      </c>
      <c r="I337">
        <v>565</v>
      </c>
      <c r="J337" s="7">
        <v>606.24</v>
      </c>
      <c r="K337" s="7">
        <v>342525.6</v>
      </c>
      <c r="L337">
        <v>149</v>
      </c>
      <c r="M337" t="s">
        <v>736</v>
      </c>
      <c r="N337" s="6">
        <f t="shared" si="21"/>
        <v>45870</v>
      </c>
      <c r="O337" t="s">
        <v>176</v>
      </c>
      <c r="P337" t="str">
        <f t="shared" si="22"/>
        <v>September 2025</v>
      </c>
      <c r="Q337" t="s">
        <v>28</v>
      </c>
      <c r="R337" s="7">
        <v>6294.86</v>
      </c>
      <c r="S337" s="7">
        <f t="shared" si="23"/>
        <v>348820.45999999996</v>
      </c>
    </row>
    <row r="338" spans="1:19" x14ac:dyDescent="0.3">
      <c r="A338" t="s">
        <v>750</v>
      </c>
      <c r="B338" s="5" t="s">
        <v>645</v>
      </c>
      <c r="C338" s="6">
        <f t="shared" si="20"/>
        <v>45931</v>
      </c>
      <c r="D338" t="s">
        <v>52</v>
      </c>
      <c r="E338" t="s">
        <v>75</v>
      </c>
      <c r="F338" t="s">
        <v>23</v>
      </c>
      <c r="G338" t="s">
        <v>283</v>
      </c>
      <c r="H338" t="s">
        <v>61</v>
      </c>
      <c r="I338">
        <v>1004</v>
      </c>
      <c r="J338" s="7">
        <v>119.08</v>
      </c>
      <c r="K338" s="7">
        <v>119556.32</v>
      </c>
      <c r="L338">
        <v>717</v>
      </c>
      <c r="M338" t="s">
        <v>189</v>
      </c>
      <c r="N338" s="6">
        <f t="shared" si="21"/>
        <v>45931</v>
      </c>
      <c r="O338" t="s">
        <v>516</v>
      </c>
      <c r="P338" t="str">
        <f t="shared" si="22"/>
        <v>October 2025</v>
      </c>
      <c r="Q338" t="s">
        <v>28</v>
      </c>
      <c r="R338" s="7">
        <v>43845.25</v>
      </c>
      <c r="S338" s="7">
        <f t="shared" si="23"/>
        <v>163401.57</v>
      </c>
    </row>
    <row r="339" spans="1:19" x14ac:dyDescent="0.3">
      <c r="A339" t="s">
        <v>751</v>
      </c>
      <c r="B339" s="5" t="s">
        <v>708</v>
      </c>
      <c r="C339" s="6">
        <f t="shared" si="20"/>
        <v>45748</v>
      </c>
      <c r="D339" t="s">
        <v>65</v>
      </c>
      <c r="E339" t="s">
        <v>143</v>
      </c>
      <c r="F339" t="s">
        <v>59</v>
      </c>
      <c r="G339" t="s">
        <v>179</v>
      </c>
      <c r="H339" t="s">
        <v>35</v>
      </c>
      <c r="I339">
        <v>869</v>
      </c>
      <c r="J339" s="7">
        <v>806.62</v>
      </c>
      <c r="K339" s="7">
        <v>700952.78</v>
      </c>
      <c r="L339">
        <v>367</v>
      </c>
      <c r="M339" t="s">
        <v>593</v>
      </c>
      <c r="N339" s="6">
        <f t="shared" si="21"/>
        <v>45748</v>
      </c>
      <c r="O339" t="s">
        <v>262</v>
      </c>
      <c r="P339" t="str">
        <f t="shared" si="22"/>
        <v>April 2025</v>
      </c>
      <c r="Q339" t="s">
        <v>28</v>
      </c>
      <c r="R339" s="7">
        <v>22665.11</v>
      </c>
      <c r="S339" s="7">
        <f t="shared" si="23"/>
        <v>723617.89</v>
      </c>
    </row>
    <row r="340" spans="1:19" x14ac:dyDescent="0.3">
      <c r="A340" t="s">
        <v>752</v>
      </c>
      <c r="B340" s="5" t="s">
        <v>250</v>
      </c>
      <c r="C340" s="6">
        <f t="shared" si="20"/>
        <v>45870</v>
      </c>
      <c r="D340" t="s">
        <v>31</v>
      </c>
      <c r="E340" t="s">
        <v>70</v>
      </c>
      <c r="F340" t="s">
        <v>59</v>
      </c>
      <c r="G340" t="s">
        <v>118</v>
      </c>
      <c r="H340" t="s">
        <v>123</v>
      </c>
      <c r="I340">
        <v>372</v>
      </c>
      <c r="J340" s="7">
        <v>725.59</v>
      </c>
      <c r="K340" s="7">
        <v>269919.48</v>
      </c>
      <c r="L340">
        <v>237</v>
      </c>
      <c r="M340" t="s">
        <v>251</v>
      </c>
      <c r="N340" s="6">
        <f t="shared" si="21"/>
        <v>45870</v>
      </c>
      <c r="O340" t="s">
        <v>251</v>
      </c>
      <c r="P340" t="str">
        <f t="shared" si="22"/>
        <v>August 2025</v>
      </c>
      <c r="Q340" t="s">
        <v>37</v>
      </c>
      <c r="R340" s="7">
        <v>0</v>
      </c>
      <c r="S340" s="7">
        <f t="shared" si="23"/>
        <v>269919.48</v>
      </c>
    </row>
    <row r="341" spans="1:19" x14ac:dyDescent="0.3">
      <c r="A341" t="s">
        <v>753</v>
      </c>
      <c r="B341" s="5" t="s">
        <v>576</v>
      </c>
      <c r="C341" s="6">
        <f t="shared" si="20"/>
        <v>45931</v>
      </c>
      <c r="D341" t="s">
        <v>128</v>
      </c>
      <c r="E341" t="s">
        <v>22</v>
      </c>
      <c r="F341" t="s">
        <v>33</v>
      </c>
      <c r="G341" t="s">
        <v>351</v>
      </c>
      <c r="H341" t="s">
        <v>25</v>
      </c>
      <c r="I341">
        <v>551</v>
      </c>
      <c r="J341" s="7">
        <v>472.14</v>
      </c>
      <c r="K341" s="7">
        <v>260149.14</v>
      </c>
      <c r="L341">
        <v>609</v>
      </c>
      <c r="M341" t="s">
        <v>653</v>
      </c>
      <c r="N341" s="6">
        <f t="shared" si="21"/>
        <v>45931</v>
      </c>
      <c r="O341" t="s">
        <v>234</v>
      </c>
      <c r="P341" t="str">
        <f t="shared" si="22"/>
        <v>October 2025</v>
      </c>
      <c r="Q341" t="s">
        <v>28</v>
      </c>
      <c r="R341" s="7">
        <v>22776.240000000002</v>
      </c>
      <c r="S341" s="7">
        <f t="shared" si="23"/>
        <v>282925.38</v>
      </c>
    </row>
    <row r="342" spans="1:19" x14ac:dyDescent="0.3">
      <c r="A342" t="s">
        <v>754</v>
      </c>
      <c r="B342" s="5" t="s">
        <v>664</v>
      </c>
      <c r="C342" s="6">
        <f t="shared" si="20"/>
        <v>45658</v>
      </c>
      <c r="D342" t="s">
        <v>21</v>
      </c>
      <c r="E342" t="s">
        <v>70</v>
      </c>
      <c r="F342" t="s">
        <v>59</v>
      </c>
      <c r="G342" t="s">
        <v>34</v>
      </c>
      <c r="H342" t="s">
        <v>47</v>
      </c>
      <c r="I342">
        <v>1748</v>
      </c>
      <c r="J342" s="7">
        <v>770.57</v>
      </c>
      <c r="K342" s="7">
        <v>1346956.36</v>
      </c>
      <c r="L342">
        <v>63</v>
      </c>
      <c r="M342" t="s">
        <v>345</v>
      </c>
      <c r="N342" s="6">
        <f t="shared" si="21"/>
        <v>45658</v>
      </c>
      <c r="O342" t="s">
        <v>345</v>
      </c>
      <c r="P342" t="str">
        <f t="shared" si="22"/>
        <v>January 2025</v>
      </c>
      <c r="Q342" t="s">
        <v>37</v>
      </c>
      <c r="R342" s="7">
        <v>3643.96</v>
      </c>
      <c r="S342" s="7">
        <f t="shared" si="23"/>
        <v>1350600.32</v>
      </c>
    </row>
    <row r="343" spans="1:19" x14ac:dyDescent="0.3">
      <c r="A343" t="s">
        <v>755</v>
      </c>
      <c r="B343" s="5" t="s">
        <v>580</v>
      </c>
      <c r="C343" s="6">
        <f t="shared" si="20"/>
        <v>45658</v>
      </c>
      <c r="D343" t="s">
        <v>109</v>
      </c>
      <c r="E343" t="s">
        <v>75</v>
      </c>
      <c r="F343" t="s">
        <v>59</v>
      </c>
      <c r="G343" t="s">
        <v>46</v>
      </c>
      <c r="H343" t="s">
        <v>77</v>
      </c>
      <c r="I343">
        <v>2383</v>
      </c>
      <c r="J343" s="7">
        <v>175.55</v>
      </c>
      <c r="K343" s="7">
        <v>418335.65</v>
      </c>
      <c r="L343">
        <v>112</v>
      </c>
      <c r="M343" t="s">
        <v>48</v>
      </c>
      <c r="N343" s="6">
        <f t="shared" si="21"/>
        <v>45658</v>
      </c>
      <c r="O343" t="s">
        <v>328</v>
      </c>
      <c r="P343" t="str">
        <f t="shared" si="22"/>
        <v>January 2025</v>
      </c>
      <c r="Q343" t="s">
        <v>28</v>
      </c>
      <c r="R343" s="7">
        <v>6056.42</v>
      </c>
      <c r="S343" s="7">
        <f t="shared" si="23"/>
        <v>424392.07</v>
      </c>
    </row>
    <row r="344" spans="1:19" x14ac:dyDescent="0.3">
      <c r="A344" t="s">
        <v>756</v>
      </c>
      <c r="B344" s="5" t="s">
        <v>187</v>
      </c>
      <c r="C344" s="6">
        <f t="shared" si="20"/>
        <v>45962</v>
      </c>
      <c r="D344" t="s">
        <v>109</v>
      </c>
      <c r="E344" t="s">
        <v>75</v>
      </c>
      <c r="F344" t="s">
        <v>59</v>
      </c>
      <c r="G344" t="s">
        <v>54</v>
      </c>
      <c r="H344" t="s">
        <v>132</v>
      </c>
      <c r="I344">
        <v>1247</v>
      </c>
      <c r="J344" s="7">
        <v>558.28</v>
      </c>
      <c r="K344" s="7">
        <v>696175.16</v>
      </c>
      <c r="L344">
        <v>709</v>
      </c>
      <c r="M344" t="s">
        <v>312</v>
      </c>
      <c r="N344" s="6">
        <f t="shared" si="21"/>
        <v>45962</v>
      </c>
      <c r="O344" t="s">
        <v>39</v>
      </c>
      <c r="P344" t="str">
        <f t="shared" si="22"/>
        <v>November 2025</v>
      </c>
      <c r="Q344" t="s">
        <v>28</v>
      </c>
      <c r="R344" s="7">
        <v>26918.86</v>
      </c>
      <c r="S344" s="7">
        <f t="shared" si="23"/>
        <v>723094.02</v>
      </c>
    </row>
    <row r="345" spans="1:19" x14ac:dyDescent="0.3">
      <c r="A345" t="s">
        <v>757</v>
      </c>
      <c r="B345" s="5" t="s">
        <v>557</v>
      </c>
      <c r="C345" s="6">
        <f t="shared" si="20"/>
        <v>45870</v>
      </c>
      <c r="D345" t="s">
        <v>52</v>
      </c>
      <c r="E345" t="s">
        <v>70</v>
      </c>
      <c r="F345" t="s">
        <v>45</v>
      </c>
      <c r="G345" t="s">
        <v>66</v>
      </c>
      <c r="H345" t="s">
        <v>47</v>
      </c>
      <c r="I345">
        <v>1514</v>
      </c>
      <c r="J345" s="7">
        <v>202.57</v>
      </c>
      <c r="K345" s="7">
        <v>306690.98</v>
      </c>
      <c r="L345">
        <v>614</v>
      </c>
      <c r="M345" t="s">
        <v>566</v>
      </c>
      <c r="N345" s="6">
        <f t="shared" si="21"/>
        <v>45870</v>
      </c>
      <c r="O345" t="s">
        <v>566</v>
      </c>
      <c r="P345" t="str">
        <f t="shared" si="22"/>
        <v>August 2025</v>
      </c>
      <c r="Q345" t="s">
        <v>37</v>
      </c>
      <c r="R345" s="7">
        <v>25631.59</v>
      </c>
      <c r="S345" s="7">
        <f t="shared" si="23"/>
        <v>332322.57</v>
      </c>
    </row>
    <row r="346" spans="1:19" x14ac:dyDescent="0.3">
      <c r="A346" t="s">
        <v>758</v>
      </c>
      <c r="B346" s="5" t="s">
        <v>197</v>
      </c>
      <c r="C346" s="6">
        <f t="shared" si="20"/>
        <v>45809</v>
      </c>
      <c r="D346" t="s">
        <v>128</v>
      </c>
      <c r="E346" t="s">
        <v>22</v>
      </c>
      <c r="F346" t="s">
        <v>33</v>
      </c>
      <c r="G346" t="s">
        <v>34</v>
      </c>
      <c r="H346" t="s">
        <v>35</v>
      </c>
      <c r="I346">
        <v>1120</v>
      </c>
      <c r="J346" s="7">
        <v>863.76</v>
      </c>
      <c r="K346" s="7">
        <v>967411.19999999995</v>
      </c>
      <c r="L346">
        <v>204</v>
      </c>
      <c r="M346" t="s">
        <v>741</v>
      </c>
      <c r="N346" s="6">
        <f t="shared" si="21"/>
        <v>45809</v>
      </c>
      <c r="O346" t="s">
        <v>160</v>
      </c>
      <c r="P346" t="str">
        <f t="shared" si="22"/>
        <v>June 2025</v>
      </c>
      <c r="Q346" t="s">
        <v>28</v>
      </c>
      <c r="R346" s="7">
        <v>9227.7900000000009</v>
      </c>
      <c r="S346" s="7">
        <f t="shared" si="23"/>
        <v>976638.99</v>
      </c>
    </row>
    <row r="347" spans="1:19" x14ac:dyDescent="0.3">
      <c r="A347" t="s">
        <v>759</v>
      </c>
      <c r="B347" s="5" t="s">
        <v>131</v>
      </c>
      <c r="C347" s="6">
        <f t="shared" si="20"/>
        <v>45748</v>
      </c>
      <c r="D347" t="s">
        <v>96</v>
      </c>
      <c r="E347" t="s">
        <v>32</v>
      </c>
      <c r="F347" t="s">
        <v>23</v>
      </c>
      <c r="G347" t="s">
        <v>163</v>
      </c>
      <c r="H347" t="s">
        <v>25</v>
      </c>
      <c r="I347">
        <v>1097</v>
      </c>
      <c r="J347" s="7">
        <v>333.09</v>
      </c>
      <c r="K347" s="7">
        <v>365399.73</v>
      </c>
      <c r="L347">
        <v>339</v>
      </c>
      <c r="M347" t="s">
        <v>133</v>
      </c>
      <c r="N347" s="6">
        <f t="shared" si="21"/>
        <v>45748</v>
      </c>
      <c r="O347" t="s">
        <v>593</v>
      </c>
      <c r="P347" t="str">
        <f t="shared" si="22"/>
        <v>April 2025</v>
      </c>
      <c r="Q347" t="s">
        <v>28</v>
      </c>
      <c r="R347" s="7">
        <v>20153.89</v>
      </c>
      <c r="S347" s="7">
        <f t="shared" si="23"/>
        <v>385553.62</v>
      </c>
    </row>
    <row r="348" spans="1:19" x14ac:dyDescent="0.3">
      <c r="A348" t="s">
        <v>760</v>
      </c>
      <c r="B348" s="5" t="s">
        <v>496</v>
      </c>
      <c r="C348" s="6">
        <f t="shared" si="20"/>
        <v>45689</v>
      </c>
      <c r="D348" t="s">
        <v>128</v>
      </c>
      <c r="E348" t="s">
        <v>75</v>
      </c>
      <c r="F348" t="s">
        <v>23</v>
      </c>
      <c r="G348" t="s">
        <v>159</v>
      </c>
      <c r="H348" t="s">
        <v>55</v>
      </c>
      <c r="I348">
        <v>2208</v>
      </c>
      <c r="J348" s="7">
        <v>431.28</v>
      </c>
      <c r="K348" s="7">
        <v>952266.23999999999</v>
      </c>
      <c r="L348">
        <v>305</v>
      </c>
      <c r="M348" t="s">
        <v>178</v>
      </c>
      <c r="N348" s="6">
        <f t="shared" si="21"/>
        <v>45689</v>
      </c>
      <c r="O348" t="s">
        <v>470</v>
      </c>
      <c r="P348" t="str">
        <f t="shared" si="22"/>
        <v>February 2025</v>
      </c>
      <c r="Q348" t="s">
        <v>28</v>
      </c>
      <c r="R348" s="7">
        <v>16662.259999999998</v>
      </c>
      <c r="S348" s="7">
        <f t="shared" si="23"/>
        <v>968928.5</v>
      </c>
    </row>
    <row r="349" spans="1:19" x14ac:dyDescent="0.3">
      <c r="A349" t="s">
        <v>761</v>
      </c>
      <c r="B349" s="5" t="s">
        <v>127</v>
      </c>
      <c r="C349" s="6">
        <f t="shared" si="20"/>
        <v>45839</v>
      </c>
      <c r="D349" t="s">
        <v>109</v>
      </c>
      <c r="E349" t="s">
        <v>53</v>
      </c>
      <c r="F349" t="s">
        <v>23</v>
      </c>
      <c r="G349" t="s">
        <v>384</v>
      </c>
      <c r="H349" t="s">
        <v>35</v>
      </c>
      <c r="I349">
        <v>1262</v>
      </c>
      <c r="J349" s="7">
        <v>633.92999999999995</v>
      </c>
      <c r="K349" s="7">
        <v>800019.66</v>
      </c>
      <c r="L349">
        <v>657</v>
      </c>
      <c r="M349" t="s">
        <v>129</v>
      </c>
      <c r="N349" s="6">
        <f t="shared" si="21"/>
        <v>45839</v>
      </c>
      <c r="O349" t="s">
        <v>148</v>
      </c>
      <c r="P349" t="str">
        <f t="shared" si="22"/>
        <v>July 2025</v>
      </c>
      <c r="Q349" t="s">
        <v>28</v>
      </c>
      <c r="R349" s="7">
        <v>30679.37</v>
      </c>
      <c r="S349" s="7">
        <f t="shared" si="23"/>
        <v>830699.03</v>
      </c>
    </row>
    <row r="350" spans="1:19" x14ac:dyDescent="0.3">
      <c r="A350" t="s">
        <v>762</v>
      </c>
      <c r="B350" s="5" t="s">
        <v>763</v>
      </c>
      <c r="C350" s="6">
        <f t="shared" si="20"/>
        <v>45931</v>
      </c>
      <c r="D350" t="s">
        <v>109</v>
      </c>
      <c r="E350" t="s">
        <v>53</v>
      </c>
      <c r="F350" t="s">
        <v>33</v>
      </c>
      <c r="G350" t="s">
        <v>97</v>
      </c>
      <c r="H350" t="s">
        <v>132</v>
      </c>
      <c r="I350">
        <v>720</v>
      </c>
      <c r="J350" s="7">
        <v>472.4</v>
      </c>
      <c r="K350" s="7">
        <v>340128</v>
      </c>
      <c r="L350">
        <v>261</v>
      </c>
      <c r="M350" t="s">
        <v>191</v>
      </c>
      <c r="N350" s="6">
        <f t="shared" si="21"/>
        <v>45931</v>
      </c>
      <c r="O350" t="s">
        <v>607</v>
      </c>
      <c r="P350" t="str">
        <f t="shared" si="22"/>
        <v>October 2025</v>
      </c>
      <c r="Q350" t="s">
        <v>28</v>
      </c>
      <c r="R350" s="7">
        <v>12461.58</v>
      </c>
      <c r="S350" s="7">
        <f t="shared" si="23"/>
        <v>352589.58</v>
      </c>
    </row>
    <row r="351" spans="1:19" x14ac:dyDescent="0.3">
      <c r="A351" t="s">
        <v>764</v>
      </c>
      <c r="B351" s="5" t="s">
        <v>341</v>
      </c>
      <c r="C351" s="6">
        <f t="shared" si="20"/>
        <v>45839</v>
      </c>
      <c r="D351" t="s">
        <v>52</v>
      </c>
      <c r="E351" t="s">
        <v>70</v>
      </c>
      <c r="F351" t="s">
        <v>23</v>
      </c>
      <c r="G351" t="s">
        <v>138</v>
      </c>
      <c r="H351" t="s">
        <v>55</v>
      </c>
      <c r="I351">
        <v>903</v>
      </c>
      <c r="J351" s="7">
        <v>591.69000000000005</v>
      </c>
      <c r="K351" s="7">
        <v>534296.06999999995</v>
      </c>
      <c r="L351">
        <v>663</v>
      </c>
      <c r="M351" t="s">
        <v>765</v>
      </c>
      <c r="N351" s="6">
        <f t="shared" si="21"/>
        <v>45839</v>
      </c>
      <c r="O351" t="s">
        <v>401</v>
      </c>
      <c r="P351" t="str">
        <f t="shared" si="22"/>
        <v>July 2025</v>
      </c>
      <c r="Q351" t="s">
        <v>28</v>
      </c>
      <c r="R351" s="7">
        <v>29631.69</v>
      </c>
      <c r="S351" s="7">
        <f t="shared" si="23"/>
        <v>563927.75999999989</v>
      </c>
    </row>
    <row r="352" spans="1:19" x14ac:dyDescent="0.3">
      <c r="A352" t="s">
        <v>766</v>
      </c>
      <c r="B352" s="5" t="s">
        <v>767</v>
      </c>
      <c r="C352" s="6">
        <f t="shared" si="20"/>
        <v>45870</v>
      </c>
      <c r="D352" t="s">
        <v>40</v>
      </c>
      <c r="E352" t="s">
        <v>22</v>
      </c>
      <c r="F352" t="s">
        <v>23</v>
      </c>
      <c r="G352" t="s">
        <v>86</v>
      </c>
      <c r="H352" t="s">
        <v>91</v>
      </c>
      <c r="I352">
        <v>1110</v>
      </c>
      <c r="J352" s="7">
        <v>220.85</v>
      </c>
      <c r="K352" s="7">
        <v>245143.5</v>
      </c>
      <c r="L352">
        <v>285</v>
      </c>
      <c r="M352" t="s">
        <v>267</v>
      </c>
      <c r="N352" s="6">
        <f t="shared" si="21"/>
        <v>45870</v>
      </c>
      <c r="O352" t="s">
        <v>554</v>
      </c>
      <c r="P352" t="str">
        <f t="shared" si="22"/>
        <v>August 2025</v>
      </c>
      <c r="Q352" t="s">
        <v>28</v>
      </c>
      <c r="R352" s="7">
        <v>10372.120000000001</v>
      </c>
      <c r="S352" s="7">
        <f t="shared" si="23"/>
        <v>255515.62</v>
      </c>
    </row>
    <row r="353" spans="1:19" x14ac:dyDescent="0.3">
      <c r="A353" t="s">
        <v>768</v>
      </c>
      <c r="B353" s="5" t="s">
        <v>429</v>
      </c>
      <c r="C353" s="6">
        <f t="shared" si="20"/>
        <v>45748</v>
      </c>
      <c r="D353" t="s">
        <v>40</v>
      </c>
      <c r="E353" t="s">
        <v>53</v>
      </c>
      <c r="F353" t="s">
        <v>45</v>
      </c>
      <c r="G353" t="s">
        <v>110</v>
      </c>
      <c r="H353" t="s">
        <v>47</v>
      </c>
      <c r="I353">
        <v>2435</v>
      </c>
      <c r="J353" s="7">
        <v>646.76</v>
      </c>
      <c r="K353" s="7">
        <v>1574860.6</v>
      </c>
      <c r="L353">
        <v>609</v>
      </c>
      <c r="M353" t="s">
        <v>507</v>
      </c>
      <c r="N353" s="6">
        <f t="shared" si="21"/>
        <v>45748</v>
      </c>
      <c r="O353" t="s">
        <v>507</v>
      </c>
      <c r="P353" t="str">
        <f t="shared" si="22"/>
        <v>April 2025</v>
      </c>
      <c r="Q353" t="s">
        <v>37</v>
      </c>
      <c r="R353" s="7">
        <v>35714.559999999998</v>
      </c>
      <c r="S353" s="7">
        <f t="shared" si="23"/>
        <v>1610575.1600000001</v>
      </c>
    </row>
    <row r="354" spans="1:19" x14ac:dyDescent="0.3">
      <c r="A354" t="s">
        <v>769</v>
      </c>
      <c r="B354" s="5" t="s">
        <v>388</v>
      </c>
      <c r="C354" s="6">
        <f t="shared" si="20"/>
        <v>45748</v>
      </c>
      <c r="D354" t="s">
        <v>31</v>
      </c>
      <c r="E354" t="s">
        <v>75</v>
      </c>
      <c r="F354" t="s">
        <v>59</v>
      </c>
      <c r="G354" t="s">
        <v>71</v>
      </c>
      <c r="H354" t="s">
        <v>132</v>
      </c>
      <c r="I354">
        <v>764</v>
      </c>
      <c r="J354" s="7">
        <v>440.71</v>
      </c>
      <c r="K354" s="7">
        <v>336702.44</v>
      </c>
      <c r="L354">
        <v>376</v>
      </c>
      <c r="M354" t="s">
        <v>298</v>
      </c>
      <c r="N354" s="6">
        <f t="shared" si="21"/>
        <v>45748</v>
      </c>
      <c r="O354" t="s">
        <v>131</v>
      </c>
      <c r="P354" t="str">
        <f t="shared" si="22"/>
        <v>April 2025</v>
      </c>
      <c r="Q354" t="s">
        <v>28</v>
      </c>
      <c r="R354" s="7">
        <v>20805.560000000001</v>
      </c>
      <c r="S354" s="7">
        <f t="shared" si="23"/>
        <v>357508</v>
      </c>
    </row>
    <row r="355" spans="1:19" x14ac:dyDescent="0.3">
      <c r="A355" t="s">
        <v>770</v>
      </c>
      <c r="B355" s="5" t="s">
        <v>565</v>
      </c>
      <c r="C355" s="6">
        <f t="shared" si="20"/>
        <v>45870</v>
      </c>
      <c r="D355" t="s">
        <v>96</v>
      </c>
      <c r="E355" t="s">
        <v>75</v>
      </c>
      <c r="F355" t="s">
        <v>59</v>
      </c>
      <c r="G355" t="s">
        <v>159</v>
      </c>
      <c r="H355" t="s">
        <v>47</v>
      </c>
      <c r="I355">
        <v>474</v>
      </c>
      <c r="J355" s="7">
        <v>795.18</v>
      </c>
      <c r="K355" s="7">
        <v>376915.32</v>
      </c>
      <c r="L355">
        <v>381</v>
      </c>
      <c r="M355" t="s">
        <v>204</v>
      </c>
      <c r="N355" s="6">
        <f t="shared" si="21"/>
        <v>45870</v>
      </c>
      <c r="O355" t="s">
        <v>267</v>
      </c>
      <c r="P355" t="str">
        <f t="shared" si="22"/>
        <v>August 2025</v>
      </c>
      <c r="Q355" t="s">
        <v>28</v>
      </c>
      <c r="R355" s="7">
        <v>15409.27</v>
      </c>
      <c r="S355" s="7">
        <f t="shared" si="23"/>
        <v>392324.59</v>
      </c>
    </row>
    <row r="356" spans="1:19" x14ac:dyDescent="0.3">
      <c r="A356" t="s">
        <v>771</v>
      </c>
      <c r="B356" s="5" t="s">
        <v>280</v>
      </c>
      <c r="C356" s="6">
        <f t="shared" si="20"/>
        <v>45809</v>
      </c>
      <c r="D356" t="s">
        <v>128</v>
      </c>
      <c r="E356" t="s">
        <v>143</v>
      </c>
      <c r="F356" t="s">
        <v>23</v>
      </c>
      <c r="G356" t="s">
        <v>138</v>
      </c>
      <c r="H356" t="s">
        <v>77</v>
      </c>
      <c r="I356">
        <v>384</v>
      </c>
      <c r="J356" s="7">
        <v>580.25</v>
      </c>
      <c r="K356" s="7">
        <v>222816</v>
      </c>
      <c r="L356">
        <v>709</v>
      </c>
      <c r="M356" t="s">
        <v>218</v>
      </c>
      <c r="N356" s="6">
        <f t="shared" si="21"/>
        <v>45809</v>
      </c>
      <c r="O356" t="s">
        <v>293</v>
      </c>
      <c r="P356" t="str">
        <f t="shared" si="22"/>
        <v>June 2025</v>
      </c>
      <c r="Q356" t="s">
        <v>28</v>
      </c>
      <c r="R356" s="7">
        <v>39344.25</v>
      </c>
      <c r="S356" s="7">
        <f t="shared" si="23"/>
        <v>262160.25</v>
      </c>
    </row>
    <row r="357" spans="1:19" x14ac:dyDescent="0.3">
      <c r="A357" t="s">
        <v>772</v>
      </c>
      <c r="B357" s="5" t="s">
        <v>160</v>
      </c>
      <c r="C357" s="6">
        <f t="shared" si="20"/>
        <v>45809</v>
      </c>
      <c r="D357" t="s">
        <v>96</v>
      </c>
      <c r="E357" t="s">
        <v>70</v>
      </c>
      <c r="F357" t="s">
        <v>45</v>
      </c>
      <c r="G357" t="s">
        <v>163</v>
      </c>
      <c r="H357" t="s">
        <v>123</v>
      </c>
      <c r="I357">
        <v>1994</v>
      </c>
      <c r="J357" s="7">
        <v>177.96</v>
      </c>
      <c r="K357" s="7">
        <v>354852.24</v>
      </c>
      <c r="L357">
        <v>30</v>
      </c>
      <c r="M357" t="s">
        <v>704</v>
      </c>
      <c r="N357" s="6">
        <f t="shared" si="21"/>
        <v>45809</v>
      </c>
      <c r="O357" t="s">
        <v>704</v>
      </c>
      <c r="P357" t="str">
        <f t="shared" si="22"/>
        <v>June 2025</v>
      </c>
      <c r="Q357" t="s">
        <v>37</v>
      </c>
      <c r="R357" s="7">
        <v>1218.22</v>
      </c>
      <c r="S357" s="7">
        <f t="shared" si="23"/>
        <v>356070.45999999996</v>
      </c>
    </row>
    <row r="358" spans="1:19" x14ac:dyDescent="0.3">
      <c r="A358" t="s">
        <v>773</v>
      </c>
      <c r="B358" s="5" t="s">
        <v>470</v>
      </c>
      <c r="C358" s="6">
        <f t="shared" si="20"/>
        <v>45689</v>
      </c>
      <c r="D358" t="s">
        <v>52</v>
      </c>
      <c r="E358" t="s">
        <v>70</v>
      </c>
      <c r="F358" t="s">
        <v>59</v>
      </c>
      <c r="G358" t="s">
        <v>241</v>
      </c>
      <c r="H358" t="s">
        <v>123</v>
      </c>
      <c r="I358">
        <v>55</v>
      </c>
      <c r="J358" s="7">
        <v>493.56</v>
      </c>
      <c r="K358" s="7">
        <v>27145.8</v>
      </c>
      <c r="L358">
        <v>122</v>
      </c>
      <c r="M358" t="s">
        <v>413</v>
      </c>
      <c r="N358" s="6">
        <f t="shared" si="21"/>
        <v>45689</v>
      </c>
      <c r="O358" t="s">
        <v>451</v>
      </c>
      <c r="P358" t="str">
        <f t="shared" si="22"/>
        <v>February 2025</v>
      </c>
      <c r="Q358" t="s">
        <v>28</v>
      </c>
      <c r="R358" s="7">
        <v>4957.6400000000003</v>
      </c>
      <c r="S358" s="7">
        <f t="shared" si="23"/>
        <v>32103.439999999999</v>
      </c>
    </row>
    <row r="359" spans="1:19" x14ac:dyDescent="0.3">
      <c r="A359" t="s">
        <v>774</v>
      </c>
      <c r="B359" s="5" t="s">
        <v>158</v>
      </c>
      <c r="C359" s="6">
        <f t="shared" si="20"/>
        <v>45809</v>
      </c>
      <c r="D359" t="s">
        <v>65</v>
      </c>
      <c r="E359" t="s">
        <v>22</v>
      </c>
      <c r="F359" t="s">
        <v>33</v>
      </c>
      <c r="G359" t="s">
        <v>82</v>
      </c>
      <c r="H359" t="s">
        <v>77</v>
      </c>
      <c r="I359">
        <v>1640</v>
      </c>
      <c r="J359" s="7">
        <v>226.12</v>
      </c>
      <c r="K359" s="7">
        <v>370836.8</v>
      </c>
      <c r="L359">
        <v>312</v>
      </c>
      <c r="M359" t="s">
        <v>160</v>
      </c>
      <c r="N359" s="6">
        <f t="shared" si="21"/>
        <v>45809</v>
      </c>
      <c r="O359" t="s">
        <v>160</v>
      </c>
      <c r="P359" t="str">
        <f t="shared" si="22"/>
        <v>June 2025</v>
      </c>
      <c r="Q359" t="s">
        <v>37</v>
      </c>
      <c r="R359" s="7">
        <v>18895.73</v>
      </c>
      <c r="S359" s="7">
        <f t="shared" si="23"/>
        <v>389732.52999999997</v>
      </c>
    </row>
    <row r="360" spans="1:19" x14ac:dyDescent="0.3">
      <c r="A360" t="s">
        <v>775</v>
      </c>
      <c r="B360" s="5" t="s">
        <v>339</v>
      </c>
      <c r="C360" s="6">
        <f t="shared" si="20"/>
        <v>45839</v>
      </c>
      <c r="D360" t="s">
        <v>128</v>
      </c>
      <c r="E360" t="s">
        <v>75</v>
      </c>
      <c r="F360" t="s">
        <v>23</v>
      </c>
      <c r="G360" t="s">
        <v>118</v>
      </c>
      <c r="H360" t="s">
        <v>77</v>
      </c>
      <c r="I360">
        <v>1359</v>
      </c>
      <c r="J360" s="7">
        <v>179.65</v>
      </c>
      <c r="K360" s="7">
        <v>244144.35</v>
      </c>
      <c r="L360">
        <v>82</v>
      </c>
      <c r="M360" t="s">
        <v>374</v>
      </c>
      <c r="N360" s="6">
        <f t="shared" si="21"/>
        <v>45839</v>
      </c>
      <c r="O360" t="s">
        <v>464</v>
      </c>
      <c r="P360" t="str">
        <f t="shared" si="22"/>
        <v>July 2025</v>
      </c>
      <c r="Q360" t="s">
        <v>28</v>
      </c>
      <c r="R360" s="7">
        <v>4399.66</v>
      </c>
      <c r="S360" s="7">
        <f t="shared" si="23"/>
        <v>248544.01</v>
      </c>
    </row>
    <row r="361" spans="1:19" x14ac:dyDescent="0.3">
      <c r="A361" t="s">
        <v>776</v>
      </c>
      <c r="B361" s="5" t="s">
        <v>451</v>
      </c>
      <c r="C361" s="6">
        <f t="shared" si="20"/>
        <v>45689</v>
      </c>
      <c r="D361" t="s">
        <v>65</v>
      </c>
      <c r="E361" t="s">
        <v>70</v>
      </c>
      <c r="F361" t="s">
        <v>33</v>
      </c>
      <c r="G361" t="s">
        <v>86</v>
      </c>
      <c r="H361" t="s">
        <v>35</v>
      </c>
      <c r="I361">
        <v>886</v>
      </c>
      <c r="J361" s="7">
        <v>496.29</v>
      </c>
      <c r="K361" s="7">
        <v>439712.94</v>
      </c>
      <c r="L361">
        <v>504</v>
      </c>
      <c r="M361" t="s">
        <v>662</v>
      </c>
      <c r="N361" s="6">
        <f t="shared" si="21"/>
        <v>45689</v>
      </c>
      <c r="O361" t="s">
        <v>535</v>
      </c>
      <c r="P361" t="str">
        <f t="shared" si="22"/>
        <v>February 2025</v>
      </c>
      <c r="Q361" t="s">
        <v>37</v>
      </c>
      <c r="R361" s="7">
        <v>17946.439999999999</v>
      </c>
      <c r="S361" s="7">
        <f t="shared" si="23"/>
        <v>457659.38</v>
      </c>
    </row>
    <row r="362" spans="1:19" x14ac:dyDescent="0.3">
      <c r="A362" t="s">
        <v>777</v>
      </c>
      <c r="B362" s="5" t="s">
        <v>78</v>
      </c>
      <c r="C362" s="6">
        <f t="shared" si="20"/>
        <v>45748</v>
      </c>
      <c r="D362" t="s">
        <v>65</v>
      </c>
      <c r="E362" t="s">
        <v>32</v>
      </c>
      <c r="F362" t="s">
        <v>23</v>
      </c>
      <c r="G362" t="s">
        <v>168</v>
      </c>
      <c r="H362" t="s">
        <v>25</v>
      </c>
      <c r="I362">
        <v>330</v>
      </c>
      <c r="J362" s="7">
        <v>382.72</v>
      </c>
      <c r="K362" s="7">
        <v>126297.60000000001</v>
      </c>
      <c r="L362">
        <v>106</v>
      </c>
      <c r="M362" t="s">
        <v>262</v>
      </c>
      <c r="N362" s="6">
        <f t="shared" si="21"/>
        <v>45748</v>
      </c>
      <c r="O362" t="s">
        <v>262</v>
      </c>
      <c r="P362" t="str">
        <f t="shared" si="22"/>
        <v>April 2025</v>
      </c>
      <c r="Q362" t="s">
        <v>37</v>
      </c>
      <c r="R362" s="7">
        <v>4973.92</v>
      </c>
      <c r="S362" s="7">
        <f t="shared" si="23"/>
        <v>131271.52000000002</v>
      </c>
    </row>
    <row r="363" spans="1:19" x14ac:dyDescent="0.3">
      <c r="A363" t="s">
        <v>778</v>
      </c>
      <c r="B363" s="5" t="s">
        <v>507</v>
      </c>
      <c r="C363" s="6">
        <f t="shared" si="20"/>
        <v>45748</v>
      </c>
      <c r="D363" t="s">
        <v>128</v>
      </c>
      <c r="E363" t="s">
        <v>70</v>
      </c>
      <c r="F363" t="s">
        <v>23</v>
      </c>
      <c r="G363" t="s">
        <v>494</v>
      </c>
      <c r="H363" t="s">
        <v>55</v>
      </c>
      <c r="I363">
        <v>317</v>
      </c>
      <c r="J363" s="7">
        <v>828.74</v>
      </c>
      <c r="K363" s="7">
        <v>262710.58</v>
      </c>
      <c r="L363">
        <v>382</v>
      </c>
      <c r="M363" t="s">
        <v>85</v>
      </c>
      <c r="N363" s="6">
        <f t="shared" si="21"/>
        <v>45748</v>
      </c>
      <c r="O363" t="s">
        <v>26</v>
      </c>
      <c r="P363" t="str">
        <f t="shared" si="22"/>
        <v>April 2025</v>
      </c>
      <c r="Q363" t="s">
        <v>28</v>
      </c>
      <c r="R363" s="7">
        <v>16610.63</v>
      </c>
      <c r="S363" s="7">
        <f t="shared" si="23"/>
        <v>279321.21000000002</v>
      </c>
    </row>
    <row r="364" spans="1:19" x14ac:dyDescent="0.3">
      <c r="A364" t="s">
        <v>779</v>
      </c>
      <c r="B364" s="5" t="s">
        <v>186</v>
      </c>
      <c r="C364" s="6">
        <f t="shared" si="20"/>
        <v>45962</v>
      </c>
      <c r="D364" t="s">
        <v>96</v>
      </c>
      <c r="E364" t="s">
        <v>22</v>
      </c>
      <c r="F364" t="s">
        <v>33</v>
      </c>
      <c r="G364" t="s">
        <v>54</v>
      </c>
      <c r="H364" t="s">
        <v>155</v>
      </c>
      <c r="I364">
        <v>2143</v>
      </c>
      <c r="J364" s="7">
        <v>536.64</v>
      </c>
      <c r="K364" s="7">
        <v>1150019.52</v>
      </c>
      <c r="L364">
        <v>542</v>
      </c>
      <c r="M364" t="s">
        <v>248</v>
      </c>
      <c r="N364" s="6">
        <f t="shared" si="21"/>
        <v>45962</v>
      </c>
      <c r="O364" t="s">
        <v>361</v>
      </c>
      <c r="P364" t="str">
        <f t="shared" si="22"/>
        <v>November 2025</v>
      </c>
      <c r="Q364" t="s">
        <v>28</v>
      </c>
      <c r="R364" s="7">
        <v>30864.54</v>
      </c>
      <c r="S364" s="7">
        <f t="shared" si="23"/>
        <v>1180884.06</v>
      </c>
    </row>
    <row r="365" spans="1:19" x14ac:dyDescent="0.3">
      <c r="A365" t="s">
        <v>780</v>
      </c>
      <c r="B365" s="5" t="s">
        <v>304</v>
      </c>
      <c r="C365" s="6">
        <f t="shared" si="20"/>
        <v>45962</v>
      </c>
      <c r="D365" t="s">
        <v>96</v>
      </c>
      <c r="E365" t="s">
        <v>53</v>
      </c>
      <c r="F365" t="s">
        <v>59</v>
      </c>
      <c r="G365" t="s">
        <v>86</v>
      </c>
      <c r="H365" t="s">
        <v>77</v>
      </c>
      <c r="I365">
        <v>602</v>
      </c>
      <c r="J365" s="7">
        <v>175.92</v>
      </c>
      <c r="K365" s="7">
        <v>105903.84</v>
      </c>
      <c r="L365">
        <v>191</v>
      </c>
      <c r="M365" t="s">
        <v>245</v>
      </c>
      <c r="N365" s="6">
        <f t="shared" si="21"/>
        <v>45962</v>
      </c>
      <c r="O365" t="s">
        <v>423</v>
      </c>
      <c r="P365" t="str">
        <f t="shared" si="22"/>
        <v>November 2025</v>
      </c>
      <c r="Q365" t="s">
        <v>28</v>
      </c>
      <c r="R365" s="7">
        <v>10607.55</v>
      </c>
      <c r="S365" s="7">
        <f t="shared" si="23"/>
        <v>116511.39</v>
      </c>
    </row>
    <row r="366" spans="1:19" x14ac:dyDescent="0.3">
      <c r="A366" t="s">
        <v>781</v>
      </c>
      <c r="B366" s="5" t="s">
        <v>414</v>
      </c>
      <c r="C366" s="6">
        <f t="shared" si="20"/>
        <v>45689</v>
      </c>
      <c r="D366" t="s">
        <v>52</v>
      </c>
      <c r="E366" t="s">
        <v>70</v>
      </c>
      <c r="F366" t="s">
        <v>23</v>
      </c>
      <c r="G366" t="s">
        <v>241</v>
      </c>
      <c r="H366" t="s">
        <v>132</v>
      </c>
      <c r="I366">
        <v>773</v>
      </c>
      <c r="J366" s="7">
        <v>288.38</v>
      </c>
      <c r="K366" s="7">
        <v>222917.74</v>
      </c>
      <c r="L366">
        <v>665</v>
      </c>
      <c r="M366" t="s">
        <v>451</v>
      </c>
      <c r="N366" s="6">
        <f t="shared" si="21"/>
        <v>45689</v>
      </c>
      <c r="O366" t="s">
        <v>662</v>
      </c>
      <c r="P366" t="str">
        <f t="shared" si="22"/>
        <v>February 2025</v>
      </c>
      <c r="Q366" t="s">
        <v>28</v>
      </c>
      <c r="R366" s="7">
        <v>36682.550000000003</v>
      </c>
      <c r="S366" s="7">
        <f t="shared" si="23"/>
        <v>259600.28999999998</v>
      </c>
    </row>
    <row r="367" spans="1:19" x14ac:dyDescent="0.3">
      <c r="A367" t="s">
        <v>782</v>
      </c>
      <c r="B367" s="5" t="s">
        <v>551</v>
      </c>
      <c r="C367" s="6">
        <f t="shared" si="20"/>
        <v>45901</v>
      </c>
      <c r="D367" t="s">
        <v>40</v>
      </c>
      <c r="E367" t="s">
        <v>70</v>
      </c>
      <c r="F367" t="s">
        <v>59</v>
      </c>
      <c r="G367" t="s">
        <v>138</v>
      </c>
      <c r="H367" t="s">
        <v>47</v>
      </c>
      <c r="I367">
        <v>1206</v>
      </c>
      <c r="J367" s="7">
        <v>663.85</v>
      </c>
      <c r="K367" s="7">
        <v>800603.1</v>
      </c>
      <c r="L367">
        <v>585</v>
      </c>
      <c r="M367" t="s">
        <v>482</v>
      </c>
      <c r="N367" s="6">
        <f t="shared" si="21"/>
        <v>45901</v>
      </c>
      <c r="O367" t="s">
        <v>482</v>
      </c>
      <c r="P367" t="str">
        <f t="shared" si="22"/>
        <v>September 2025</v>
      </c>
      <c r="Q367" t="s">
        <v>37</v>
      </c>
      <c r="R367" s="7">
        <v>32145.03</v>
      </c>
      <c r="S367" s="7">
        <f t="shared" si="23"/>
        <v>832748.13</v>
      </c>
    </row>
    <row r="368" spans="1:19" x14ac:dyDescent="0.3">
      <c r="A368" t="s">
        <v>783</v>
      </c>
      <c r="B368" s="5" t="s">
        <v>135</v>
      </c>
      <c r="C368" s="6">
        <f t="shared" si="20"/>
        <v>45778</v>
      </c>
      <c r="D368" t="s">
        <v>109</v>
      </c>
      <c r="E368" t="s">
        <v>53</v>
      </c>
      <c r="F368" t="s">
        <v>59</v>
      </c>
      <c r="G368" t="s">
        <v>172</v>
      </c>
      <c r="H368" t="s">
        <v>77</v>
      </c>
      <c r="I368">
        <v>1802</v>
      </c>
      <c r="J368" s="7">
        <v>272.95</v>
      </c>
      <c r="K368" s="7">
        <v>491855.9</v>
      </c>
      <c r="L368">
        <v>44</v>
      </c>
      <c r="M368" t="s">
        <v>27</v>
      </c>
      <c r="N368" s="6">
        <f t="shared" si="21"/>
        <v>45778</v>
      </c>
      <c r="O368" t="s">
        <v>27</v>
      </c>
      <c r="P368" t="str">
        <f t="shared" si="22"/>
        <v>May 2025</v>
      </c>
      <c r="Q368" t="s">
        <v>37</v>
      </c>
      <c r="R368" s="7">
        <v>2414.34</v>
      </c>
      <c r="S368" s="7">
        <f t="shared" si="23"/>
        <v>494270.24000000005</v>
      </c>
    </row>
    <row r="369" spans="1:19" x14ac:dyDescent="0.3">
      <c r="A369" t="s">
        <v>784</v>
      </c>
      <c r="B369" s="5" t="s">
        <v>204</v>
      </c>
      <c r="C369" s="6">
        <f t="shared" si="20"/>
        <v>45870</v>
      </c>
      <c r="D369" t="s">
        <v>21</v>
      </c>
      <c r="E369" t="s">
        <v>53</v>
      </c>
      <c r="F369" t="s">
        <v>23</v>
      </c>
      <c r="G369" t="s">
        <v>76</v>
      </c>
      <c r="H369" t="s">
        <v>35</v>
      </c>
      <c r="I369">
        <v>2388</v>
      </c>
      <c r="J369" s="7">
        <v>785.64</v>
      </c>
      <c r="K369" s="7">
        <v>1876108.32</v>
      </c>
      <c r="L369">
        <v>578</v>
      </c>
      <c r="M369" t="s">
        <v>205</v>
      </c>
      <c r="N369" s="6">
        <f t="shared" si="21"/>
        <v>45870</v>
      </c>
      <c r="O369" t="s">
        <v>572</v>
      </c>
      <c r="P369" t="str">
        <f t="shared" si="22"/>
        <v>August 2025</v>
      </c>
      <c r="Q369" t="s">
        <v>28</v>
      </c>
      <c r="R369" s="7">
        <v>29101.03</v>
      </c>
      <c r="S369" s="7">
        <f t="shared" si="23"/>
        <v>1905209.35</v>
      </c>
    </row>
    <row r="370" spans="1:19" x14ac:dyDescent="0.3">
      <c r="A370" t="s">
        <v>785</v>
      </c>
      <c r="B370" s="5" t="s">
        <v>343</v>
      </c>
      <c r="C370" s="6">
        <f t="shared" si="20"/>
        <v>45839</v>
      </c>
      <c r="D370" t="s">
        <v>128</v>
      </c>
      <c r="E370" t="s">
        <v>53</v>
      </c>
      <c r="F370" t="s">
        <v>33</v>
      </c>
      <c r="G370" t="s">
        <v>190</v>
      </c>
      <c r="H370" t="s">
        <v>91</v>
      </c>
      <c r="I370">
        <v>331</v>
      </c>
      <c r="J370" s="7">
        <v>83.84</v>
      </c>
      <c r="K370" s="7">
        <v>27751.040000000001</v>
      </c>
      <c r="L370">
        <v>652</v>
      </c>
      <c r="M370" t="s">
        <v>409</v>
      </c>
      <c r="N370" s="6">
        <f t="shared" si="21"/>
        <v>45870</v>
      </c>
      <c r="O370" t="s">
        <v>409</v>
      </c>
      <c r="P370" t="str">
        <f t="shared" si="22"/>
        <v>August 2025</v>
      </c>
      <c r="Q370" t="s">
        <v>37</v>
      </c>
      <c r="R370" s="7">
        <v>28940.42</v>
      </c>
      <c r="S370" s="7">
        <f t="shared" si="23"/>
        <v>56691.46</v>
      </c>
    </row>
    <row r="371" spans="1:19" x14ac:dyDescent="0.3">
      <c r="A371" t="s">
        <v>786</v>
      </c>
      <c r="B371" s="5" t="s">
        <v>165</v>
      </c>
      <c r="C371" s="6">
        <f t="shared" si="20"/>
        <v>45901</v>
      </c>
      <c r="D371" t="s">
        <v>65</v>
      </c>
      <c r="E371" t="s">
        <v>22</v>
      </c>
      <c r="F371" t="s">
        <v>23</v>
      </c>
      <c r="G371" t="s">
        <v>241</v>
      </c>
      <c r="H371" t="s">
        <v>77</v>
      </c>
      <c r="I371">
        <v>1906</v>
      </c>
      <c r="J371" s="7">
        <v>442.79</v>
      </c>
      <c r="K371" s="7">
        <v>843957.74</v>
      </c>
      <c r="L371">
        <v>713</v>
      </c>
      <c r="M371" t="s">
        <v>787</v>
      </c>
      <c r="N371" s="6">
        <f t="shared" si="21"/>
        <v>45901</v>
      </c>
      <c r="O371" t="s">
        <v>476</v>
      </c>
      <c r="P371" t="str">
        <f t="shared" si="22"/>
        <v>September 2025</v>
      </c>
      <c r="Q371" t="s">
        <v>28</v>
      </c>
      <c r="R371" s="7">
        <v>42059.59</v>
      </c>
      <c r="S371" s="7">
        <f t="shared" si="23"/>
        <v>886017.33</v>
      </c>
    </row>
    <row r="372" spans="1:19" x14ac:dyDescent="0.3">
      <c r="A372" t="s">
        <v>788</v>
      </c>
      <c r="B372" s="5" t="s">
        <v>631</v>
      </c>
      <c r="C372" s="6">
        <f t="shared" si="20"/>
        <v>45962</v>
      </c>
      <c r="D372" t="s">
        <v>128</v>
      </c>
      <c r="E372" t="s">
        <v>32</v>
      </c>
      <c r="F372" t="s">
        <v>33</v>
      </c>
      <c r="G372" t="s">
        <v>227</v>
      </c>
      <c r="H372" t="s">
        <v>132</v>
      </c>
      <c r="I372">
        <v>673</v>
      </c>
      <c r="J372" s="7">
        <v>608.5</v>
      </c>
      <c r="K372" s="7">
        <v>409520.5</v>
      </c>
      <c r="L372">
        <v>338</v>
      </c>
      <c r="M372" t="s">
        <v>632</v>
      </c>
      <c r="N372" s="6">
        <f t="shared" si="21"/>
        <v>45962</v>
      </c>
      <c r="O372" t="s">
        <v>632</v>
      </c>
      <c r="P372" t="str">
        <f t="shared" si="22"/>
        <v>November 2025</v>
      </c>
      <c r="Q372" t="s">
        <v>37</v>
      </c>
      <c r="R372" s="7">
        <v>17896.919999999998</v>
      </c>
      <c r="S372" s="7">
        <f t="shared" si="23"/>
        <v>427417.42</v>
      </c>
    </row>
    <row r="373" spans="1:19" x14ac:dyDescent="0.3">
      <c r="A373" t="s">
        <v>789</v>
      </c>
      <c r="B373" s="5" t="s">
        <v>135</v>
      </c>
      <c r="C373" s="6">
        <f t="shared" si="20"/>
        <v>45778</v>
      </c>
      <c r="D373" t="s">
        <v>52</v>
      </c>
      <c r="E373" t="s">
        <v>22</v>
      </c>
      <c r="F373" t="s">
        <v>45</v>
      </c>
      <c r="G373" t="s">
        <v>227</v>
      </c>
      <c r="H373" t="s">
        <v>35</v>
      </c>
      <c r="I373">
        <v>2131</v>
      </c>
      <c r="J373" s="7">
        <v>182.2</v>
      </c>
      <c r="K373" s="7">
        <v>388268.2</v>
      </c>
      <c r="L373">
        <v>244</v>
      </c>
      <c r="M373" t="s">
        <v>27</v>
      </c>
      <c r="N373" s="6">
        <f t="shared" si="21"/>
        <v>45778</v>
      </c>
      <c r="O373" t="s">
        <v>27</v>
      </c>
      <c r="P373" t="str">
        <f t="shared" si="22"/>
        <v>May 2025</v>
      </c>
      <c r="Q373" t="s">
        <v>37</v>
      </c>
      <c r="R373" s="7">
        <v>11649.78</v>
      </c>
      <c r="S373" s="7">
        <f t="shared" si="23"/>
        <v>399917.98000000004</v>
      </c>
    </row>
    <row r="374" spans="1:19" x14ac:dyDescent="0.3">
      <c r="A374" t="s">
        <v>790</v>
      </c>
      <c r="B374" s="5" t="s">
        <v>359</v>
      </c>
      <c r="C374" s="6">
        <f t="shared" si="20"/>
        <v>45717</v>
      </c>
      <c r="D374" t="s">
        <v>40</v>
      </c>
      <c r="E374" t="s">
        <v>53</v>
      </c>
      <c r="F374" t="s">
        <v>23</v>
      </c>
      <c r="G374" t="s">
        <v>46</v>
      </c>
      <c r="H374" t="s">
        <v>132</v>
      </c>
      <c r="I374">
        <v>966</v>
      </c>
      <c r="J374" s="7">
        <v>546.36</v>
      </c>
      <c r="K374" s="7">
        <v>527783.76</v>
      </c>
      <c r="L374">
        <v>489</v>
      </c>
      <c r="M374" t="s">
        <v>791</v>
      </c>
      <c r="N374" s="6">
        <f t="shared" si="21"/>
        <v>45717</v>
      </c>
      <c r="O374" t="s">
        <v>67</v>
      </c>
      <c r="P374" t="str">
        <f t="shared" si="22"/>
        <v>March 2025</v>
      </c>
      <c r="Q374" t="s">
        <v>28</v>
      </c>
      <c r="R374" s="7">
        <v>28700.14</v>
      </c>
      <c r="S374" s="7">
        <f t="shared" si="23"/>
        <v>556483.9</v>
      </c>
    </row>
    <row r="375" spans="1:19" x14ac:dyDescent="0.3">
      <c r="A375" t="s">
        <v>792</v>
      </c>
      <c r="B375" s="5" t="s">
        <v>411</v>
      </c>
      <c r="C375" s="6">
        <f t="shared" si="20"/>
        <v>45992</v>
      </c>
      <c r="D375" t="s">
        <v>31</v>
      </c>
      <c r="E375" t="s">
        <v>22</v>
      </c>
      <c r="F375" t="s">
        <v>23</v>
      </c>
      <c r="G375" t="s">
        <v>86</v>
      </c>
      <c r="H375" t="s">
        <v>77</v>
      </c>
      <c r="I375">
        <v>1944</v>
      </c>
      <c r="J375" s="7">
        <v>79.83</v>
      </c>
      <c r="K375" s="7">
        <v>155189.51999999999</v>
      </c>
      <c r="L375">
        <v>648</v>
      </c>
      <c r="M375" t="s">
        <v>334</v>
      </c>
      <c r="N375" s="6">
        <f t="shared" si="21"/>
        <v>45992</v>
      </c>
      <c r="O375" t="s">
        <v>545</v>
      </c>
      <c r="P375" t="str">
        <f t="shared" si="22"/>
        <v>December 2025</v>
      </c>
      <c r="Q375" t="s">
        <v>28</v>
      </c>
      <c r="R375" s="7">
        <v>32746.39</v>
      </c>
      <c r="S375" s="7">
        <f t="shared" si="23"/>
        <v>187935.90999999997</v>
      </c>
    </row>
    <row r="376" spans="1:19" x14ac:dyDescent="0.3">
      <c r="A376" t="s">
        <v>793</v>
      </c>
      <c r="B376" s="5" t="s">
        <v>306</v>
      </c>
      <c r="C376" s="6">
        <f t="shared" si="20"/>
        <v>45931</v>
      </c>
      <c r="D376" t="s">
        <v>31</v>
      </c>
      <c r="E376" t="s">
        <v>75</v>
      </c>
      <c r="F376" t="s">
        <v>33</v>
      </c>
      <c r="G376" t="s">
        <v>54</v>
      </c>
      <c r="H376" t="s">
        <v>35</v>
      </c>
      <c r="I376">
        <v>1977</v>
      </c>
      <c r="J376" s="7">
        <v>171.92</v>
      </c>
      <c r="K376" s="7">
        <v>339885.84</v>
      </c>
      <c r="L376">
        <v>564</v>
      </c>
      <c r="M376" t="s">
        <v>189</v>
      </c>
      <c r="N376" s="6">
        <f t="shared" si="21"/>
        <v>45931</v>
      </c>
      <c r="O376" t="s">
        <v>189</v>
      </c>
      <c r="P376" t="str">
        <f t="shared" si="22"/>
        <v>October 2025</v>
      </c>
      <c r="Q376" t="s">
        <v>37</v>
      </c>
      <c r="R376" s="7">
        <v>26888.71</v>
      </c>
      <c r="S376" s="7">
        <f t="shared" si="23"/>
        <v>366774.55000000005</v>
      </c>
    </row>
    <row r="377" spans="1:19" x14ac:dyDescent="0.3">
      <c r="A377" t="s">
        <v>794</v>
      </c>
      <c r="B377" s="5" t="s">
        <v>573</v>
      </c>
      <c r="C377" s="6">
        <f t="shared" si="20"/>
        <v>45870</v>
      </c>
      <c r="D377" t="s">
        <v>40</v>
      </c>
      <c r="E377" t="s">
        <v>22</v>
      </c>
      <c r="F377" t="s">
        <v>23</v>
      </c>
      <c r="G377" t="s">
        <v>179</v>
      </c>
      <c r="H377" t="s">
        <v>155</v>
      </c>
      <c r="I377">
        <v>1843</v>
      </c>
      <c r="J377" s="7">
        <v>601.80999999999995</v>
      </c>
      <c r="K377" s="7">
        <v>1109135.83</v>
      </c>
      <c r="L377">
        <v>548</v>
      </c>
      <c r="M377" t="s">
        <v>250</v>
      </c>
      <c r="N377" s="6">
        <f t="shared" si="21"/>
        <v>45870</v>
      </c>
      <c r="O377" t="s">
        <v>252</v>
      </c>
      <c r="P377" t="str">
        <f t="shared" si="22"/>
        <v>August 2025</v>
      </c>
      <c r="Q377" t="s">
        <v>28</v>
      </c>
      <c r="R377" s="7">
        <v>25818.53</v>
      </c>
      <c r="S377" s="7">
        <f t="shared" si="23"/>
        <v>1134954.3600000001</v>
      </c>
    </row>
    <row r="378" spans="1:19" x14ac:dyDescent="0.3">
      <c r="A378" t="s">
        <v>795</v>
      </c>
      <c r="B378" s="5" t="s">
        <v>569</v>
      </c>
      <c r="C378" s="6">
        <f t="shared" si="20"/>
        <v>45778</v>
      </c>
      <c r="D378" t="s">
        <v>65</v>
      </c>
      <c r="E378" t="s">
        <v>32</v>
      </c>
      <c r="F378" t="s">
        <v>59</v>
      </c>
      <c r="G378" t="s">
        <v>494</v>
      </c>
      <c r="H378" t="s">
        <v>123</v>
      </c>
      <c r="I378">
        <v>158</v>
      </c>
      <c r="J378" s="7">
        <v>232.75</v>
      </c>
      <c r="K378" s="7">
        <v>36774.5</v>
      </c>
      <c r="L378">
        <v>85</v>
      </c>
      <c r="M378" t="s">
        <v>796</v>
      </c>
      <c r="N378" s="6">
        <f t="shared" si="21"/>
        <v>45778</v>
      </c>
      <c r="O378" t="s">
        <v>796</v>
      </c>
      <c r="P378" t="str">
        <f t="shared" si="22"/>
        <v>May 2025</v>
      </c>
      <c r="Q378" t="s">
        <v>37</v>
      </c>
      <c r="R378" s="7">
        <v>3035.58</v>
      </c>
      <c r="S378" s="7">
        <f t="shared" si="23"/>
        <v>39810.080000000002</v>
      </c>
    </row>
    <row r="379" spans="1:19" x14ac:dyDescent="0.3">
      <c r="A379" t="s">
        <v>797</v>
      </c>
      <c r="B379" s="5" t="s">
        <v>798</v>
      </c>
      <c r="C379" s="6">
        <f t="shared" si="20"/>
        <v>45658</v>
      </c>
      <c r="D379" t="s">
        <v>65</v>
      </c>
      <c r="E379" t="s">
        <v>22</v>
      </c>
      <c r="F379" t="s">
        <v>33</v>
      </c>
      <c r="G379" t="s">
        <v>76</v>
      </c>
      <c r="H379" t="s">
        <v>61</v>
      </c>
      <c r="I379">
        <v>1307</v>
      </c>
      <c r="J379" s="7">
        <v>116.48</v>
      </c>
      <c r="K379" s="7">
        <v>152239.35999999999</v>
      </c>
      <c r="L379">
        <v>220</v>
      </c>
      <c r="M379" t="s">
        <v>194</v>
      </c>
      <c r="N379" s="6">
        <f t="shared" si="21"/>
        <v>45658</v>
      </c>
      <c r="O379" t="s">
        <v>214</v>
      </c>
      <c r="P379" t="str">
        <f t="shared" si="22"/>
        <v>January 2025</v>
      </c>
      <c r="Q379" t="s">
        <v>28</v>
      </c>
      <c r="R379" s="7">
        <v>8000.96</v>
      </c>
      <c r="S379" s="7">
        <f t="shared" si="23"/>
        <v>160240.31999999998</v>
      </c>
    </row>
    <row r="380" spans="1:19" x14ac:dyDescent="0.3">
      <c r="A380" t="s">
        <v>799</v>
      </c>
      <c r="B380" s="5" t="s">
        <v>473</v>
      </c>
      <c r="C380" s="6">
        <f t="shared" si="20"/>
        <v>45839</v>
      </c>
      <c r="D380" t="s">
        <v>109</v>
      </c>
      <c r="E380" t="s">
        <v>143</v>
      </c>
      <c r="F380" t="s">
        <v>45</v>
      </c>
      <c r="G380" t="s">
        <v>384</v>
      </c>
      <c r="H380" t="s">
        <v>132</v>
      </c>
      <c r="I380">
        <v>1149</v>
      </c>
      <c r="J380" s="7">
        <v>191.75</v>
      </c>
      <c r="K380" s="7">
        <v>220320.75</v>
      </c>
      <c r="L380">
        <v>342</v>
      </c>
      <c r="M380" t="s">
        <v>127</v>
      </c>
      <c r="N380" s="6">
        <f t="shared" si="21"/>
        <v>45839</v>
      </c>
      <c r="O380" t="s">
        <v>538</v>
      </c>
      <c r="P380" t="str">
        <f t="shared" si="22"/>
        <v>July 2025</v>
      </c>
      <c r="Q380" t="s">
        <v>28</v>
      </c>
      <c r="R380" s="7">
        <v>18829.63</v>
      </c>
      <c r="S380" s="7">
        <f t="shared" si="23"/>
        <v>239150.38</v>
      </c>
    </row>
    <row r="381" spans="1:19" x14ac:dyDescent="0.3">
      <c r="A381" t="s">
        <v>800</v>
      </c>
      <c r="B381" s="5" t="s">
        <v>417</v>
      </c>
      <c r="C381" s="6">
        <f t="shared" si="20"/>
        <v>45748</v>
      </c>
      <c r="D381" t="s">
        <v>128</v>
      </c>
      <c r="E381" t="s">
        <v>75</v>
      </c>
      <c r="F381" t="s">
        <v>45</v>
      </c>
      <c r="G381" t="s">
        <v>118</v>
      </c>
      <c r="H381" t="s">
        <v>132</v>
      </c>
      <c r="I381">
        <v>2237</v>
      </c>
      <c r="J381" s="7">
        <v>255.91</v>
      </c>
      <c r="K381" s="7">
        <v>572470.67000000004</v>
      </c>
      <c r="L381">
        <v>124</v>
      </c>
      <c r="M381" t="s">
        <v>593</v>
      </c>
      <c r="N381" s="6">
        <f t="shared" si="21"/>
        <v>45748</v>
      </c>
      <c r="O381" t="s">
        <v>593</v>
      </c>
      <c r="P381" t="str">
        <f t="shared" si="22"/>
        <v>April 2025</v>
      </c>
      <c r="Q381" t="s">
        <v>37</v>
      </c>
      <c r="R381" s="7">
        <v>7171.69</v>
      </c>
      <c r="S381" s="7">
        <f t="shared" si="23"/>
        <v>579642.36</v>
      </c>
    </row>
    <row r="382" spans="1:19" x14ac:dyDescent="0.3">
      <c r="A382" t="s">
        <v>801</v>
      </c>
      <c r="B382" s="5" t="s">
        <v>617</v>
      </c>
      <c r="C382" s="6">
        <f t="shared" si="20"/>
        <v>45992</v>
      </c>
      <c r="D382" t="s">
        <v>31</v>
      </c>
      <c r="E382" t="s">
        <v>22</v>
      </c>
      <c r="F382" t="s">
        <v>33</v>
      </c>
      <c r="G382" t="s">
        <v>54</v>
      </c>
      <c r="H382" t="s">
        <v>77</v>
      </c>
      <c r="I382">
        <v>137</v>
      </c>
      <c r="J382" s="7">
        <v>523.38</v>
      </c>
      <c r="K382" s="7">
        <v>71703.06</v>
      </c>
      <c r="L382">
        <v>45</v>
      </c>
      <c r="M382" t="s">
        <v>618</v>
      </c>
      <c r="N382" s="6">
        <f t="shared" si="21"/>
        <v>45992</v>
      </c>
      <c r="O382" t="s">
        <v>612</v>
      </c>
      <c r="P382" t="str">
        <f t="shared" si="22"/>
        <v>December 2025</v>
      </c>
      <c r="Q382" t="s">
        <v>28</v>
      </c>
      <c r="R382" s="7">
        <v>1866.95</v>
      </c>
      <c r="S382" s="7">
        <f t="shared" si="23"/>
        <v>73570.009999999995</v>
      </c>
    </row>
    <row r="383" spans="1:19" x14ac:dyDescent="0.3">
      <c r="A383" t="s">
        <v>802</v>
      </c>
      <c r="B383" s="5" t="s">
        <v>346</v>
      </c>
      <c r="C383" s="6">
        <f t="shared" si="20"/>
        <v>45658</v>
      </c>
      <c r="D383" t="s">
        <v>52</v>
      </c>
      <c r="E383" t="s">
        <v>53</v>
      </c>
      <c r="F383" t="s">
        <v>45</v>
      </c>
      <c r="G383" t="s">
        <v>34</v>
      </c>
      <c r="H383" t="s">
        <v>123</v>
      </c>
      <c r="I383">
        <v>2108</v>
      </c>
      <c r="J383" s="7">
        <v>112.16</v>
      </c>
      <c r="K383" s="7">
        <v>236433.28</v>
      </c>
      <c r="L383">
        <v>581</v>
      </c>
      <c r="M383" t="s">
        <v>665</v>
      </c>
      <c r="N383" s="6">
        <f t="shared" si="21"/>
        <v>45689</v>
      </c>
      <c r="O383" t="s">
        <v>180</v>
      </c>
      <c r="P383" t="str">
        <f t="shared" si="22"/>
        <v>February 2025</v>
      </c>
      <c r="Q383" t="s">
        <v>28</v>
      </c>
      <c r="R383" s="7">
        <v>22603.11</v>
      </c>
      <c r="S383" s="7">
        <f t="shared" si="23"/>
        <v>259036.39</v>
      </c>
    </row>
    <row r="384" spans="1:19" x14ac:dyDescent="0.3">
      <c r="A384" t="s">
        <v>803</v>
      </c>
      <c r="B384" s="5" t="s">
        <v>402</v>
      </c>
      <c r="C384" s="6">
        <f t="shared" si="20"/>
        <v>45870</v>
      </c>
      <c r="D384" t="s">
        <v>21</v>
      </c>
      <c r="E384" t="s">
        <v>70</v>
      </c>
      <c r="F384" t="s">
        <v>45</v>
      </c>
      <c r="G384" t="s">
        <v>222</v>
      </c>
      <c r="H384" t="s">
        <v>61</v>
      </c>
      <c r="I384">
        <v>2195</v>
      </c>
      <c r="J384" s="7">
        <v>241.42</v>
      </c>
      <c r="K384" s="7">
        <v>529916.9</v>
      </c>
      <c r="L384">
        <v>105</v>
      </c>
      <c r="M384" t="s">
        <v>314</v>
      </c>
      <c r="N384" s="6">
        <f t="shared" si="21"/>
        <v>45870</v>
      </c>
      <c r="O384" t="s">
        <v>402</v>
      </c>
      <c r="P384" t="str">
        <f t="shared" si="22"/>
        <v>August 2025</v>
      </c>
      <c r="Q384" t="s">
        <v>37</v>
      </c>
      <c r="R384" s="7">
        <v>6352.12</v>
      </c>
      <c r="S384" s="7">
        <f t="shared" si="23"/>
        <v>536269.02</v>
      </c>
    </row>
    <row r="385" spans="1:19" x14ac:dyDescent="0.3">
      <c r="A385" t="s">
        <v>804</v>
      </c>
      <c r="B385" s="5" t="s">
        <v>371</v>
      </c>
      <c r="C385" s="6">
        <f t="shared" si="20"/>
        <v>45870</v>
      </c>
      <c r="D385" t="s">
        <v>109</v>
      </c>
      <c r="E385" t="s">
        <v>53</v>
      </c>
      <c r="F385" t="s">
        <v>23</v>
      </c>
      <c r="G385" t="s">
        <v>351</v>
      </c>
      <c r="H385" t="s">
        <v>91</v>
      </c>
      <c r="I385">
        <v>1123</v>
      </c>
      <c r="J385" s="7">
        <v>635.23</v>
      </c>
      <c r="K385" s="7">
        <v>713363.29</v>
      </c>
      <c r="L385">
        <v>521</v>
      </c>
      <c r="M385" t="s">
        <v>167</v>
      </c>
      <c r="N385" s="6">
        <f t="shared" si="21"/>
        <v>45870</v>
      </c>
      <c r="O385" t="s">
        <v>169</v>
      </c>
      <c r="P385" t="str">
        <f t="shared" si="22"/>
        <v>August 2025</v>
      </c>
      <c r="Q385" t="s">
        <v>28</v>
      </c>
      <c r="R385" s="7">
        <v>30871.98</v>
      </c>
      <c r="S385" s="7">
        <f t="shared" si="23"/>
        <v>744235.27</v>
      </c>
    </row>
    <row r="386" spans="1:19" x14ac:dyDescent="0.3">
      <c r="A386" t="s">
        <v>805</v>
      </c>
      <c r="B386" s="5" t="s">
        <v>659</v>
      </c>
      <c r="C386" s="6">
        <f t="shared" si="20"/>
        <v>45748</v>
      </c>
      <c r="D386" t="s">
        <v>40</v>
      </c>
      <c r="E386" t="s">
        <v>143</v>
      </c>
      <c r="F386" t="s">
        <v>45</v>
      </c>
      <c r="G386" t="s">
        <v>110</v>
      </c>
      <c r="H386" t="s">
        <v>91</v>
      </c>
      <c r="I386">
        <v>1764</v>
      </c>
      <c r="J386" s="7">
        <v>500.27</v>
      </c>
      <c r="K386" s="7">
        <v>882476.28</v>
      </c>
      <c r="L386">
        <v>648</v>
      </c>
      <c r="M386" t="s">
        <v>531</v>
      </c>
      <c r="N386" s="6">
        <f t="shared" si="21"/>
        <v>45748</v>
      </c>
      <c r="O386" t="s">
        <v>531</v>
      </c>
      <c r="P386" t="str">
        <f t="shared" si="22"/>
        <v>April 2025</v>
      </c>
      <c r="Q386" t="s">
        <v>37</v>
      </c>
      <c r="R386" s="7">
        <v>33610.870000000003</v>
      </c>
      <c r="S386" s="7">
        <f t="shared" si="23"/>
        <v>916087.15</v>
      </c>
    </row>
    <row r="387" spans="1:19" x14ac:dyDescent="0.3">
      <c r="A387" t="s">
        <v>806</v>
      </c>
      <c r="B387" s="5" t="s">
        <v>56</v>
      </c>
      <c r="C387" s="6">
        <f t="shared" ref="C387:C450" si="24">DATE(YEAR(B387), MONTH(B387), 1)</f>
        <v>45717</v>
      </c>
      <c r="D387" t="s">
        <v>31</v>
      </c>
      <c r="E387" t="s">
        <v>32</v>
      </c>
      <c r="F387" t="s">
        <v>45</v>
      </c>
      <c r="G387" t="s">
        <v>66</v>
      </c>
      <c r="H387" t="s">
        <v>47</v>
      </c>
      <c r="I387">
        <v>1137</v>
      </c>
      <c r="J387" s="7">
        <v>692.76</v>
      </c>
      <c r="K387" s="7">
        <v>787668.12</v>
      </c>
      <c r="L387">
        <v>307</v>
      </c>
      <c r="M387" t="s">
        <v>274</v>
      </c>
      <c r="N387" s="6">
        <f t="shared" ref="N387:N450" si="25">DATE(YEAR(M387), MONTH(M387),1)</f>
        <v>45717</v>
      </c>
      <c r="O387" t="s">
        <v>436</v>
      </c>
      <c r="P387" t="str">
        <f t="shared" ref="P387:P450" si="26">TEXT(O387, "mmmm yyyy")</f>
        <v>March 2025</v>
      </c>
      <c r="Q387" t="s">
        <v>28</v>
      </c>
      <c r="R387" s="7">
        <v>15732.98</v>
      </c>
      <c r="S387" s="7">
        <f t="shared" ref="S387:S450" si="27">K387 +R387</f>
        <v>803401.1</v>
      </c>
    </row>
    <row r="388" spans="1:19" x14ac:dyDescent="0.3">
      <c r="A388" t="s">
        <v>807</v>
      </c>
      <c r="B388" s="5" t="s">
        <v>557</v>
      </c>
      <c r="C388" s="6">
        <f t="shared" si="24"/>
        <v>45870</v>
      </c>
      <c r="D388" t="s">
        <v>40</v>
      </c>
      <c r="E388" t="s">
        <v>22</v>
      </c>
      <c r="F388" t="s">
        <v>45</v>
      </c>
      <c r="G388" t="s">
        <v>138</v>
      </c>
      <c r="H388" t="s">
        <v>47</v>
      </c>
      <c r="I388">
        <v>1886</v>
      </c>
      <c r="J388" s="7">
        <v>197.23</v>
      </c>
      <c r="K388" s="7">
        <v>371975.78</v>
      </c>
      <c r="L388">
        <v>257</v>
      </c>
      <c r="M388" t="s">
        <v>565</v>
      </c>
      <c r="N388" s="6">
        <f t="shared" si="25"/>
        <v>45870</v>
      </c>
      <c r="O388" t="s">
        <v>557</v>
      </c>
      <c r="P388" t="str">
        <f t="shared" si="26"/>
        <v>August 2025</v>
      </c>
      <c r="Q388" t="s">
        <v>37</v>
      </c>
      <c r="R388" s="7">
        <v>15703.19</v>
      </c>
      <c r="S388" s="7">
        <f t="shared" si="27"/>
        <v>387678.97000000003</v>
      </c>
    </row>
    <row r="389" spans="1:19" x14ac:dyDescent="0.3">
      <c r="A389" t="s">
        <v>808</v>
      </c>
      <c r="B389" s="5" t="s">
        <v>244</v>
      </c>
      <c r="C389" s="6">
        <f t="shared" si="24"/>
        <v>45962</v>
      </c>
      <c r="D389" t="s">
        <v>96</v>
      </c>
      <c r="E389" t="s">
        <v>75</v>
      </c>
      <c r="F389" t="s">
        <v>33</v>
      </c>
      <c r="G389" t="s">
        <v>222</v>
      </c>
      <c r="H389" t="s">
        <v>123</v>
      </c>
      <c r="I389">
        <v>2167</v>
      </c>
      <c r="J389" s="7">
        <v>484.21</v>
      </c>
      <c r="K389" s="7">
        <v>1049283.07</v>
      </c>
      <c r="L389">
        <v>490</v>
      </c>
      <c r="M389" t="s">
        <v>245</v>
      </c>
      <c r="N389" s="6">
        <f t="shared" si="25"/>
        <v>45962</v>
      </c>
      <c r="O389" t="s">
        <v>245</v>
      </c>
      <c r="P389" t="str">
        <f t="shared" si="26"/>
        <v>November 2025</v>
      </c>
      <c r="Q389" t="s">
        <v>37</v>
      </c>
      <c r="R389" s="7">
        <v>27778.31</v>
      </c>
      <c r="S389" s="7">
        <f t="shared" si="27"/>
        <v>1077061.3800000001</v>
      </c>
    </row>
    <row r="390" spans="1:19" x14ac:dyDescent="0.3">
      <c r="A390" t="s">
        <v>809</v>
      </c>
      <c r="B390" s="5" t="s">
        <v>231</v>
      </c>
      <c r="C390" s="6">
        <f t="shared" si="24"/>
        <v>45992</v>
      </c>
      <c r="D390" t="s">
        <v>31</v>
      </c>
      <c r="E390" t="s">
        <v>75</v>
      </c>
      <c r="F390" t="s">
        <v>33</v>
      </c>
      <c r="G390" t="s">
        <v>283</v>
      </c>
      <c r="H390" t="s">
        <v>123</v>
      </c>
      <c r="I390">
        <v>2499</v>
      </c>
      <c r="J390" s="7">
        <v>343.47</v>
      </c>
      <c r="K390" s="7">
        <v>858331.53</v>
      </c>
      <c r="L390">
        <v>565</v>
      </c>
      <c r="M390" t="s">
        <v>357</v>
      </c>
      <c r="N390" s="6">
        <f t="shared" si="25"/>
        <v>45992</v>
      </c>
      <c r="O390" t="s">
        <v>391</v>
      </c>
      <c r="P390" t="str">
        <f t="shared" si="26"/>
        <v>December 2025</v>
      </c>
      <c r="Q390" t="s">
        <v>37</v>
      </c>
      <c r="R390" s="7">
        <v>25786.17</v>
      </c>
      <c r="S390" s="7">
        <f t="shared" si="27"/>
        <v>884117.70000000007</v>
      </c>
    </row>
    <row r="391" spans="1:19" x14ac:dyDescent="0.3">
      <c r="A391" t="s">
        <v>810</v>
      </c>
      <c r="B391" s="5" t="s">
        <v>99</v>
      </c>
      <c r="C391" s="6">
        <f t="shared" si="24"/>
        <v>45839</v>
      </c>
      <c r="D391" t="s">
        <v>109</v>
      </c>
      <c r="E391" t="s">
        <v>32</v>
      </c>
      <c r="F391" t="s">
        <v>23</v>
      </c>
      <c r="G391" t="s">
        <v>163</v>
      </c>
      <c r="H391" t="s">
        <v>132</v>
      </c>
      <c r="I391">
        <v>92</v>
      </c>
      <c r="J391" s="7">
        <v>142.81</v>
      </c>
      <c r="K391" s="7">
        <v>13138.52</v>
      </c>
      <c r="L391">
        <v>718</v>
      </c>
      <c r="M391" t="s">
        <v>101</v>
      </c>
      <c r="N391" s="6">
        <f t="shared" si="25"/>
        <v>45839</v>
      </c>
      <c r="O391" t="s">
        <v>102</v>
      </c>
      <c r="P391" t="str">
        <f t="shared" si="26"/>
        <v>July 2025</v>
      </c>
      <c r="Q391" t="s">
        <v>28</v>
      </c>
      <c r="R391" s="7">
        <v>27177.25</v>
      </c>
      <c r="S391" s="7">
        <f t="shared" si="27"/>
        <v>40315.770000000004</v>
      </c>
    </row>
    <row r="392" spans="1:19" x14ac:dyDescent="0.3">
      <c r="A392" t="s">
        <v>811</v>
      </c>
      <c r="B392" s="5" t="s">
        <v>557</v>
      </c>
      <c r="C392" s="6">
        <f t="shared" si="24"/>
        <v>45870</v>
      </c>
      <c r="D392" t="s">
        <v>109</v>
      </c>
      <c r="E392" t="s">
        <v>53</v>
      </c>
      <c r="F392" t="s">
        <v>23</v>
      </c>
      <c r="G392" t="s">
        <v>202</v>
      </c>
      <c r="H392" t="s">
        <v>91</v>
      </c>
      <c r="I392">
        <v>2172</v>
      </c>
      <c r="J392" s="7">
        <v>234.05</v>
      </c>
      <c r="K392" s="7">
        <v>508356.6</v>
      </c>
      <c r="L392">
        <v>399</v>
      </c>
      <c r="M392" t="s">
        <v>566</v>
      </c>
      <c r="N392" s="6">
        <f t="shared" si="25"/>
        <v>45870</v>
      </c>
      <c r="O392" t="s">
        <v>696</v>
      </c>
      <c r="P392" t="str">
        <f t="shared" si="26"/>
        <v>August 2025</v>
      </c>
      <c r="Q392" t="s">
        <v>28</v>
      </c>
      <c r="R392" s="7">
        <v>16729.53</v>
      </c>
      <c r="S392" s="7">
        <f t="shared" si="27"/>
        <v>525086.13</v>
      </c>
    </row>
    <row r="393" spans="1:19" x14ac:dyDescent="0.3">
      <c r="A393" t="s">
        <v>812</v>
      </c>
      <c r="B393" s="5" t="s">
        <v>701</v>
      </c>
      <c r="C393" s="6">
        <f t="shared" si="24"/>
        <v>45809</v>
      </c>
      <c r="D393" t="s">
        <v>128</v>
      </c>
      <c r="E393" t="s">
        <v>32</v>
      </c>
      <c r="F393" t="s">
        <v>33</v>
      </c>
      <c r="G393" t="s">
        <v>66</v>
      </c>
      <c r="H393" t="s">
        <v>77</v>
      </c>
      <c r="I393">
        <v>1298</v>
      </c>
      <c r="J393" s="7">
        <v>140.43</v>
      </c>
      <c r="K393" s="7">
        <v>182278.14</v>
      </c>
      <c r="L393">
        <v>143</v>
      </c>
      <c r="M393" t="s">
        <v>218</v>
      </c>
      <c r="N393" s="6">
        <f t="shared" si="25"/>
        <v>45809</v>
      </c>
      <c r="O393" t="s">
        <v>218</v>
      </c>
      <c r="P393" t="str">
        <f t="shared" si="26"/>
        <v>June 2025</v>
      </c>
      <c r="Q393" t="s">
        <v>37</v>
      </c>
      <c r="R393" s="7">
        <v>8293.2199999999993</v>
      </c>
      <c r="S393" s="7">
        <f t="shared" si="27"/>
        <v>190571.36000000002</v>
      </c>
    </row>
    <row r="394" spans="1:19" x14ac:dyDescent="0.3">
      <c r="A394" t="s">
        <v>813</v>
      </c>
      <c r="B394" s="5" t="s">
        <v>117</v>
      </c>
      <c r="C394" s="6">
        <f t="shared" si="24"/>
        <v>45992</v>
      </c>
      <c r="D394" t="s">
        <v>109</v>
      </c>
      <c r="E394" t="s">
        <v>75</v>
      </c>
      <c r="F394" t="s">
        <v>45</v>
      </c>
      <c r="G394" t="s">
        <v>179</v>
      </c>
      <c r="H394" t="s">
        <v>123</v>
      </c>
      <c r="I394">
        <v>650</v>
      </c>
      <c r="J394" s="7">
        <v>273.26</v>
      </c>
      <c r="K394" s="7">
        <v>177619</v>
      </c>
      <c r="L394">
        <v>425</v>
      </c>
      <c r="M394" t="s">
        <v>490</v>
      </c>
      <c r="N394" s="6">
        <f t="shared" si="25"/>
        <v>45992</v>
      </c>
      <c r="O394" t="s">
        <v>119</v>
      </c>
      <c r="P394" t="str">
        <f t="shared" si="26"/>
        <v>December 2025</v>
      </c>
      <c r="Q394" t="s">
        <v>37</v>
      </c>
      <c r="R394" s="7">
        <v>19785.310000000001</v>
      </c>
      <c r="S394" s="7">
        <f t="shared" si="27"/>
        <v>197404.31</v>
      </c>
    </row>
    <row r="395" spans="1:19" x14ac:dyDescent="0.3">
      <c r="A395" t="s">
        <v>814</v>
      </c>
      <c r="B395" s="5" t="s">
        <v>204</v>
      </c>
      <c r="C395" s="6">
        <f t="shared" si="24"/>
        <v>45870</v>
      </c>
      <c r="D395" t="s">
        <v>96</v>
      </c>
      <c r="E395" t="s">
        <v>53</v>
      </c>
      <c r="F395" t="s">
        <v>33</v>
      </c>
      <c r="G395" t="s">
        <v>71</v>
      </c>
      <c r="H395" t="s">
        <v>61</v>
      </c>
      <c r="I395">
        <v>80</v>
      </c>
      <c r="J395" s="7">
        <v>822.87</v>
      </c>
      <c r="K395" s="7">
        <v>65829.600000000006</v>
      </c>
      <c r="L395">
        <v>712</v>
      </c>
      <c r="M395" t="s">
        <v>767</v>
      </c>
      <c r="N395" s="6">
        <f t="shared" si="25"/>
        <v>45870</v>
      </c>
      <c r="O395" t="s">
        <v>767</v>
      </c>
      <c r="P395" t="str">
        <f t="shared" si="26"/>
        <v>August 2025</v>
      </c>
      <c r="Q395" t="s">
        <v>37</v>
      </c>
      <c r="R395" s="7">
        <v>38375.769999999997</v>
      </c>
      <c r="S395" s="7">
        <f t="shared" si="27"/>
        <v>104205.37</v>
      </c>
    </row>
    <row r="396" spans="1:19" x14ac:dyDescent="0.3">
      <c r="A396" t="s">
        <v>815</v>
      </c>
      <c r="B396" s="5" t="s">
        <v>395</v>
      </c>
      <c r="C396" s="6">
        <f t="shared" si="24"/>
        <v>45870</v>
      </c>
      <c r="D396" t="s">
        <v>31</v>
      </c>
      <c r="E396" t="s">
        <v>32</v>
      </c>
      <c r="F396" t="s">
        <v>33</v>
      </c>
      <c r="G396" t="s">
        <v>66</v>
      </c>
      <c r="H396" t="s">
        <v>91</v>
      </c>
      <c r="I396">
        <v>1709</v>
      </c>
      <c r="J396" s="7">
        <v>96.7</v>
      </c>
      <c r="K396" s="7">
        <v>165260.29999999999</v>
      </c>
      <c r="L396">
        <v>456</v>
      </c>
      <c r="M396" t="s">
        <v>175</v>
      </c>
      <c r="N396" s="6">
        <f t="shared" si="25"/>
        <v>45901</v>
      </c>
      <c r="O396" t="s">
        <v>211</v>
      </c>
      <c r="P396" t="str">
        <f t="shared" si="26"/>
        <v>September 2025</v>
      </c>
      <c r="Q396" t="s">
        <v>28</v>
      </c>
      <c r="R396" s="7">
        <v>19197</v>
      </c>
      <c r="S396" s="7">
        <f t="shared" si="27"/>
        <v>184457.3</v>
      </c>
    </row>
    <row r="397" spans="1:19" x14ac:dyDescent="0.3">
      <c r="A397" t="s">
        <v>816</v>
      </c>
      <c r="B397" s="5" t="s">
        <v>330</v>
      </c>
      <c r="C397" s="6">
        <f t="shared" si="24"/>
        <v>45809</v>
      </c>
      <c r="D397" t="s">
        <v>31</v>
      </c>
      <c r="E397" t="s">
        <v>53</v>
      </c>
      <c r="F397" t="s">
        <v>45</v>
      </c>
      <c r="G397" t="s">
        <v>86</v>
      </c>
      <c r="H397" t="s">
        <v>55</v>
      </c>
      <c r="I397">
        <v>349</v>
      </c>
      <c r="J397" s="7">
        <v>645.59</v>
      </c>
      <c r="K397" s="7">
        <v>225310.91</v>
      </c>
      <c r="L397">
        <v>245</v>
      </c>
      <c r="M397" t="s">
        <v>142</v>
      </c>
      <c r="N397" s="6">
        <f t="shared" si="25"/>
        <v>45809</v>
      </c>
      <c r="O397" t="s">
        <v>330</v>
      </c>
      <c r="P397" t="str">
        <f t="shared" si="26"/>
        <v>June 2025</v>
      </c>
      <c r="Q397" t="s">
        <v>37</v>
      </c>
      <c r="R397" s="7">
        <v>13987.75</v>
      </c>
      <c r="S397" s="7">
        <f t="shared" si="27"/>
        <v>239298.66</v>
      </c>
    </row>
    <row r="398" spans="1:19" x14ac:dyDescent="0.3">
      <c r="A398" t="s">
        <v>817</v>
      </c>
      <c r="B398" s="5" t="s">
        <v>83</v>
      </c>
      <c r="C398" s="6">
        <f t="shared" si="24"/>
        <v>45870</v>
      </c>
      <c r="D398" t="s">
        <v>96</v>
      </c>
      <c r="E398" t="s">
        <v>53</v>
      </c>
      <c r="F398" t="s">
        <v>59</v>
      </c>
      <c r="G398" t="s">
        <v>265</v>
      </c>
      <c r="H398" t="s">
        <v>25</v>
      </c>
      <c r="I398">
        <v>555</v>
      </c>
      <c r="J398" s="7">
        <v>334.87</v>
      </c>
      <c r="K398" s="7">
        <v>185852.85</v>
      </c>
      <c r="L398">
        <v>533</v>
      </c>
      <c r="M398" t="s">
        <v>371</v>
      </c>
      <c r="N398" s="6">
        <f t="shared" si="25"/>
        <v>45870</v>
      </c>
      <c r="O398" t="s">
        <v>528</v>
      </c>
      <c r="P398" t="str">
        <f t="shared" si="26"/>
        <v>August 2025</v>
      </c>
      <c r="Q398" t="s">
        <v>37</v>
      </c>
      <c r="R398" s="7">
        <v>19024.900000000001</v>
      </c>
      <c r="S398" s="7">
        <f t="shared" si="27"/>
        <v>204877.75</v>
      </c>
    </row>
    <row r="399" spans="1:19" x14ac:dyDescent="0.3">
      <c r="A399" t="s">
        <v>818</v>
      </c>
      <c r="B399" s="5" t="s">
        <v>111</v>
      </c>
      <c r="C399" s="6">
        <f t="shared" si="24"/>
        <v>45992</v>
      </c>
      <c r="D399" t="s">
        <v>21</v>
      </c>
      <c r="E399" t="s">
        <v>32</v>
      </c>
      <c r="F399" t="s">
        <v>59</v>
      </c>
      <c r="G399" t="s">
        <v>283</v>
      </c>
      <c r="H399" t="s">
        <v>123</v>
      </c>
      <c r="I399">
        <v>2296</v>
      </c>
      <c r="J399" s="7">
        <v>311.23</v>
      </c>
      <c r="K399" s="7">
        <v>714584.08</v>
      </c>
      <c r="L399">
        <v>538</v>
      </c>
      <c r="M399" t="s">
        <v>119</v>
      </c>
      <c r="N399" s="6">
        <f t="shared" si="25"/>
        <v>45992</v>
      </c>
      <c r="O399" t="s">
        <v>420</v>
      </c>
      <c r="P399" t="str">
        <f t="shared" si="26"/>
        <v>December 2025</v>
      </c>
      <c r="Q399" t="s">
        <v>28</v>
      </c>
      <c r="R399" s="7">
        <v>26457.53</v>
      </c>
      <c r="S399" s="7">
        <f t="shared" si="27"/>
        <v>741041.61</v>
      </c>
    </row>
    <row r="400" spans="1:19" x14ac:dyDescent="0.3">
      <c r="A400" t="s">
        <v>819</v>
      </c>
      <c r="B400" s="5" t="s">
        <v>79</v>
      </c>
      <c r="C400" s="6">
        <f t="shared" si="24"/>
        <v>45748</v>
      </c>
      <c r="D400" t="s">
        <v>21</v>
      </c>
      <c r="E400" t="s">
        <v>32</v>
      </c>
      <c r="F400" t="s">
        <v>59</v>
      </c>
      <c r="G400" t="s">
        <v>86</v>
      </c>
      <c r="H400" t="s">
        <v>61</v>
      </c>
      <c r="I400">
        <v>1326</v>
      </c>
      <c r="J400" s="7">
        <v>367.26</v>
      </c>
      <c r="K400" s="7">
        <v>486986.76</v>
      </c>
      <c r="L400">
        <v>108</v>
      </c>
      <c r="M400" t="s">
        <v>659</v>
      </c>
      <c r="N400" s="6">
        <f t="shared" si="25"/>
        <v>45748</v>
      </c>
      <c r="O400" t="s">
        <v>660</v>
      </c>
      <c r="P400" t="str">
        <f t="shared" si="26"/>
        <v>April 2025</v>
      </c>
      <c r="Q400" t="s">
        <v>28</v>
      </c>
      <c r="R400" s="7">
        <v>5017.04</v>
      </c>
      <c r="S400" s="7">
        <f t="shared" si="27"/>
        <v>492003.8</v>
      </c>
    </row>
    <row r="401" spans="1:19" x14ac:dyDescent="0.3">
      <c r="A401" t="s">
        <v>820</v>
      </c>
      <c r="B401" s="5" t="s">
        <v>280</v>
      </c>
      <c r="C401" s="6">
        <f t="shared" si="24"/>
        <v>45809</v>
      </c>
      <c r="D401" t="s">
        <v>109</v>
      </c>
      <c r="E401" t="s">
        <v>53</v>
      </c>
      <c r="F401" t="s">
        <v>59</v>
      </c>
      <c r="G401" t="s">
        <v>179</v>
      </c>
      <c r="H401" t="s">
        <v>61</v>
      </c>
      <c r="I401">
        <v>864</v>
      </c>
      <c r="J401" s="7">
        <v>800.42</v>
      </c>
      <c r="K401" s="7">
        <v>691562.88</v>
      </c>
      <c r="L401">
        <v>245</v>
      </c>
      <c r="M401" t="s">
        <v>278</v>
      </c>
      <c r="N401" s="6">
        <f t="shared" si="25"/>
        <v>45809</v>
      </c>
      <c r="O401" t="s">
        <v>278</v>
      </c>
      <c r="P401" t="str">
        <f t="shared" si="26"/>
        <v>June 2025</v>
      </c>
      <c r="Q401" t="s">
        <v>37</v>
      </c>
      <c r="R401" s="7">
        <v>13308.89</v>
      </c>
      <c r="S401" s="7">
        <f t="shared" si="27"/>
        <v>704871.77</v>
      </c>
    </row>
    <row r="402" spans="1:19" x14ac:dyDescent="0.3">
      <c r="A402" t="s">
        <v>821</v>
      </c>
      <c r="B402" s="5" t="s">
        <v>140</v>
      </c>
      <c r="C402" s="6">
        <f t="shared" si="24"/>
        <v>45931</v>
      </c>
      <c r="D402" t="s">
        <v>31</v>
      </c>
      <c r="E402" t="s">
        <v>53</v>
      </c>
      <c r="F402" t="s">
        <v>59</v>
      </c>
      <c r="G402" t="s">
        <v>241</v>
      </c>
      <c r="H402" t="s">
        <v>25</v>
      </c>
      <c r="I402">
        <v>2026</v>
      </c>
      <c r="J402" s="7">
        <v>452.83</v>
      </c>
      <c r="K402" s="7">
        <v>917433.58</v>
      </c>
      <c r="L402">
        <v>68</v>
      </c>
      <c r="M402" t="s">
        <v>199</v>
      </c>
      <c r="N402" s="6">
        <f t="shared" si="25"/>
        <v>45931</v>
      </c>
      <c r="O402" t="s">
        <v>199</v>
      </c>
      <c r="P402" t="str">
        <f t="shared" si="26"/>
        <v>October 2025</v>
      </c>
      <c r="Q402" t="s">
        <v>37</v>
      </c>
      <c r="R402" s="7">
        <v>2968.77</v>
      </c>
      <c r="S402" s="7">
        <f t="shared" si="27"/>
        <v>920402.35</v>
      </c>
    </row>
    <row r="403" spans="1:19" x14ac:dyDescent="0.3">
      <c r="A403" t="s">
        <v>822</v>
      </c>
      <c r="B403" s="5" t="s">
        <v>554</v>
      </c>
      <c r="C403" s="6">
        <f t="shared" si="24"/>
        <v>45870</v>
      </c>
      <c r="D403" t="s">
        <v>21</v>
      </c>
      <c r="E403" t="s">
        <v>70</v>
      </c>
      <c r="F403" t="s">
        <v>59</v>
      </c>
      <c r="G403" t="s">
        <v>168</v>
      </c>
      <c r="H403" t="s">
        <v>132</v>
      </c>
      <c r="I403">
        <v>1300</v>
      </c>
      <c r="J403" s="7">
        <v>417</v>
      </c>
      <c r="K403" s="7">
        <v>542100</v>
      </c>
      <c r="L403">
        <v>467</v>
      </c>
      <c r="M403" t="s">
        <v>251</v>
      </c>
      <c r="N403" s="6">
        <f t="shared" si="25"/>
        <v>45870</v>
      </c>
      <c r="O403" t="s">
        <v>251</v>
      </c>
      <c r="P403" t="str">
        <f t="shared" si="26"/>
        <v>August 2025</v>
      </c>
      <c r="Q403" t="s">
        <v>37</v>
      </c>
      <c r="R403" s="7">
        <v>27588.47</v>
      </c>
      <c r="S403" s="7">
        <f t="shared" si="27"/>
        <v>569688.47</v>
      </c>
    </row>
    <row r="404" spans="1:19" x14ac:dyDescent="0.3">
      <c r="A404" t="s">
        <v>823</v>
      </c>
      <c r="B404" s="5" t="s">
        <v>226</v>
      </c>
      <c r="C404" s="6">
        <f t="shared" si="24"/>
        <v>45870</v>
      </c>
      <c r="D404" t="s">
        <v>21</v>
      </c>
      <c r="E404" t="s">
        <v>32</v>
      </c>
      <c r="F404" t="s">
        <v>33</v>
      </c>
      <c r="G404" t="s">
        <v>24</v>
      </c>
      <c r="H404" t="s">
        <v>25</v>
      </c>
      <c r="I404">
        <v>138</v>
      </c>
      <c r="J404" s="7">
        <v>436.02</v>
      </c>
      <c r="K404" s="7">
        <v>60170.76</v>
      </c>
      <c r="L404">
        <v>428</v>
      </c>
      <c r="M404" t="s">
        <v>252</v>
      </c>
      <c r="N404" s="6">
        <f t="shared" si="25"/>
        <v>45870</v>
      </c>
      <c r="O404" t="s">
        <v>824</v>
      </c>
      <c r="P404" t="str">
        <f t="shared" si="26"/>
        <v>August 2025</v>
      </c>
      <c r="Q404" t="s">
        <v>28</v>
      </c>
      <c r="R404" s="7">
        <v>24507.74</v>
      </c>
      <c r="S404" s="7">
        <f t="shared" si="27"/>
        <v>84678.5</v>
      </c>
    </row>
    <row r="405" spans="1:19" x14ac:dyDescent="0.3">
      <c r="A405" t="s">
        <v>825</v>
      </c>
      <c r="B405" s="5" t="s">
        <v>513</v>
      </c>
      <c r="C405" s="6">
        <f t="shared" si="24"/>
        <v>45839</v>
      </c>
      <c r="D405" t="s">
        <v>65</v>
      </c>
      <c r="E405" t="s">
        <v>53</v>
      </c>
      <c r="F405" t="s">
        <v>59</v>
      </c>
      <c r="G405" t="s">
        <v>88</v>
      </c>
      <c r="H405" t="s">
        <v>91</v>
      </c>
      <c r="I405">
        <v>595</v>
      </c>
      <c r="J405" s="7">
        <v>346.65</v>
      </c>
      <c r="K405" s="7">
        <v>206256.75</v>
      </c>
      <c r="L405">
        <v>34</v>
      </c>
      <c r="M405" t="s">
        <v>98</v>
      </c>
      <c r="N405" s="6">
        <f t="shared" si="25"/>
        <v>45839</v>
      </c>
      <c r="O405" t="s">
        <v>99</v>
      </c>
      <c r="P405" t="str">
        <f t="shared" si="26"/>
        <v>July 2025</v>
      </c>
      <c r="Q405" t="s">
        <v>28</v>
      </c>
      <c r="R405" s="7">
        <v>1626.5</v>
      </c>
      <c r="S405" s="7">
        <f t="shared" si="27"/>
        <v>207883.25</v>
      </c>
    </row>
    <row r="406" spans="1:19" x14ac:dyDescent="0.3">
      <c r="A406" t="s">
        <v>826</v>
      </c>
      <c r="B406" s="5" t="s">
        <v>314</v>
      </c>
      <c r="C406" s="6">
        <f t="shared" si="24"/>
        <v>45870</v>
      </c>
      <c r="D406" t="s">
        <v>128</v>
      </c>
      <c r="E406" t="s">
        <v>22</v>
      </c>
      <c r="F406" t="s">
        <v>23</v>
      </c>
      <c r="G406" t="s">
        <v>76</v>
      </c>
      <c r="H406" t="s">
        <v>47</v>
      </c>
      <c r="I406">
        <v>1155</v>
      </c>
      <c r="J406" s="7">
        <v>95.27</v>
      </c>
      <c r="K406" s="7">
        <v>110036.85</v>
      </c>
      <c r="L406">
        <v>150</v>
      </c>
      <c r="M406" t="s">
        <v>81</v>
      </c>
      <c r="N406" s="6">
        <f t="shared" si="25"/>
        <v>45870</v>
      </c>
      <c r="O406" t="s">
        <v>81</v>
      </c>
      <c r="P406" t="str">
        <f t="shared" si="26"/>
        <v>August 2025</v>
      </c>
      <c r="Q406" t="s">
        <v>37</v>
      </c>
      <c r="R406" s="7">
        <v>6381.73</v>
      </c>
      <c r="S406" s="7">
        <f t="shared" si="27"/>
        <v>116418.58</v>
      </c>
    </row>
    <row r="407" spans="1:19" x14ac:dyDescent="0.3">
      <c r="A407" t="s">
        <v>827</v>
      </c>
      <c r="B407" s="5" t="s">
        <v>256</v>
      </c>
      <c r="C407" s="6">
        <f t="shared" si="24"/>
        <v>45901</v>
      </c>
      <c r="D407" t="s">
        <v>128</v>
      </c>
      <c r="E407" t="s">
        <v>53</v>
      </c>
      <c r="F407" t="s">
        <v>33</v>
      </c>
      <c r="G407" t="s">
        <v>60</v>
      </c>
      <c r="H407" t="s">
        <v>123</v>
      </c>
      <c r="I407">
        <v>890</v>
      </c>
      <c r="J407" s="7">
        <v>150.30000000000001</v>
      </c>
      <c r="K407" s="7">
        <v>133767</v>
      </c>
      <c r="L407">
        <v>364</v>
      </c>
      <c r="M407" t="s">
        <v>427</v>
      </c>
      <c r="N407" s="6">
        <f t="shared" si="25"/>
        <v>45901</v>
      </c>
      <c r="O407" t="s">
        <v>427</v>
      </c>
      <c r="P407" t="str">
        <f t="shared" si="26"/>
        <v>September 2025</v>
      </c>
      <c r="Q407" t="s">
        <v>37</v>
      </c>
      <c r="R407" s="7">
        <v>18862.900000000001</v>
      </c>
      <c r="S407" s="7">
        <f t="shared" si="27"/>
        <v>152629.9</v>
      </c>
    </row>
    <row r="408" spans="1:19" x14ac:dyDescent="0.3">
      <c r="A408" t="s">
        <v>828</v>
      </c>
      <c r="B408" s="5" t="s">
        <v>525</v>
      </c>
      <c r="C408" s="6">
        <f t="shared" si="24"/>
        <v>45809</v>
      </c>
      <c r="D408" t="s">
        <v>109</v>
      </c>
      <c r="E408" t="s">
        <v>75</v>
      </c>
      <c r="F408" t="s">
        <v>59</v>
      </c>
      <c r="G408" t="s">
        <v>118</v>
      </c>
      <c r="H408" t="s">
        <v>132</v>
      </c>
      <c r="I408">
        <v>2450</v>
      </c>
      <c r="J408" s="7">
        <v>149.65</v>
      </c>
      <c r="K408" s="7">
        <v>366642.5</v>
      </c>
      <c r="L408">
        <v>256</v>
      </c>
      <c r="M408" t="s">
        <v>526</v>
      </c>
      <c r="N408" s="6">
        <f t="shared" si="25"/>
        <v>45809</v>
      </c>
      <c r="O408" t="s">
        <v>526</v>
      </c>
      <c r="P408" t="str">
        <f t="shared" si="26"/>
        <v>June 2025</v>
      </c>
      <c r="Q408" t="s">
        <v>37</v>
      </c>
      <c r="R408" s="7">
        <v>12634.28</v>
      </c>
      <c r="S408" s="7">
        <f t="shared" si="27"/>
        <v>379276.78</v>
      </c>
    </row>
    <row r="409" spans="1:19" x14ac:dyDescent="0.3">
      <c r="A409" t="s">
        <v>829</v>
      </c>
      <c r="B409" s="5" t="s">
        <v>402</v>
      </c>
      <c r="C409" s="6">
        <f t="shared" si="24"/>
        <v>45870</v>
      </c>
      <c r="D409" t="s">
        <v>52</v>
      </c>
      <c r="E409" t="s">
        <v>53</v>
      </c>
      <c r="F409" t="s">
        <v>59</v>
      </c>
      <c r="G409" t="s">
        <v>34</v>
      </c>
      <c r="H409" t="s">
        <v>123</v>
      </c>
      <c r="I409">
        <v>1535</v>
      </c>
      <c r="J409" s="7">
        <v>179.53</v>
      </c>
      <c r="K409" s="7">
        <v>275578.55</v>
      </c>
      <c r="L409">
        <v>122</v>
      </c>
      <c r="M409" t="s">
        <v>314</v>
      </c>
      <c r="N409" s="6">
        <f t="shared" si="25"/>
        <v>45870</v>
      </c>
      <c r="O409" t="s">
        <v>314</v>
      </c>
      <c r="P409" t="str">
        <f t="shared" si="26"/>
        <v>August 2025</v>
      </c>
      <c r="Q409" t="s">
        <v>37</v>
      </c>
      <c r="R409" s="7">
        <v>6346.32</v>
      </c>
      <c r="S409" s="7">
        <f t="shared" si="27"/>
        <v>281924.87</v>
      </c>
    </row>
    <row r="410" spans="1:19" x14ac:dyDescent="0.3">
      <c r="A410" t="s">
        <v>830</v>
      </c>
      <c r="B410" s="5" t="s">
        <v>44</v>
      </c>
      <c r="C410" s="6">
        <f t="shared" si="24"/>
        <v>45658</v>
      </c>
      <c r="D410" t="s">
        <v>65</v>
      </c>
      <c r="E410" t="s">
        <v>22</v>
      </c>
      <c r="F410" t="s">
        <v>45</v>
      </c>
      <c r="G410" t="s">
        <v>384</v>
      </c>
      <c r="H410" t="s">
        <v>91</v>
      </c>
      <c r="I410">
        <v>1586</v>
      </c>
      <c r="J410" s="7">
        <v>762.49</v>
      </c>
      <c r="K410" s="7">
        <v>1209309.1399999999</v>
      </c>
      <c r="L410">
        <v>455</v>
      </c>
      <c r="M410" t="s">
        <v>48</v>
      </c>
      <c r="N410" s="6">
        <f t="shared" si="25"/>
        <v>45658</v>
      </c>
      <c r="O410" t="s">
        <v>327</v>
      </c>
      <c r="P410" t="str">
        <f t="shared" si="26"/>
        <v>January 2025</v>
      </c>
      <c r="Q410" t="s">
        <v>28</v>
      </c>
      <c r="R410" s="7">
        <v>21446.58</v>
      </c>
      <c r="S410" s="7">
        <f t="shared" si="27"/>
        <v>1230755.72</v>
      </c>
    </row>
    <row r="411" spans="1:19" x14ac:dyDescent="0.3">
      <c r="A411" t="s">
        <v>831</v>
      </c>
      <c r="B411" s="5" t="s">
        <v>238</v>
      </c>
      <c r="C411" s="6">
        <f t="shared" si="24"/>
        <v>45962</v>
      </c>
      <c r="D411" t="s">
        <v>21</v>
      </c>
      <c r="E411" t="s">
        <v>75</v>
      </c>
      <c r="F411" t="s">
        <v>45</v>
      </c>
      <c r="G411" t="s">
        <v>60</v>
      </c>
      <c r="H411" t="s">
        <v>132</v>
      </c>
      <c r="I411">
        <v>1014</v>
      </c>
      <c r="J411" s="7">
        <v>369.07</v>
      </c>
      <c r="K411" s="7">
        <v>374236.98</v>
      </c>
      <c r="L411">
        <v>291</v>
      </c>
      <c r="M411" t="s">
        <v>639</v>
      </c>
      <c r="N411" s="6">
        <f t="shared" si="25"/>
        <v>45962</v>
      </c>
      <c r="O411" t="s">
        <v>639</v>
      </c>
      <c r="P411" t="str">
        <f t="shared" si="26"/>
        <v>November 2025</v>
      </c>
      <c r="Q411" t="s">
        <v>37</v>
      </c>
      <c r="R411" s="7">
        <v>13244.87</v>
      </c>
      <c r="S411" s="7">
        <f t="shared" si="27"/>
        <v>387481.85</v>
      </c>
    </row>
    <row r="412" spans="1:19" x14ac:dyDescent="0.3">
      <c r="A412" t="s">
        <v>832</v>
      </c>
      <c r="B412" s="5" t="s">
        <v>20</v>
      </c>
      <c r="C412" s="6">
        <f t="shared" si="24"/>
        <v>45748</v>
      </c>
      <c r="D412" t="s">
        <v>21</v>
      </c>
      <c r="E412" t="s">
        <v>53</v>
      </c>
      <c r="F412" t="s">
        <v>45</v>
      </c>
      <c r="G412" t="s">
        <v>66</v>
      </c>
      <c r="H412" t="s">
        <v>155</v>
      </c>
      <c r="I412">
        <v>134</v>
      </c>
      <c r="J412" s="7">
        <v>280.24</v>
      </c>
      <c r="K412" s="7">
        <v>37552.160000000003</v>
      </c>
      <c r="L412">
        <v>116</v>
      </c>
      <c r="M412" t="s">
        <v>85</v>
      </c>
      <c r="N412" s="6">
        <f t="shared" si="25"/>
        <v>45748</v>
      </c>
      <c r="O412" t="s">
        <v>377</v>
      </c>
      <c r="P412" t="str">
        <f t="shared" si="26"/>
        <v>May 2025</v>
      </c>
      <c r="Q412" t="s">
        <v>28</v>
      </c>
      <c r="R412" s="7">
        <v>5759.7</v>
      </c>
      <c r="S412" s="7">
        <f t="shared" si="27"/>
        <v>43311.86</v>
      </c>
    </row>
    <row r="413" spans="1:19" x14ac:dyDescent="0.3">
      <c r="A413" t="s">
        <v>833</v>
      </c>
      <c r="B413" s="5" t="s">
        <v>306</v>
      </c>
      <c r="C413" s="6">
        <f t="shared" si="24"/>
        <v>45931</v>
      </c>
      <c r="D413" t="s">
        <v>21</v>
      </c>
      <c r="E413" t="s">
        <v>32</v>
      </c>
      <c r="F413" t="s">
        <v>33</v>
      </c>
      <c r="G413" t="s">
        <v>97</v>
      </c>
      <c r="H413" t="s">
        <v>132</v>
      </c>
      <c r="I413">
        <v>2143</v>
      </c>
      <c r="J413" s="7">
        <v>725.64</v>
      </c>
      <c r="K413" s="7">
        <v>1555046.52</v>
      </c>
      <c r="L413">
        <v>340</v>
      </c>
      <c r="M413" t="s">
        <v>834</v>
      </c>
      <c r="N413" s="6">
        <f t="shared" si="25"/>
        <v>45931</v>
      </c>
      <c r="O413" t="s">
        <v>306</v>
      </c>
      <c r="P413" t="str">
        <f t="shared" si="26"/>
        <v>October 2025</v>
      </c>
      <c r="Q413" t="s">
        <v>37</v>
      </c>
      <c r="R413" s="7">
        <v>17378.97</v>
      </c>
      <c r="S413" s="7">
        <f t="shared" si="27"/>
        <v>1572425.49</v>
      </c>
    </row>
    <row r="414" spans="1:19" x14ac:dyDescent="0.3">
      <c r="A414" t="s">
        <v>835</v>
      </c>
      <c r="B414" s="5" t="s">
        <v>437</v>
      </c>
      <c r="C414" s="6">
        <f t="shared" si="24"/>
        <v>45717</v>
      </c>
      <c r="D414" t="s">
        <v>96</v>
      </c>
      <c r="E414" t="s">
        <v>32</v>
      </c>
      <c r="F414" t="s">
        <v>45</v>
      </c>
      <c r="G414" t="s">
        <v>97</v>
      </c>
      <c r="H414" t="s">
        <v>132</v>
      </c>
      <c r="I414">
        <v>1992</v>
      </c>
      <c r="J414" s="7">
        <v>328.77</v>
      </c>
      <c r="K414" s="7">
        <v>654909.84</v>
      </c>
      <c r="L414">
        <v>219</v>
      </c>
      <c r="M414" t="s">
        <v>836</v>
      </c>
      <c r="N414" s="6">
        <f t="shared" si="25"/>
        <v>45717</v>
      </c>
      <c r="O414" t="s">
        <v>437</v>
      </c>
      <c r="P414" t="str">
        <f t="shared" si="26"/>
        <v>March 2025</v>
      </c>
      <c r="Q414" t="s">
        <v>37</v>
      </c>
      <c r="R414" s="7">
        <v>7715.03</v>
      </c>
      <c r="S414" s="7">
        <f t="shared" si="27"/>
        <v>662624.87</v>
      </c>
    </row>
    <row r="415" spans="1:19" x14ac:dyDescent="0.3">
      <c r="A415" t="s">
        <v>837</v>
      </c>
      <c r="B415" s="5" t="s">
        <v>124</v>
      </c>
      <c r="C415" s="6">
        <f t="shared" si="24"/>
        <v>45992</v>
      </c>
      <c r="D415" t="s">
        <v>96</v>
      </c>
      <c r="E415" t="s">
        <v>70</v>
      </c>
      <c r="F415" t="s">
        <v>45</v>
      </c>
      <c r="G415" t="s">
        <v>118</v>
      </c>
      <c r="H415" t="s">
        <v>55</v>
      </c>
      <c r="I415">
        <v>282</v>
      </c>
      <c r="J415" s="7">
        <v>129.13999999999999</v>
      </c>
      <c r="K415" s="7">
        <v>36417.480000000003</v>
      </c>
      <c r="L415">
        <v>273</v>
      </c>
      <c r="M415" t="s">
        <v>617</v>
      </c>
      <c r="N415" s="6">
        <f t="shared" si="25"/>
        <v>45992</v>
      </c>
      <c r="O415" t="s">
        <v>617</v>
      </c>
      <c r="P415" t="str">
        <f t="shared" si="26"/>
        <v>December 2025</v>
      </c>
      <c r="Q415" t="s">
        <v>37</v>
      </c>
      <c r="R415" s="7">
        <v>14655.15</v>
      </c>
      <c r="S415" s="7">
        <f t="shared" si="27"/>
        <v>51072.630000000005</v>
      </c>
    </row>
    <row r="416" spans="1:19" x14ac:dyDescent="0.3">
      <c r="A416" t="s">
        <v>838</v>
      </c>
      <c r="B416" s="5" t="s">
        <v>64</v>
      </c>
      <c r="C416" s="6">
        <f t="shared" si="24"/>
        <v>45717</v>
      </c>
      <c r="D416" t="s">
        <v>21</v>
      </c>
      <c r="E416" t="s">
        <v>75</v>
      </c>
      <c r="F416" t="s">
        <v>23</v>
      </c>
      <c r="G416" t="s">
        <v>71</v>
      </c>
      <c r="H416" t="s">
        <v>47</v>
      </c>
      <c r="I416">
        <v>91</v>
      </c>
      <c r="J416" s="7">
        <v>276.69</v>
      </c>
      <c r="K416" s="7">
        <v>25178.79</v>
      </c>
      <c r="L416">
        <v>35</v>
      </c>
      <c r="M416" t="s">
        <v>791</v>
      </c>
      <c r="N416" s="6">
        <f t="shared" si="25"/>
        <v>45717</v>
      </c>
      <c r="O416" t="s">
        <v>791</v>
      </c>
      <c r="P416" t="str">
        <f t="shared" si="26"/>
        <v>March 2025</v>
      </c>
      <c r="Q416" t="s">
        <v>37</v>
      </c>
      <c r="R416" s="7">
        <v>1302</v>
      </c>
      <c r="S416" s="7">
        <f t="shared" si="27"/>
        <v>26480.79</v>
      </c>
    </row>
    <row r="417" spans="1:19" x14ac:dyDescent="0.3">
      <c r="A417" t="s">
        <v>839</v>
      </c>
      <c r="B417" s="5" t="s">
        <v>570</v>
      </c>
      <c r="C417" s="6">
        <f t="shared" si="24"/>
        <v>45778</v>
      </c>
      <c r="D417" t="s">
        <v>40</v>
      </c>
      <c r="E417" t="s">
        <v>22</v>
      </c>
      <c r="F417" t="s">
        <v>23</v>
      </c>
      <c r="G417" t="s">
        <v>384</v>
      </c>
      <c r="H417" t="s">
        <v>123</v>
      </c>
      <c r="I417">
        <v>2007</v>
      </c>
      <c r="J417" s="7">
        <v>801.82</v>
      </c>
      <c r="K417" s="7">
        <v>1609252.74</v>
      </c>
      <c r="L417">
        <v>215</v>
      </c>
      <c r="M417" t="s">
        <v>642</v>
      </c>
      <c r="N417" s="6">
        <f t="shared" si="25"/>
        <v>45778</v>
      </c>
      <c r="O417" t="s">
        <v>570</v>
      </c>
      <c r="P417" t="str">
        <f t="shared" si="26"/>
        <v>May 2025</v>
      </c>
      <c r="Q417" t="s">
        <v>37</v>
      </c>
      <c r="R417" s="7">
        <v>10956.24</v>
      </c>
      <c r="S417" s="7">
        <f t="shared" si="27"/>
        <v>1620208.98</v>
      </c>
    </row>
    <row r="418" spans="1:19" x14ac:dyDescent="0.3">
      <c r="A418" t="s">
        <v>840</v>
      </c>
      <c r="B418" s="5" t="s">
        <v>83</v>
      </c>
      <c r="C418" s="6">
        <f t="shared" si="24"/>
        <v>45870</v>
      </c>
      <c r="D418" t="s">
        <v>21</v>
      </c>
      <c r="E418" t="s">
        <v>70</v>
      </c>
      <c r="F418" t="s">
        <v>59</v>
      </c>
      <c r="G418" t="s">
        <v>86</v>
      </c>
      <c r="H418" t="s">
        <v>25</v>
      </c>
      <c r="I418">
        <v>2280</v>
      </c>
      <c r="J418" s="7">
        <v>624.59</v>
      </c>
      <c r="K418" s="7">
        <v>1424065.2</v>
      </c>
      <c r="L418">
        <v>480</v>
      </c>
      <c r="M418" t="s">
        <v>371</v>
      </c>
      <c r="N418" s="6">
        <f t="shared" si="25"/>
        <v>45870</v>
      </c>
      <c r="O418" t="s">
        <v>169</v>
      </c>
      <c r="P418" t="str">
        <f t="shared" si="26"/>
        <v>August 2025</v>
      </c>
      <c r="Q418" t="s">
        <v>28</v>
      </c>
      <c r="R418" s="7">
        <v>22966.76</v>
      </c>
      <c r="S418" s="7">
        <f t="shared" si="27"/>
        <v>1447031.96</v>
      </c>
    </row>
    <row r="419" spans="1:19" x14ac:dyDescent="0.3">
      <c r="A419" t="s">
        <v>841</v>
      </c>
      <c r="B419" s="5" t="s">
        <v>578</v>
      </c>
      <c r="C419" s="6">
        <f t="shared" si="24"/>
        <v>45809</v>
      </c>
      <c r="D419" t="s">
        <v>109</v>
      </c>
      <c r="E419" t="s">
        <v>143</v>
      </c>
      <c r="F419" t="s">
        <v>23</v>
      </c>
      <c r="G419" t="s">
        <v>222</v>
      </c>
      <c r="H419" t="s">
        <v>77</v>
      </c>
      <c r="I419">
        <v>2059</v>
      </c>
      <c r="J419" s="7">
        <v>380.08</v>
      </c>
      <c r="K419" s="7">
        <v>782584.72</v>
      </c>
      <c r="L419">
        <v>42</v>
      </c>
      <c r="M419" t="s">
        <v>330</v>
      </c>
      <c r="N419" s="6">
        <f t="shared" si="25"/>
        <v>45809</v>
      </c>
      <c r="O419" t="s">
        <v>330</v>
      </c>
      <c r="P419" t="str">
        <f t="shared" si="26"/>
        <v>June 2025</v>
      </c>
      <c r="Q419" t="s">
        <v>37</v>
      </c>
      <c r="R419" s="7">
        <v>2578.04</v>
      </c>
      <c r="S419" s="7">
        <f t="shared" si="27"/>
        <v>785162.76</v>
      </c>
    </row>
    <row r="420" spans="1:19" x14ac:dyDescent="0.3">
      <c r="A420" t="s">
        <v>842</v>
      </c>
      <c r="B420" s="5" t="s">
        <v>843</v>
      </c>
      <c r="C420" s="6">
        <f t="shared" si="24"/>
        <v>45658</v>
      </c>
      <c r="D420" t="s">
        <v>21</v>
      </c>
      <c r="E420" t="s">
        <v>143</v>
      </c>
      <c r="F420" t="s">
        <v>59</v>
      </c>
      <c r="G420" t="s">
        <v>60</v>
      </c>
      <c r="H420" t="s">
        <v>123</v>
      </c>
      <c r="I420">
        <v>1315</v>
      </c>
      <c r="J420" s="7">
        <v>374.32</v>
      </c>
      <c r="K420" s="7">
        <v>492230.8</v>
      </c>
      <c r="L420">
        <v>600</v>
      </c>
      <c r="M420" t="s">
        <v>308</v>
      </c>
      <c r="N420" s="6">
        <f t="shared" si="25"/>
        <v>45658</v>
      </c>
      <c r="O420" t="s">
        <v>308</v>
      </c>
      <c r="P420" t="str">
        <f t="shared" si="26"/>
        <v>January 2025</v>
      </c>
      <c r="Q420" t="s">
        <v>37</v>
      </c>
      <c r="R420" s="7">
        <v>0</v>
      </c>
      <c r="S420" s="7">
        <f t="shared" si="27"/>
        <v>492230.8</v>
      </c>
    </row>
    <row r="421" spans="1:19" x14ac:dyDescent="0.3">
      <c r="A421" t="s">
        <v>844</v>
      </c>
      <c r="B421" s="5" t="s">
        <v>264</v>
      </c>
      <c r="C421" s="6">
        <f t="shared" si="24"/>
        <v>45748</v>
      </c>
      <c r="D421" t="s">
        <v>65</v>
      </c>
      <c r="E421" t="s">
        <v>143</v>
      </c>
      <c r="F421" t="s">
        <v>59</v>
      </c>
      <c r="G421" t="s">
        <v>138</v>
      </c>
      <c r="H421" t="s">
        <v>25</v>
      </c>
      <c r="I421">
        <v>983</v>
      </c>
      <c r="J421" s="7">
        <v>373.44</v>
      </c>
      <c r="K421" s="7">
        <v>367091.52</v>
      </c>
      <c r="L421">
        <v>424</v>
      </c>
      <c r="M421" t="s">
        <v>78</v>
      </c>
      <c r="N421" s="6">
        <f t="shared" si="25"/>
        <v>45748</v>
      </c>
      <c r="O421" t="s">
        <v>261</v>
      </c>
      <c r="P421" t="str">
        <f t="shared" si="26"/>
        <v>April 2025</v>
      </c>
      <c r="Q421" t="s">
        <v>28</v>
      </c>
      <c r="R421" s="7">
        <v>20620.919999999998</v>
      </c>
      <c r="S421" s="7">
        <f t="shared" si="27"/>
        <v>387712.44</v>
      </c>
    </row>
    <row r="422" spans="1:19" x14ac:dyDescent="0.3">
      <c r="A422" t="s">
        <v>845</v>
      </c>
      <c r="B422" s="5" t="s">
        <v>178</v>
      </c>
      <c r="C422" s="6">
        <f t="shared" si="24"/>
        <v>45689</v>
      </c>
      <c r="D422" t="s">
        <v>21</v>
      </c>
      <c r="E422" t="s">
        <v>53</v>
      </c>
      <c r="F422" t="s">
        <v>45</v>
      </c>
      <c r="G422" t="s">
        <v>168</v>
      </c>
      <c r="H422" t="s">
        <v>77</v>
      </c>
      <c r="I422">
        <v>1160</v>
      </c>
      <c r="J422" s="7">
        <v>659.96</v>
      </c>
      <c r="K422" s="7">
        <v>765553.6</v>
      </c>
      <c r="L422">
        <v>518</v>
      </c>
      <c r="M422" t="s">
        <v>846</v>
      </c>
      <c r="N422" s="6">
        <f t="shared" si="25"/>
        <v>45689</v>
      </c>
      <c r="O422" t="s">
        <v>846</v>
      </c>
      <c r="P422" t="str">
        <f t="shared" si="26"/>
        <v>February 2025</v>
      </c>
      <c r="Q422" t="s">
        <v>37</v>
      </c>
      <c r="R422" s="7">
        <v>22703.95</v>
      </c>
      <c r="S422" s="7">
        <f t="shared" si="27"/>
        <v>788257.54999999993</v>
      </c>
    </row>
    <row r="423" spans="1:19" x14ac:dyDescent="0.3">
      <c r="A423" t="s">
        <v>847</v>
      </c>
      <c r="B423" s="5" t="s">
        <v>848</v>
      </c>
      <c r="C423" s="6">
        <f t="shared" si="24"/>
        <v>45658</v>
      </c>
      <c r="D423" t="s">
        <v>109</v>
      </c>
      <c r="E423" t="s">
        <v>32</v>
      </c>
      <c r="F423" t="s">
        <v>33</v>
      </c>
      <c r="G423" t="s">
        <v>351</v>
      </c>
      <c r="H423" t="s">
        <v>35</v>
      </c>
      <c r="I423">
        <v>1800</v>
      </c>
      <c r="J423" s="7">
        <v>542.44000000000005</v>
      </c>
      <c r="K423" s="7">
        <v>976392</v>
      </c>
      <c r="L423">
        <v>116</v>
      </c>
      <c r="M423" t="s">
        <v>664</v>
      </c>
      <c r="N423" s="6">
        <f t="shared" si="25"/>
        <v>45658</v>
      </c>
      <c r="O423" t="s">
        <v>347</v>
      </c>
      <c r="P423" t="str">
        <f t="shared" si="26"/>
        <v>February 2025</v>
      </c>
      <c r="Q423" t="s">
        <v>28</v>
      </c>
      <c r="R423" s="7">
        <v>4655.21</v>
      </c>
      <c r="S423" s="7">
        <f t="shared" si="27"/>
        <v>981047.21</v>
      </c>
    </row>
    <row r="424" spans="1:19" x14ac:dyDescent="0.3">
      <c r="A424" t="s">
        <v>849</v>
      </c>
      <c r="B424" s="5" t="s">
        <v>414</v>
      </c>
      <c r="C424" s="6">
        <f t="shared" si="24"/>
        <v>45689</v>
      </c>
      <c r="D424" t="s">
        <v>40</v>
      </c>
      <c r="E424" t="s">
        <v>75</v>
      </c>
      <c r="F424" t="s">
        <v>45</v>
      </c>
      <c r="G424" t="s">
        <v>110</v>
      </c>
      <c r="H424" t="s">
        <v>35</v>
      </c>
      <c r="I424">
        <v>1412</v>
      </c>
      <c r="J424" s="7">
        <v>180.18</v>
      </c>
      <c r="K424" s="7">
        <v>254414.16</v>
      </c>
      <c r="L424">
        <v>358</v>
      </c>
      <c r="M424" t="s">
        <v>451</v>
      </c>
      <c r="N424" s="6">
        <f t="shared" si="25"/>
        <v>45689</v>
      </c>
      <c r="O424" t="s">
        <v>451</v>
      </c>
      <c r="P424" t="str">
        <f t="shared" si="26"/>
        <v>February 2025</v>
      </c>
      <c r="Q424" t="s">
        <v>37</v>
      </c>
      <c r="R424" s="7">
        <v>16199.13</v>
      </c>
      <c r="S424" s="7">
        <f t="shared" si="27"/>
        <v>270613.28999999998</v>
      </c>
    </row>
    <row r="425" spans="1:19" x14ac:dyDescent="0.3">
      <c r="A425" t="s">
        <v>850</v>
      </c>
      <c r="B425" s="5" t="s">
        <v>214</v>
      </c>
      <c r="C425" s="6">
        <f t="shared" si="24"/>
        <v>45658</v>
      </c>
      <c r="D425" t="s">
        <v>40</v>
      </c>
      <c r="E425" t="s">
        <v>53</v>
      </c>
      <c r="F425" t="s">
        <v>23</v>
      </c>
      <c r="G425" t="s">
        <v>494</v>
      </c>
      <c r="H425" t="s">
        <v>35</v>
      </c>
      <c r="I425">
        <v>2219</v>
      </c>
      <c r="J425" s="7">
        <v>705.77</v>
      </c>
      <c r="K425" s="7">
        <v>1566103.63</v>
      </c>
      <c r="L425">
        <v>552</v>
      </c>
      <c r="M425" t="s">
        <v>215</v>
      </c>
      <c r="N425" s="6">
        <f t="shared" si="25"/>
        <v>45658</v>
      </c>
      <c r="O425" t="s">
        <v>215</v>
      </c>
      <c r="P425" t="str">
        <f t="shared" si="26"/>
        <v>January 2025</v>
      </c>
      <c r="Q425" t="s">
        <v>37</v>
      </c>
      <c r="R425" s="7">
        <v>31065.439999999999</v>
      </c>
      <c r="S425" s="7">
        <f t="shared" si="27"/>
        <v>1597169.0699999998</v>
      </c>
    </row>
    <row r="426" spans="1:19" x14ac:dyDescent="0.3">
      <c r="A426" t="s">
        <v>851</v>
      </c>
      <c r="B426" s="5" t="s">
        <v>306</v>
      </c>
      <c r="C426" s="6">
        <f t="shared" si="24"/>
        <v>45931</v>
      </c>
      <c r="D426" t="s">
        <v>65</v>
      </c>
      <c r="E426" t="s">
        <v>32</v>
      </c>
      <c r="F426" t="s">
        <v>59</v>
      </c>
      <c r="G426" t="s">
        <v>86</v>
      </c>
      <c r="H426" t="s">
        <v>47</v>
      </c>
      <c r="I426">
        <v>461</v>
      </c>
      <c r="J426" s="7">
        <v>289.35000000000002</v>
      </c>
      <c r="K426" s="7">
        <v>133390.35</v>
      </c>
      <c r="L426">
        <v>70</v>
      </c>
      <c r="M426" t="s">
        <v>834</v>
      </c>
      <c r="N426" s="6">
        <f t="shared" si="25"/>
        <v>45931</v>
      </c>
      <c r="O426" t="s">
        <v>189</v>
      </c>
      <c r="P426" t="str">
        <f t="shared" si="26"/>
        <v>October 2025</v>
      </c>
      <c r="Q426" t="s">
        <v>28</v>
      </c>
      <c r="R426" s="7">
        <v>2813.37</v>
      </c>
      <c r="S426" s="7">
        <f t="shared" si="27"/>
        <v>136203.72</v>
      </c>
    </row>
    <row r="427" spans="1:19" x14ac:dyDescent="0.3">
      <c r="A427" t="s">
        <v>852</v>
      </c>
      <c r="B427" s="5" t="s">
        <v>69</v>
      </c>
      <c r="C427" s="6">
        <f t="shared" si="24"/>
        <v>45931</v>
      </c>
      <c r="D427" t="s">
        <v>128</v>
      </c>
      <c r="E427" t="s">
        <v>22</v>
      </c>
      <c r="F427" t="s">
        <v>45</v>
      </c>
      <c r="G427" t="s">
        <v>494</v>
      </c>
      <c r="H427" t="s">
        <v>25</v>
      </c>
      <c r="I427">
        <v>1604</v>
      </c>
      <c r="J427" s="7">
        <v>207.53</v>
      </c>
      <c r="K427" s="7">
        <v>332878.12</v>
      </c>
      <c r="L427">
        <v>102</v>
      </c>
      <c r="M427" t="s">
        <v>72</v>
      </c>
      <c r="N427" s="6">
        <f t="shared" si="25"/>
        <v>45931</v>
      </c>
      <c r="O427" t="s">
        <v>139</v>
      </c>
      <c r="P427" t="str">
        <f t="shared" si="26"/>
        <v>October 2025</v>
      </c>
      <c r="Q427" t="s">
        <v>28</v>
      </c>
      <c r="R427" s="7">
        <v>6148.99</v>
      </c>
      <c r="S427" s="7">
        <f t="shared" si="27"/>
        <v>339027.11</v>
      </c>
    </row>
    <row r="428" spans="1:19" x14ac:dyDescent="0.3">
      <c r="A428" t="s">
        <v>853</v>
      </c>
      <c r="B428" s="5" t="s">
        <v>85</v>
      </c>
      <c r="C428" s="6">
        <f t="shared" si="24"/>
        <v>45748</v>
      </c>
      <c r="D428" t="s">
        <v>21</v>
      </c>
      <c r="E428" t="s">
        <v>53</v>
      </c>
      <c r="F428" t="s">
        <v>23</v>
      </c>
      <c r="G428" t="s">
        <v>227</v>
      </c>
      <c r="H428" t="s">
        <v>35</v>
      </c>
      <c r="I428">
        <v>1250</v>
      </c>
      <c r="J428" s="7">
        <v>73.56</v>
      </c>
      <c r="K428" s="7">
        <v>91950</v>
      </c>
      <c r="L428">
        <v>556</v>
      </c>
      <c r="M428" t="s">
        <v>376</v>
      </c>
      <c r="N428" s="6">
        <f t="shared" si="25"/>
        <v>45748</v>
      </c>
      <c r="O428" t="s">
        <v>26</v>
      </c>
      <c r="P428" t="str">
        <f t="shared" si="26"/>
        <v>April 2025</v>
      </c>
      <c r="Q428" t="s">
        <v>37</v>
      </c>
      <c r="R428" s="7">
        <v>32388.97</v>
      </c>
      <c r="S428" s="7">
        <f t="shared" si="27"/>
        <v>124338.97</v>
      </c>
    </row>
    <row r="429" spans="1:19" x14ac:dyDescent="0.3">
      <c r="A429" t="s">
        <v>854</v>
      </c>
      <c r="B429" s="5" t="s">
        <v>256</v>
      </c>
      <c r="C429" s="6">
        <f t="shared" si="24"/>
        <v>45901</v>
      </c>
      <c r="D429" t="s">
        <v>52</v>
      </c>
      <c r="E429" t="s">
        <v>143</v>
      </c>
      <c r="F429" t="s">
        <v>45</v>
      </c>
      <c r="G429" t="s">
        <v>138</v>
      </c>
      <c r="H429" t="s">
        <v>132</v>
      </c>
      <c r="I429">
        <v>1569</v>
      </c>
      <c r="J429" s="7">
        <v>681.71</v>
      </c>
      <c r="K429" s="7">
        <v>1069602.99</v>
      </c>
      <c r="L429">
        <v>544</v>
      </c>
      <c r="M429" t="s">
        <v>427</v>
      </c>
      <c r="N429" s="6">
        <f t="shared" si="25"/>
        <v>45901</v>
      </c>
      <c r="O429" t="s">
        <v>427</v>
      </c>
      <c r="P429" t="str">
        <f t="shared" si="26"/>
        <v>September 2025</v>
      </c>
      <c r="Q429" t="s">
        <v>37</v>
      </c>
      <c r="R429" s="7">
        <v>33342.550000000003</v>
      </c>
      <c r="S429" s="7">
        <f t="shared" si="27"/>
        <v>1102945.54</v>
      </c>
    </row>
    <row r="430" spans="1:19" x14ac:dyDescent="0.3">
      <c r="A430" t="s">
        <v>855</v>
      </c>
      <c r="B430" s="5" t="s">
        <v>708</v>
      </c>
      <c r="C430" s="6">
        <f t="shared" si="24"/>
        <v>45748</v>
      </c>
      <c r="D430" t="s">
        <v>65</v>
      </c>
      <c r="E430" t="s">
        <v>70</v>
      </c>
      <c r="F430" t="s">
        <v>45</v>
      </c>
      <c r="G430" t="s">
        <v>265</v>
      </c>
      <c r="H430" t="s">
        <v>77</v>
      </c>
      <c r="I430">
        <v>1032</v>
      </c>
      <c r="J430" s="7">
        <v>183.79</v>
      </c>
      <c r="K430" s="7">
        <v>189671.28</v>
      </c>
      <c r="L430">
        <v>199</v>
      </c>
      <c r="M430" t="s">
        <v>417</v>
      </c>
      <c r="N430" s="6">
        <f t="shared" si="25"/>
        <v>45748</v>
      </c>
      <c r="O430" t="s">
        <v>78</v>
      </c>
      <c r="P430" t="str">
        <f t="shared" si="26"/>
        <v>April 2025</v>
      </c>
      <c r="Q430" t="s">
        <v>28</v>
      </c>
      <c r="R430" s="7">
        <v>11778.1</v>
      </c>
      <c r="S430" s="7">
        <f t="shared" si="27"/>
        <v>201449.38</v>
      </c>
    </row>
    <row r="431" spans="1:19" x14ac:dyDescent="0.3">
      <c r="A431" t="s">
        <v>856</v>
      </c>
      <c r="B431" s="5" t="s">
        <v>256</v>
      </c>
      <c r="C431" s="6">
        <f t="shared" si="24"/>
        <v>45901</v>
      </c>
      <c r="D431" t="s">
        <v>40</v>
      </c>
      <c r="E431" t="s">
        <v>22</v>
      </c>
      <c r="F431" t="s">
        <v>33</v>
      </c>
      <c r="G431" t="s">
        <v>118</v>
      </c>
      <c r="H431" t="s">
        <v>35</v>
      </c>
      <c r="I431">
        <v>1770</v>
      </c>
      <c r="J431" s="7">
        <v>891.96</v>
      </c>
      <c r="K431" s="7">
        <v>1578769.2</v>
      </c>
      <c r="L431">
        <v>82</v>
      </c>
      <c r="M431" t="s">
        <v>290</v>
      </c>
      <c r="N431" s="6">
        <f t="shared" si="25"/>
        <v>45901</v>
      </c>
      <c r="O431" t="s">
        <v>427</v>
      </c>
      <c r="P431" t="str">
        <f t="shared" si="26"/>
        <v>September 2025</v>
      </c>
      <c r="Q431" t="s">
        <v>28</v>
      </c>
      <c r="R431" s="7">
        <v>3046.6</v>
      </c>
      <c r="S431" s="7">
        <f t="shared" si="27"/>
        <v>1581815.8</v>
      </c>
    </row>
    <row r="432" spans="1:19" x14ac:dyDescent="0.3">
      <c r="A432" t="s">
        <v>857</v>
      </c>
      <c r="B432" s="5" t="s">
        <v>372</v>
      </c>
      <c r="C432" s="6">
        <f t="shared" si="24"/>
        <v>45870</v>
      </c>
      <c r="D432" t="s">
        <v>128</v>
      </c>
      <c r="E432" t="s">
        <v>32</v>
      </c>
      <c r="F432" t="s">
        <v>33</v>
      </c>
      <c r="G432" t="s">
        <v>227</v>
      </c>
      <c r="H432" t="s">
        <v>47</v>
      </c>
      <c r="I432">
        <v>593</v>
      </c>
      <c r="J432" s="7">
        <v>402</v>
      </c>
      <c r="K432" s="7">
        <v>238386</v>
      </c>
      <c r="L432">
        <v>424</v>
      </c>
      <c r="M432" t="s">
        <v>169</v>
      </c>
      <c r="N432" s="6">
        <f t="shared" si="25"/>
        <v>45870</v>
      </c>
      <c r="O432" t="s">
        <v>204</v>
      </c>
      <c r="P432" t="str">
        <f t="shared" si="26"/>
        <v>August 2025</v>
      </c>
      <c r="Q432" t="s">
        <v>28</v>
      </c>
      <c r="R432" s="7">
        <v>19086.47</v>
      </c>
      <c r="S432" s="7">
        <f t="shared" si="27"/>
        <v>257472.47</v>
      </c>
    </row>
    <row r="433" spans="1:19" x14ac:dyDescent="0.3">
      <c r="A433" t="s">
        <v>858</v>
      </c>
      <c r="B433" s="5" t="s">
        <v>343</v>
      </c>
      <c r="C433" s="6">
        <f t="shared" si="24"/>
        <v>45839</v>
      </c>
      <c r="D433" t="s">
        <v>52</v>
      </c>
      <c r="E433" t="s">
        <v>53</v>
      </c>
      <c r="F433" t="s">
        <v>45</v>
      </c>
      <c r="G433" t="s">
        <v>82</v>
      </c>
      <c r="H433" t="s">
        <v>47</v>
      </c>
      <c r="I433">
        <v>1788</v>
      </c>
      <c r="J433" s="7">
        <v>393.64</v>
      </c>
      <c r="K433" s="7">
        <v>703828.32</v>
      </c>
      <c r="L433">
        <v>247</v>
      </c>
      <c r="M433" t="s">
        <v>401</v>
      </c>
      <c r="N433" s="6">
        <f t="shared" si="25"/>
        <v>45839</v>
      </c>
      <c r="O433" t="s">
        <v>401</v>
      </c>
      <c r="P433" t="str">
        <f t="shared" si="26"/>
        <v>July 2025</v>
      </c>
      <c r="Q433" t="s">
        <v>37</v>
      </c>
      <c r="R433" s="7">
        <v>10832.95</v>
      </c>
      <c r="S433" s="7">
        <f t="shared" si="27"/>
        <v>714661.2699999999</v>
      </c>
    </row>
    <row r="434" spans="1:19" x14ac:dyDescent="0.3">
      <c r="A434" t="s">
        <v>859</v>
      </c>
      <c r="B434" s="5" t="s">
        <v>371</v>
      </c>
      <c r="C434" s="6">
        <f t="shared" si="24"/>
        <v>45870</v>
      </c>
      <c r="D434" t="s">
        <v>128</v>
      </c>
      <c r="E434" t="s">
        <v>53</v>
      </c>
      <c r="F434" t="s">
        <v>45</v>
      </c>
      <c r="G434" t="s">
        <v>168</v>
      </c>
      <c r="H434" t="s">
        <v>61</v>
      </c>
      <c r="I434">
        <v>577</v>
      </c>
      <c r="J434" s="7">
        <v>141.06</v>
      </c>
      <c r="K434" s="7">
        <v>81391.62</v>
      </c>
      <c r="L434">
        <v>249</v>
      </c>
      <c r="M434" t="s">
        <v>372</v>
      </c>
      <c r="N434" s="6">
        <f t="shared" si="25"/>
        <v>45870</v>
      </c>
      <c r="O434" t="s">
        <v>371</v>
      </c>
      <c r="P434" t="str">
        <f t="shared" si="26"/>
        <v>August 2025</v>
      </c>
      <c r="Q434" t="s">
        <v>37</v>
      </c>
      <c r="R434" s="7">
        <v>10898.34</v>
      </c>
      <c r="S434" s="7">
        <f t="shared" si="27"/>
        <v>92289.959999999992</v>
      </c>
    </row>
    <row r="435" spans="1:19" x14ac:dyDescent="0.3">
      <c r="A435" t="s">
        <v>860</v>
      </c>
      <c r="B435" s="5" t="s">
        <v>543</v>
      </c>
      <c r="C435" s="6">
        <f t="shared" si="24"/>
        <v>45809</v>
      </c>
      <c r="D435" t="s">
        <v>21</v>
      </c>
      <c r="E435" t="s">
        <v>53</v>
      </c>
      <c r="F435" t="s">
        <v>33</v>
      </c>
      <c r="G435" t="s">
        <v>46</v>
      </c>
      <c r="H435" t="s">
        <v>123</v>
      </c>
      <c r="I435">
        <v>1345</v>
      </c>
      <c r="J435" s="7">
        <v>348.11</v>
      </c>
      <c r="K435" s="7">
        <v>468207.95</v>
      </c>
      <c r="L435">
        <v>214</v>
      </c>
      <c r="M435" t="s">
        <v>588</v>
      </c>
      <c r="N435" s="6">
        <f t="shared" si="25"/>
        <v>45809</v>
      </c>
      <c r="O435" t="s">
        <v>301</v>
      </c>
      <c r="P435" t="str">
        <f t="shared" si="26"/>
        <v>June 2025</v>
      </c>
      <c r="Q435" t="s">
        <v>28</v>
      </c>
      <c r="R435" s="7">
        <v>10745.78</v>
      </c>
      <c r="S435" s="7">
        <f t="shared" si="27"/>
        <v>478953.73000000004</v>
      </c>
    </row>
    <row r="436" spans="1:19" x14ac:dyDescent="0.3">
      <c r="A436" t="s">
        <v>861</v>
      </c>
      <c r="B436" s="5" t="s">
        <v>316</v>
      </c>
      <c r="C436" s="6">
        <f t="shared" si="24"/>
        <v>45839</v>
      </c>
      <c r="D436" t="s">
        <v>65</v>
      </c>
      <c r="E436" t="s">
        <v>22</v>
      </c>
      <c r="F436" t="s">
        <v>33</v>
      </c>
      <c r="G436" t="s">
        <v>241</v>
      </c>
      <c r="H436" t="s">
        <v>77</v>
      </c>
      <c r="I436">
        <v>1719</v>
      </c>
      <c r="J436" s="7">
        <v>530.01</v>
      </c>
      <c r="K436" s="7">
        <v>911087.19</v>
      </c>
      <c r="L436">
        <v>240</v>
      </c>
      <c r="M436" t="s">
        <v>317</v>
      </c>
      <c r="N436" s="6">
        <f t="shared" si="25"/>
        <v>45839</v>
      </c>
      <c r="O436" t="s">
        <v>317</v>
      </c>
      <c r="P436" t="str">
        <f t="shared" si="26"/>
        <v>July 2025</v>
      </c>
      <c r="Q436" t="s">
        <v>37</v>
      </c>
      <c r="R436" s="7">
        <v>11640.44</v>
      </c>
      <c r="S436" s="7">
        <f t="shared" si="27"/>
        <v>922727.62999999989</v>
      </c>
    </row>
    <row r="437" spans="1:19" x14ac:dyDescent="0.3">
      <c r="A437" t="s">
        <v>862</v>
      </c>
      <c r="B437" s="5" t="s">
        <v>117</v>
      </c>
      <c r="C437" s="6">
        <f t="shared" si="24"/>
        <v>45992</v>
      </c>
      <c r="D437" t="s">
        <v>109</v>
      </c>
      <c r="E437" t="s">
        <v>22</v>
      </c>
      <c r="F437" t="s">
        <v>59</v>
      </c>
      <c r="G437" t="s">
        <v>60</v>
      </c>
      <c r="H437" t="s">
        <v>47</v>
      </c>
      <c r="I437">
        <v>113</v>
      </c>
      <c r="J437" s="7">
        <v>325.64999999999998</v>
      </c>
      <c r="K437" s="7">
        <v>36798.449999999997</v>
      </c>
      <c r="L437">
        <v>525</v>
      </c>
      <c r="M437" t="s">
        <v>490</v>
      </c>
      <c r="N437" s="6">
        <f t="shared" si="25"/>
        <v>45992</v>
      </c>
      <c r="O437" t="s">
        <v>119</v>
      </c>
      <c r="P437" t="str">
        <f t="shared" si="26"/>
        <v>December 2025</v>
      </c>
      <c r="Q437" t="s">
        <v>37</v>
      </c>
      <c r="R437" s="7">
        <v>27619.63</v>
      </c>
      <c r="S437" s="7">
        <f t="shared" si="27"/>
        <v>64418.080000000002</v>
      </c>
    </row>
    <row r="438" spans="1:19" x14ac:dyDescent="0.3">
      <c r="A438" t="s">
        <v>863</v>
      </c>
      <c r="B438" s="5" t="s">
        <v>525</v>
      </c>
      <c r="C438" s="6">
        <f t="shared" si="24"/>
        <v>45809</v>
      </c>
      <c r="D438" t="s">
        <v>21</v>
      </c>
      <c r="E438" t="s">
        <v>75</v>
      </c>
      <c r="F438" t="s">
        <v>23</v>
      </c>
      <c r="G438" t="s">
        <v>494</v>
      </c>
      <c r="H438" t="s">
        <v>123</v>
      </c>
      <c r="I438">
        <v>1024</v>
      </c>
      <c r="J438" s="7">
        <v>730.56</v>
      </c>
      <c r="K438" s="7">
        <v>748093.43999999994</v>
      </c>
      <c r="L438">
        <v>528</v>
      </c>
      <c r="M438" t="s">
        <v>578</v>
      </c>
      <c r="N438" s="6">
        <f t="shared" si="25"/>
        <v>45809</v>
      </c>
      <c r="O438" t="s">
        <v>578</v>
      </c>
      <c r="P438" t="str">
        <f t="shared" si="26"/>
        <v>June 2025</v>
      </c>
      <c r="Q438" t="s">
        <v>37</v>
      </c>
      <c r="R438" s="7">
        <v>22248.25</v>
      </c>
      <c r="S438" s="7">
        <f t="shared" si="27"/>
        <v>770341.69</v>
      </c>
    </row>
    <row r="439" spans="1:19" x14ac:dyDescent="0.3">
      <c r="A439" t="s">
        <v>864</v>
      </c>
      <c r="B439" s="5" t="s">
        <v>90</v>
      </c>
      <c r="C439" s="6">
        <f t="shared" si="24"/>
        <v>45931</v>
      </c>
      <c r="D439" t="s">
        <v>65</v>
      </c>
      <c r="E439" t="s">
        <v>22</v>
      </c>
      <c r="F439" t="s">
        <v>45</v>
      </c>
      <c r="G439" t="s">
        <v>227</v>
      </c>
      <c r="H439" t="s">
        <v>132</v>
      </c>
      <c r="I439">
        <v>1541</v>
      </c>
      <c r="J439" s="7">
        <v>582.1</v>
      </c>
      <c r="K439" s="7">
        <v>897016.1</v>
      </c>
      <c r="L439">
        <v>210</v>
      </c>
      <c r="M439" t="s">
        <v>200</v>
      </c>
      <c r="N439" s="6">
        <f t="shared" si="25"/>
        <v>45931</v>
      </c>
      <c r="O439" t="s">
        <v>90</v>
      </c>
      <c r="P439" t="str">
        <f t="shared" si="26"/>
        <v>October 2025</v>
      </c>
      <c r="Q439" t="s">
        <v>37</v>
      </c>
      <c r="R439" s="7">
        <v>8540.73</v>
      </c>
      <c r="S439" s="7">
        <f t="shared" si="27"/>
        <v>905556.83</v>
      </c>
    </row>
    <row r="440" spans="1:19" x14ac:dyDescent="0.3">
      <c r="A440" t="s">
        <v>865</v>
      </c>
      <c r="B440" s="5" t="s">
        <v>866</v>
      </c>
      <c r="C440" s="6">
        <f t="shared" si="24"/>
        <v>45717</v>
      </c>
      <c r="D440" t="s">
        <v>109</v>
      </c>
      <c r="E440" t="s">
        <v>75</v>
      </c>
      <c r="F440" t="s">
        <v>45</v>
      </c>
      <c r="G440" t="s">
        <v>265</v>
      </c>
      <c r="H440" t="s">
        <v>155</v>
      </c>
      <c r="I440">
        <v>428</v>
      </c>
      <c r="J440" s="7">
        <v>150.93</v>
      </c>
      <c r="K440" s="7">
        <v>64598.04</v>
      </c>
      <c r="L440">
        <v>602</v>
      </c>
      <c r="M440" t="s">
        <v>679</v>
      </c>
      <c r="N440" s="6">
        <f t="shared" si="25"/>
        <v>45717</v>
      </c>
      <c r="O440" t="s">
        <v>453</v>
      </c>
      <c r="P440" t="str">
        <f t="shared" si="26"/>
        <v>March 2025</v>
      </c>
      <c r="Q440" t="s">
        <v>28</v>
      </c>
      <c r="R440" s="7">
        <v>36470.239999999998</v>
      </c>
      <c r="S440" s="7">
        <f t="shared" si="27"/>
        <v>101068.28</v>
      </c>
    </row>
    <row r="441" spans="1:19" x14ac:dyDescent="0.3">
      <c r="A441" t="s">
        <v>867</v>
      </c>
      <c r="B441" s="5" t="s">
        <v>208</v>
      </c>
      <c r="C441" s="6">
        <f t="shared" si="24"/>
        <v>45778</v>
      </c>
      <c r="D441" t="s">
        <v>52</v>
      </c>
      <c r="E441" t="s">
        <v>22</v>
      </c>
      <c r="F441" t="s">
        <v>45</v>
      </c>
      <c r="G441" t="s">
        <v>179</v>
      </c>
      <c r="H441" t="s">
        <v>132</v>
      </c>
      <c r="I441">
        <v>932</v>
      </c>
      <c r="J441" s="7">
        <v>495.67</v>
      </c>
      <c r="K441" s="7">
        <v>461964.44</v>
      </c>
      <c r="L441">
        <v>520</v>
      </c>
      <c r="M441" t="s">
        <v>217</v>
      </c>
      <c r="N441" s="6">
        <f t="shared" si="25"/>
        <v>45809</v>
      </c>
      <c r="O441" t="s">
        <v>217</v>
      </c>
      <c r="P441" t="str">
        <f t="shared" si="26"/>
        <v>June 2025</v>
      </c>
      <c r="Q441" t="s">
        <v>37</v>
      </c>
      <c r="R441" s="7">
        <v>29672.12</v>
      </c>
      <c r="S441" s="7">
        <f t="shared" si="27"/>
        <v>491636.56</v>
      </c>
    </row>
    <row r="442" spans="1:19" x14ac:dyDescent="0.3">
      <c r="A442" t="s">
        <v>868</v>
      </c>
      <c r="B442" s="5" t="s">
        <v>133</v>
      </c>
      <c r="C442" s="6">
        <f t="shared" si="24"/>
        <v>45748</v>
      </c>
      <c r="D442" t="s">
        <v>31</v>
      </c>
      <c r="E442" t="s">
        <v>22</v>
      </c>
      <c r="F442" t="s">
        <v>45</v>
      </c>
      <c r="G442" t="s">
        <v>54</v>
      </c>
      <c r="H442" t="s">
        <v>123</v>
      </c>
      <c r="I442">
        <v>1876</v>
      </c>
      <c r="J442" s="7">
        <v>736.22</v>
      </c>
      <c r="K442" s="7">
        <v>1381148.72</v>
      </c>
      <c r="L442">
        <v>584</v>
      </c>
      <c r="M442" t="s">
        <v>417</v>
      </c>
      <c r="N442" s="6">
        <f t="shared" si="25"/>
        <v>45748</v>
      </c>
      <c r="O442" t="s">
        <v>264</v>
      </c>
      <c r="P442" t="str">
        <f t="shared" si="26"/>
        <v>April 2025</v>
      </c>
      <c r="Q442" t="s">
        <v>28</v>
      </c>
      <c r="R442" s="7">
        <v>29944.71</v>
      </c>
      <c r="S442" s="7">
        <f t="shared" si="27"/>
        <v>1411093.43</v>
      </c>
    </row>
    <row r="443" spans="1:19" x14ac:dyDescent="0.3">
      <c r="A443" t="s">
        <v>869</v>
      </c>
      <c r="B443" s="5" t="s">
        <v>103</v>
      </c>
      <c r="C443" s="6">
        <f t="shared" si="24"/>
        <v>45839</v>
      </c>
      <c r="D443" t="s">
        <v>128</v>
      </c>
      <c r="E443" t="s">
        <v>32</v>
      </c>
      <c r="F443" t="s">
        <v>23</v>
      </c>
      <c r="G443" t="s">
        <v>222</v>
      </c>
      <c r="H443" t="s">
        <v>123</v>
      </c>
      <c r="I443">
        <v>1683</v>
      </c>
      <c r="J443" s="7">
        <v>677.59</v>
      </c>
      <c r="K443" s="7">
        <v>1140383.97</v>
      </c>
      <c r="L443">
        <v>65</v>
      </c>
      <c r="M443" t="s">
        <v>343</v>
      </c>
      <c r="N443" s="6">
        <f t="shared" si="25"/>
        <v>45839</v>
      </c>
      <c r="O443" t="s">
        <v>343</v>
      </c>
      <c r="P443" t="str">
        <f t="shared" si="26"/>
        <v>July 2025</v>
      </c>
      <c r="Q443" t="s">
        <v>37</v>
      </c>
      <c r="R443" s="7">
        <v>3421.86</v>
      </c>
      <c r="S443" s="7">
        <f t="shared" si="27"/>
        <v>1143805.83</v>
      </c>
    </row>
    <row r="444" spans="1:19" x14ac:dyDescent="0.3">
      <c r="A444" t="s">
        <v>870</v>
      </c>
      <c r="B444" s="5" t="s">
        <v>665</v>
      </c>
      <c r="C444" s="6">
        <f t="shared" si="24"/>
        <v>45689</v>
      </c>
      <c r="D444" t="s">
        <v>40</v>
      </c>
      <c r="E444" t="s">
        <v>75</v>
      </c>
      <c r="F444" t="s">
        <v>23</v>
      </c>
      <c r="G444" t="s">
        <v>71</v>
      </c>
      <c r="H444" t="s">
        <v>155</v>
      </c>
      <c r="I444">
        <v>736</v>
      </c>
      <c r="J444" s="7">
        <v>553.36</v>
      </c>
      <c r="K444" s="7">
        <v>407272.96000000002</v>
      </c>
      <c r="L444">
        <v>442</v>
      </c>
      <c r="M444" t="s">
        <v>178</v>
      </c>
      <c r="N444" s="6">
        <f t="shared" si="25"/>
        <v>45689</v>
      </c>
      <c r="O444" t="s">
        <v>178</v>
      </c>
      <c r="P444" t="str">
        <f t="shared" si="26"/>
        <v>February 2025</v>
      </c>
      <c r="Q444" t="s">
        <v>37</v>
      </c>
      <c r="R444" s="7">
        <v>21541.07</v>
      </c>
      <c r="S444" s="7">
        <f t="shared" si="27"/>
        <v>428814.03</v>
      </c>
    </row>
    <row r="445" spans="1:19" x14ac:dyDescent="0.3">
      <c r="A445" t="s">
        <v>871</v>
      </c>
      <c r="B445" s="5" t="s">
        <v>99</v>
      </c>
      <c r="C445" s="6">
        <f t="shared" si="24"/>
        <v>45839</v>
      </c>
      <c r="D445" t="s">
        <v>40</v>
      </c>
      <c r="E445" t="s">
        <v>32</v>
      </c>
      <c r="F445" t="s">
        <v>23</v>
      </c>
      <c r="G445" t="s">
        <v>172</v>
      </c>
      <c r="H445" t="s">
        <v>123</v>
      </c>
      <c r="I445">
        <v>868</v>
      </c>
      <c r="J445" s="7">
        <v>189.53</v>
      </c>
      <c r="K445" s="7">
        <v>164512.04</v>
      </c>
      <c r="L445">
        <v>255</v>
      </c>
      <c r="M445" t="s">
        <v>692</v>
      </c>
      <c r="N445" s="6">
        <f t="shared" si="25"/>
        <v>45839</v>
      </c>
      <c r="O445" t="s">
        <v>692</v>
      </c>
      <c r="P445" t="str">
        <f t="shared" si="26"/>
        <v>July 2025</v>
      </c>
      <c r="Q445" t="s">
        <v>37</v>
      </c>
      <c r="R445" s="7">
        <v>15636.22</v>
      </c>
      <c r="S445" s="7">
        <f t="shared" si="27"/>
        <v>180148.26</v>
      </c>
    </row>
    <row r="446" spans="1:19" x14ac:dyDescent="0.3">
      <c r="A446" t="s">
        <v>872</v>
      </c>
      <c r="B446" s="5" t="s">
        <v>379</v>
      </c>
      <c r="C446" s="6">
        <f t="shared" si="24"/>
        <v>45901</v>
      </c>
      <c r="D446" t="s">
        <v>65</v>
      </c>
      <c r="E446" t="s">
        <v>32</v>
      </c>
      <c r="F446" t="s">
        <v>59</v>
      </c>
      <c r="G446" t="s">
        <v>384</v>
      </c>
      <c r="H446" t="s">
        <v>47</v>
      </c>
      <c r="I446">
        <v>641</v>
      </c>
      <c r="J446" s="7">
        <v>663.23</v>
      </c>
      <c r="K446" s="7">
        <v>425130.43</v>
      </c>
      <c r="L446">
        <v>690</v>
      </c>
      <c r="M446" t="s">
        <v>380</v>
      </c>
      <c r="N446" s="6">
        <f t="shared" si="25"/>
        <v>45901</v>
      </c>
      <c r="O446" t="s">
        <v>521</v>
      </c>
      <c r="P446" t="str">
        <f t="shared" si="26"/>
        <v>September 2025</v>
      </c>
      <c r="Q446" t="s">
        <v>28</v>
      </c>
      <c r="R446" s="7">
        <v>37316.730000000003</v>
      </c>
      <c r="S446" s="7">
        <f t="shared" si="27"/>
        <v>462447.16</v>
      </c>
    </row>
    <row r="447" spans="1:19" x14ac:dyDescent="0.3">
      <c r="A447" t="s">
        <v>873</v>
      </c>
      <c r="B447" s="5" t="s">
        <v>214</v>
      </c>
      <c r="C447" s="6">
        <f t="shared" si="24"/>
        <v>45658</v>
      </c>
      <c r="D447" t="s">
        <v>96</v>
      </c>
      <c r="E447" t="s">
        <v>53</v>
      </c>
      <c r="F447" t="s">
        <v>59</v>
      </c>
      <c r="G447" t="s">
        <v>46</v>
      </c>
      <c r="H447" t="s">
        <v>132</v>
      </c>
      <c r="I447">
        <v>2269</v>
      </c>
      <c r="J447" s="7">
        <v>526.77</v>
      </c>
      <c r="K447" s="7">
        <v>1195241.1299999999</v>
      </c>
      <c r="L447">
        <v>470</v>
      </c>
      <c r="M447" t="s">
        <v>215</v>
      </c>
      <c r="N447" s="6">
        <f t="shared" si="25"/>
        <v>45658</v>
      </c>
      <c r="O447" t="s">
        <v>560</v>
      </c>
      <c r="P447" t="str">
        <f t="shared" si="26"/>
        <v>January 2025</v>
      </c>
      <c r="Q447" t="s">
        <v>28</v>
      </c>
      <c r="R447" s="7">
        <v>22719.81</v>
      </c>
      <c r="S447" s="7">
        <f t="shared" si="27"/>
        <v>1217960.94</v>
      </c>
    </row>
    <row r="448" spans="1:19" x14ac:dyDescent="0.3">
      <c r="A448" t="s">
        <v>874</v>
      </c>
      <c r="B448" s="5" t="s">
        <v>129</v>
      </c>
      <c r="C448" s="6">
        <f t="shared" si="24"/>
        <v>45839</v>
      </c>
      <c r="D448" t="s">
        <v>109</v>
      </c>
      <c r="E448" t="s">
        <v>22</v>
      </c>
      <c r="F448" t="s">
        <v>45</v>
      </c>
      <c r="G448" t="s">
        <v>66</v>
      </c>
      <c r="H448" t="s">
        <v>55</v>
      </c>
      <c r="I448">
        <v>1394</v>
      </c>
      <c r="J448" s="7">
        <v>555.08000000000004</v>
      </c>
      <c r="K448" s="7">
        <v>773781.52</v>
      </c>
      <c r="L448">
        <v>692</v>
      </c>
      <c r="M448" t="s">
        <v>147</v>
      </c>
      <c r="N448" s="6">
        <f t="shared" si="25"/>
        <v>45839</v>
      </c>
      <c r="O448" t="s">
        <v>339</v>
      </c>
      <c r="P448" t="str">
        <f t="shared" si="26"/>
        <v>July 2025</v>
      </c>
      <c r="Q448" t="s">
        <v>28</v>
      </c>
      <c r="R448" s="7">
        <v>37565.97</v>
      </c>
      <c r="S448" s="7">
        <f t="shared" si="27"/>
        <v>811347.49</v>
      </c>
    </row>
    <row r="449" spans="1:19" x14ac:dyDescent="0.3">
      <c r="A449" t="s">
        <v>875</v>
      </c>
      <c r="B449" s="5" t="s">
        <v>613</v>
      </c>
      <c r="C449" s="6">
        <f t="shared" si="24"/>
        <v>45992</v>
      </c>
      <c r="D449" t="s">
        <v>96</v>
      </c>
      <c r="E449" t="s">
        <v>53</v>
      </c>
      <c r="F449" t="s">
        <v>45</v>
      </c>
      <c r="G449" t="s">
        <v>222</v>
      </c>
      <c r="H449" t="s">
        <v>91</v>
      </c>
      <c r="I449">
        <v>1803</v>
      </c>
      <c r="J449" s="7">
        <v>806.26</v>
      </c>
      <c r="K449" s="7">
        <v>1453686.78</v>
      </c>
      <c r="L449">
        <v>708</v>
      </c>
      <c r="M449" t="s">
        <v>356</v>
      </c>
      <c r="N449" s="6">
        <f t="shared" si="25"/>
        <v>45992</v>
      </c>
      <c r="O449" t="s">
        <v>230</v>
      </c>
      <c r="P449" t="str">
        <f t="shared" si="26"/>
        <v>December 2025</v>
      </c>
      <c r="Q449" t="s">
        <v>37</v>
      </c>
      <c r="R449" s="7">
        <v>36860.53</v>
      </c>
      <c r="S449" s="7">
        <f t="shared" si="27"/>
        <v>1490547.31</v>
      </c>
    </row>
    <row r="450" spans="1:19" x14ac:dyDescent="0.3">
      <c r="A450" t="s">
        <v>876</v>
      </c>
      <c r="B450" s="5" t="s">
        <v>293</v>
      </c>
      <c r="C450" s="6">
        <f t="shared" si="24"/>
        <v>45809</v>
      </c>
      <c r="D450" t="s">
        <v>128</v>
      </c>
      <c r="E450" t="s">
        <v>22</v>
      </c>
      <c r="F450" t="s">
        <v>23</v>
      </c>
      <c r="G450" t="s">
        <v>46</v>
      </c>
      <c r="H450" t="s">
        <v>77</v>
      </c>
      <c r="I450">
        <v>1807</v>
      </c>
      <c r="J450" s="7">
        <v>453.02</v>
      </c>
      <c r="K450" s="7">
        <v>818607.14</v>
      </c>
      <c r="L450">
        <v>202</v>
      </c>
      <c r="M450" t="s">
        <v>365</v>
      </c>
      <c r="N450" s="6">
        <f t="shared" si="25"/>
        <v>45809</v>
      </c>
      <c r="O450" t="s">
        <v>365</v>
      </c>
      <c r="P450" t="str">
        <f t="shared" si="26"/>
        <v>June 2025</v>
      </c>
      <c r="Q450" t="s">
        <v>37</v>
      </c>
      <c r="R450" s="7">
        <v>12028.36</v>
      </c>
      <c r="S450" s="7">
        <f t="shared" si="27"/>
        <v>830635.5</v>
      </c>
    </row>
    <row r="451" spans="1:19" x14ac:dyDescent="0.3">
      <c r="A451" t="s">
        <v>877</v>
      </c>
      <c r="B451" s="5" t="s">
        <v>79</v>
      </c>
      <c r="C451" s="6">
        <f t="shared" ref="C451:C514" si="28">DATE(YEAR(B451), MONTH(B451), 1)</f>
        <v>45748</v>
      </c>
      <c r="D451" t="s">
        <v>31</v>
      </c>
      <c r="E451" t="s">
        <v>143</v>
      </c>
      <c r="F451" t="s">
        <v>33</v>
      </c>
      <c r="G451" t="s">
        <v>222</v>
      </c>
      <c r="H451" t="s">
        <v>132</v>
      </c>
      <c r="I451">
        <v>924</v>
      </c>
      <c r="J451" s="7">
        <v>195.23</v>
      </c>
      <c r="K451" s="7">
        <v>180392.52</v>
      </c>
      <c r="L451">
        <v>565</v>
      </c>
      <c r="M451" t="s">
        <v>530</v>
      </c>
      <c r="N451" s="6">
        <f t="shared" ref="N451:N514" si="29">DATE(YEAR(M451), MONTH(M451),1)</f>
        <v>45748</v>
      </c>
      <c r="O451" t="s">
        <v>659</v>
      </c>
      <c r="P451" t="str">
        <f t="shared" ref="P451:P514" si="30">TEXT(O451, "mmmm yyyy")</f>
        <v>April 2025</v>
      </c>
      <c r="Q451" t="s">
        <v>37</v>
      </c>
      <c r="R451" s="7">
        <v>28391.67</v>
      </c>
      <c r="S451" s="7">
        <f t="shared" ref="S451:S514" si="31">K451 +R451</f>
        <v>208784.19</v>
      </c>
    </row>
    <row r="452" spans="1:19" x14ac:dyDescent="0.3">
      <c r="A452" t="s">
        <v>878</v>
      </c>
      <c r="B452" s="5" t="s">
        <v>679</v>
      </c>
      <c r="C452" s="6">
        <f t="shared" si="28"/>
        <v>45717</v>
      </c>
      <c r="D452" t="s">
        <v>109</v>
      </c>
      <c r="E452" t="s">
        <v>53</v>
      </c>
      <c r="F452" t="s">
        <v>45</v>
      </c>
      <c r="G452" t="s">
        <v>34</v>
      </c>
      <c r="H452" t="s">
        <v>91</v>
      </c>
      <c r="I452">
        <v>1368</v>
      </c>
      <c r="J452" s="7">
        <v>193.08</v>
      </c>
      <c r="K452" s="7">
        <v>264133.44</v>
      </c>
      <c r="L452">
        <v>384</v>
      </c>
      <c r="M452" t="s">
        <v>680</v>
      </c>
      <c r="N452" s="6">
        <f t="shared" si="29"/>
        <v>45717</v>
      </c>
      <c r="O452" t="s">
        <v>296</v>
      </c>
      <c r="P452" t="str">
        <f t="shared" si="30"/>
        <v>March 2025</v>
      </c>
      <c r="Q452" t="s">
        <v>28</v>
      </c>
      <c r="R452" s="7">
        <v>17188.759999999998</v>
      </c>
      <c r="S452" s="7">
        <f t="shared" si="31"/>
        <v>281322.2</v>
      </c>
    </row>
    <row r="453" spans="1:19" x14ac:dyDescent="0.3">
      <c r="A453" t="s">
        <v>879</v>
      </c>
      <c r="B453" s="5" t="s">
        <v>787</v>
      </c>
      <c r="C453" s="6">
        <f t="shared" si="28"/>
        <v>45901</v>
      </c>
      <c r="D453" t="s">
        <v>96</v>
      </c>
      <c r="E453" t="s">
        <v>143</v>
      </c>
      <c r="F453" t="s">
        <v>33</v>
      </c>
      <c r="G453" t="s">
        <v>82</v>
      </c>
      <c r="H453" t="s">
        <v>35</v>
      </c>
      <c r="I453">
        <v>659</v>
      </c>
      <c r="J453" s="7">
        <v>858.29</v>
      </c>
      <c r="K453" s="7">
        <v>565613.11</v>
      </c>
      <c r="L453">
        <v>222</v>
      </c>
      <c r="M453" t="s">
        <v>380</v>
      </c>
      <c r="N453" s="6">
        <f t="shared" si="29"/>
        <v>45901</v>
      </c>
      <c r="O453" t="s">
        <v>476</v>
      </c>
      <c r="P453" t="str">
        <f t="shared" si="30"/>
        <v>September 2025</v>
      </c>
      <c r="Q453" t="s">
        <v>28</v>
      </c>
      <c r="R453" s="7">
        <v>8949.3700000000008</v>
      </c>
      <c r="S453" s="7">
        <f t="shared" si="31"/>
        <v>574562.48</v>
      </c>
    </row>
    <row r="454" spans="1:19" x14ac:dyDescent="0.3">
      <c r="A454" t="s">
        <v>880</v>
      </c>
      <c r="B454" s="5" t="s">
        <v>645</v>
      </c>
      <c r="C454" s="6">
        <f t="shared" si="28"/>
        <v>45931</v>
      </c>
      <c r="D454" t="s">
        <v>109</v>
      </c>
      <c r="E454" t="s">
        <v>75</v>
      </c>
      <c r="F454" t="s">
        <v>23</v>
      </c>
      <c r="G454" t="s">
        <v>34</v>
      </c>
      <c r="H454" t="s">
        <v>77</v>
      </c>
      <c r="I454">
        <v>1976</v>
      </c>
      <c r="J454" s="7">
        <v>647.91</v>
      </c>
      <c r="K454" s="7">
        <v>1280270.1599999999</v>
      </c>
      <c r="L454">
        <v>456</v>
      </c>
      <c r="M454" t="s">
        <v>834</v>
      </c>
      <c r="N454" s="6">
        <f t="shared" si="29"/>
        <v>45931</v>
      </c>
      <c r="O454" t="s">
        <v>834</v>
      </c>
      <c r="P454" t="str">
        <f t="shared" si="30"/>
        <v>October 2025</v>
      </c>
      <c r="Q454" t="s">
        <v>37</v>
      </c>
      <c r="R454" s="7">
        <v>25396.53</v>
      </c>
      <c r="S454" s="7">
        <f t="shared" si="31"/>
        <v>1305666.69</v>
      </c>
    </row>
    <row r="455" spans="1:19" x14ac:dyDescent="0.3">
      <c r="A455" t="s">
        <v>881</v>
      </c>
      <c r="B455" s="5" t="s">
        <v>392</v>
      </c>
      <c r="C455" s="6">
        <f t="shared" si="28"/>
        <v>45992</v>
      </c>
      <c r="D455" t="s">
        <v>52</v>
      </c>
      <c r="E455" t="s">
        <v>70</v>
      </c>
      <c r="F455" t="s">
        <v>45</v>
      </c>
      <c r="G455" t="s">
        <v>66</v>
      </c>
      <c r="H455" t="s">
        <v>155</v>
      </c>
      <c r="I455">
        <v>826</v>
      </c>
      <c r="J455" s="7">
        <v>582.96</v>
      </c>
      <c r="K455" s="7">
        <v>481524.96</v>
      </c>
      <c r="L455">
        <v>150</v>
      </c>
      <c r="M455" t="s">
        <v>350</v>
      </c>
      <c r="N455" s="6">
        <f t="shared" si="29"/>
        <v>45992</v>
      </c>
      <c r="O455" t="s">
        <v>392</v>
      </c>
      <c r="P455" t="str">
        <f t="shared" si="30"/>
        <v>December 2025</v>
      </c>
      <c r="Q455" t="s">
        <v>37</v>
      </c>
      <c r="R455" s="7">
        <v>5483.94</v>
      </c>
      <c r="S455" s="7">
        <f t="shared" si="31"/>
        <v>487008.9</v>
      </c>
    </row>
    <row r="456" spans="1:19" x14ac:dyDescent="0.3">
      <c r="A456" t="s">
        <v>882</v>
      </c>
      <c r="B456" s="5" t="s">
        <v>398</v>
      </c>
      <c r="C456" s="6">
        <f t="shared" si="28"/>
        <v>45992</v>
      </c>
      <c r="D456" t="s">
        <v>31</v>
      </c>
      <c r="E456" t="s">
        <v>53</v>
      </c>
      <c r="F456" t="s">
        <v>45</v>
      </c>
      <c r="G456" t="s">
        <v>265</v>
      </c>
      <c r="H456" t="s">
        <v>155</v>
      </c>
      <c r="I456">
        <v>363</v>
      </c>
      <c r="J456" s="7">
        <v>265.29000000000002</v>
      </c>
      <c r="K456" s="7">
        <v>96300.27</v>
      </c>
      <c r="L456">
        <v>553</v>
      </c>
      <c r="M456" t="s">
        <v>111</v>
      </c>
      <c r="N456" s="6">
        <f t="shared" si="29"/>
        <v>45992</v>
      </c>
      <c r="O456" t="s">
        <v>490</v>
      </c>
      <c r="P456" t="str">
        <f t="shared" si="30"/>
        <v>December 2025</v>
      </c>
      <c r="Q456" t="s">
        <v>28</v>
      </c>
      <c r="R456" s="7">
        <v>31871.83</v>
      </c>
      <c r="S456" s="7">
        <f t="shared" si="31"/>
        <v>128172.1</v>
      </c>
    </row>
    <row r="457" spans="1:19" x14ac:dyDescent="0.3">
      <c r="A457" t="s">
        <v>883</v>
      </c>
      <c r="B457" s="5" t="s">
        <v>367</v>
      </c>
      <c r="C457" s="6">
        <f t="shared" si="28"/>
        <v>45962</v>
      </c>
      <c r="D457" t="s">
        <v>96</v>
      </c>
      <c r="E457" t="s">
        <v>53</v>
      </c>
      <c r="F457" t="s">
        <v>45</v>
      </c>
      <c r="G457" t="s">
        <v>54</v>
      </c>
      <c r="H457" t="s">
        <v>91</v>
      </c>
      <c r="I457">
        <v>1851</v>
      </c>
      <c r="J457" s="7">
        <v>379.63</v>
      </c>
      <c r="K457" s="7">
        <v>702695.13</v>
      </c>
      <c r="L457">
        <v>642</v>
      </c>
      <c r="M457" t="s">
        <v>186</v>
      </c>
      <c r="N457" s="6">
        <f t="shared" si="29"/>
        <v>45962</v>
      </c>
      <c r="O457" t="s">
        <v>248</v>
      </c>
      <c r="P457" t="str">
        <f t="shared" si="30"/>
        <v>November 2025</v>
      </c>
      <c r="Q457" t="s">
        <v>28</v>
      </c>
      <c r="R457" s="7">
        <v>38097.89</v>
      </c>
      <c r="S457" s="7">
        <f t="shared" si="31"/>
        <v>740793.02</v>
      </c>
    </row>
    <row r="458" spans="1:19" x14ac:dyDescent="0.3">
      <c r="A458" t="s">
        <v>884</v>
      </c>
      <c r="B458" s="5" t="s">
        <v>148</v>
      </c>
      <c r="C458" s="6">
        <f t="shared" si="28"/>
        <v>45839</v>
      </c>
      <c r="D458" t="s">
        <v>96</v>
      </c>
      <c r="E458" t="s">
        <v>22</v>
      </c>
      <c r="F458" t="s">
        <v>23</v>
      </c>
      <c r="G458" t="s">
        <v>88</v>
      </c>
      <c r="H458" t="s">
        <v>55</v>
      </c>
      <c r="I458">
        <v>1517</v>
      </c>
      <c r="J458" s="7">
        <v>496.93</v>
      </c>
      <c r="K458" s="7">
        <v>753842.81</v>
      </c>
      <c r="L458">
        <v>17</v>
      </c>
      <c r="M458" t="s">
        <v>339</v>
      </c>
      <c r="N458" s="6">
        <f t="shared" si="29"/>
        <v>45839</v>
      </c>
      <c r="O458" t="s">
        <v>317</v>
      </c>
      <c r="P458" t="str">
        <f t="shared" si="30"/>
        <v>July 2025</v>
      </c>
      <c r="Q458" t="s">
        <v>28</v>
      </c>
      <c r="R458" s="7">
        <v>619.72</v>
      </c>
      <c r="S458" s="7">
        <f t="shared" si="31"/>
        <v>754462.53</v>
      </c>
    </row>
    <row r="459" spans="1:19" x14ac:dyDescent="0.3">
      <c r="A459" t="s">
        <v>885</v>
      </c>
      <c r="B459" s="5" t="s">
        <v>388</v>
      </c>
      <c r="C459" s="6">
        <f t="shared" si="28"/>
        <v>45748</v>
      </c>
      <c r="D459" t="s">
        <v>65</v>
      </c>
      <c r="E459" t="s">
        <v>22</v>
      </c>
      <c r="F459" t="s">
        <v>45</v>
      </c>
      <c r="G459" t="s">
        <v>351</v>
      </c>
      <c r="H459" t="s">
        <v>91</v>
      </c>
      <c r="I459">
        <v>53</v>
      </c>
      <c r="J459" s="7">
        <v>496.69</v>
      </c>
      <c r="K459" s="7">
        <v>26324.57</v>
      </c>
      <c r="L459">
        <v>394</v>
      </c>
      <c r="M459" t="s">
        <v>298</v>
      </c>
      <c r="N459" s="6">
        <f t="shared" si="29"/>
        <v>45748</v>
      </c>
      <c r="O459" t="s">
        <v>690</v>
      </c>
      <c r="P459" t="str">
        <f t="shared" si="30"/>
        <v>April 2025</v>
      </c>
      <c r="Q459" t="s">
        <v>37</v>
      </c>
      <c r="R459" s="7">
        <v>21429.68</v>
      </c>
      <c r="S459" s="7">
        <f t="shared" si="31"/>
        <v>47754.25</v>
      </c>
    </row>
    <row r="460" spans="1:19" x14ac:dyDescent="0.3">
      <c r="A460" t="s">
        <v>886</v>
      </c>
      <c r="B460" s="5" t="s">
        <v>447</v>
      </c>
      <c r="C460" s="6">
        <f t="shared" si="28"/>
        <v>45931</v>
      </c>
      <c r="D460" t="s">
        <v>31</v>
      </c>
      <c r="E460" t="s">
        <v>53</v>
      </c>
      <c r="F460" t="s">
        <v>23</v>
      </c>
      <c r="G460" t="s">
        <v>172</v>
      </c>
      <c r="H460" t="s">
        <v>47</v>
      </c>
      <c r="I460">
        <v>646</v>
      </c>
      <c r="J460" s="7">
        <v>872.26</v>
      </c>
      <c r="K460" s="7">
        <v>563479.96</v>
      </c>
      <c r="L460">
        <v>373</v>
      </c>
      <c r="M460" t="s">
        <v>448</v>
      </c>
      <c r="N460" s="6">
        <f t="shared" si="29"/>
        <v>45931</v>
      </c>
      <c r="O460" t="s">
        <v>156</v>
      </c>
      <c r="P460" t="str">
        <f t="shared" si="30"/>
        <v>October 2025</v>
      </c>
      <c r="Q460" t="s">
        <v>37</v>
      </c>
      <c r="R460" s="7">
        <v>18628.02</v>
      </c>
      <c r="S460" s="7">
        <f t="shared" si="31"/>
        <v>582107.98</v>
      </c>
    </row>
    <row r="461" spans="1:19" x14ac:dyDescent="0.3">
      <c r="A461" t="s">
        <v>887</v>
      </c>
      <c r="B461" s="5" t="s">
        <v>338</v>
      </c>
      <c r="C461" s="6">
        <f t="shared" si="28"/>
        <v>45839</v>
      </c>
      <c r="D461" t="s">
        <v>128</v>
      </c>
      <c r="E461" t="s">
        <v>32</v>
      </c>
      <c r="F461" t="s">
        <v>33</v>
      </c>
      <c r="G461" t="s">
        <v>71</v>
      </c>
      <c r="H461" t="s">
        <v>25</v>
      </c>
      <c r="I461">
        <v>2468</v>
      </c>
      <c r="J461" s="7">
        <v>882.71</v>
      </c>
      <c r="K461" s="7">
        <v>2178528.2799999998</v>
      </c>
      <c r="L461">
        <v>584</v>
      </c>
      <c r="M461" t="s">
        <v>148</v>
      </c>
      <c r="N461" s="6">
        <f t="shared" si="29"/>
        <v>45839</v>
      </c>
      <c r="O461" t="s">
        <v>147</v>
      </c>
      <c r="P461" t="str">
        <f t="shared" si="30"/>
        <v>July 2025</v>
      </c>
      <c r="Q461" t="s">
        <v>37</v>
      </c>
      <c r="R461" s="7">
        <v>28673.68</v>
      </c>
      <c r="S461" s="7">
        <f t="shared" si="31"/>
        <v>2207201.96</v>
      </c>
    </row>
    <row r="462" spans="1:19" x14ac:dyDescent="0.3">
      <c r="A462" t="s">
        <v>888</v>
      </c>
      <c r="B462" s="5" t="s">
        <v>417</v>
      </c>
      <c r="C462" s="6">
        <f t="shared" si="28"/>
        <v>45748</v>
      </c>
      <c r="D462" t="s">
        <v>40</v>
      </c>
      <c r="E462" t="s">
        <v>32</v>
      </c>
      <c r="F462" t="s">
        <v>23</v>
      </c>
      <c r="G462" t="s">
        <v>222</v>
      </c>
      <c r="H462" t="s">
        <v>35</v>
      </c>
      <c r="I462">
        <v>1519</v>
      </c>
      <c r="J462" s="7">
        <v>259.66000000000003</v>
      </c>
      <c r="K462" s="7">
        <v>394423.54</v>
      </c>
      <c r="L462">
        <v>483</v>
      </c>
      <c r="M462" t="s">
        <v>264</v>
      </c>
      <c r="N462" s="6">
        <f t="shared" si="29"/>
        <v>45748</v>
      </c>
      <c r="O462" t="s">
        <v>593</v>
      </c>
      <c r="P462" t="str">
        <f t="shared" si="30"/>
        <v>April 2025</v>
      </c>
      <c r="Q462" t="s">
        <v>37</v>
      </c>
      <c r="R462" s="7">
        <v>19890.53</v>
      </c>
      <c r="S462" s="7">
        <f t="shared" si="31"/>
        <v>414314.06999999995</v>
      </c>
    </row>
    <row r="463" spans="1:19" x14ac:dyDescent="0.3">
      <c r="A463" t="s">
        <v>889</v>
      </c>
      <c r="B463" s="5" t="s">
        <v>133</v>
      </c>
      <c r="C463" s="6">
        <f t="shared" si="28"/>
        <v>45748</v>
      </c>
      <c r="D463" t="s">
        <v>31</v>
      </c>
      <c r="E463" t="s">
        <v>22</v>
      </c>
      <c r="F463" t="s">
        <v>33</v>
      </c>
      <c r="G463" t="s">
        <v>163</v>
      </c>
      <c r="H463" t="s">
        <v>132</v>
      </c>
      <c r="I463">
        <v>564</v>
      </c>
      <c r="J463" s="7">
        <v>150.91999999999999</v>
      </c>
      <c r="K463" s="7">
        <v>85118.88</v>
      </c>
      <c r="L463">
        <v>389</v>
      </c>
      <c r="M463" t="s">
        <v>417</v>
      </c>
      <c r="N463" s="6">
        <f t="shared" si="29"/>
        <v>45748</v>
      </c>
      <c r="O463" t="s">
        <v>708</v>
      </c>
      <c r="P463" t="str">
        <f t="shared" si="30"/>
        <v>April 2025</v>
      </c>
      <c r="Q463" t="s">
        <v>37</v>
      </c>
      <c r="R463" s="7">
        <v>21371.8</v>
      </c>
      <c r="S463" s="7">
        <f t="shared" si="31"/>
        <v>106490.68000000001</v>
      </c>
    </row>
    <row r="464" spans="1:19" x14ac:dyDescent="0.3">
      <c r="A464" t="s">
        <v>890</v>
      </c>
      <c r="B464" s="5" t="s">
        <v>891</v>
      </c>
      <c r="C464" s="6">
        <f t="shared" si="28"/>
        <v>45748</v>
      </c>
      <c r="D464" t="s">
        <v>65</v>
      </c>
      <c r="E464" t="s">
        <v>22</v>
      </c>
      <c r="F464" t="s">
        <v>45</v>
      </c>
      <c r="G464" t="s">
        <v>60</v>
      </c>
      <c r="H464" t="s">
        <v>132</v>
      </c>
      <c r="I464">
        <v>2224</v>
      </c>
      <c r="J464" s="7">
        <v>837.23</v>
      </c>
      <c r="K464" s="7">
        <v>1861999.52</v>
      </c>
      <c r="L464">
        <v>94</v>
      </c>
      <c r="M464" t="s">
        <v>131</v>
      </c>
      <c r="N464" s="6">
        <f t="shared" si="29"/>
        <v>45748</v>
      </c>
      <c r="O464" t="s">
        <v>891</v>
      </c>
      <c r="P464" t="str">
        <f t="shared" si="30"/>
        <v>April 2025</v>
      </c>
      <c r="Q464" t="s">
        <v>37</v>
      </c>
      <c r="R464" s="7">
        <v>3878.88</v>
      </c>
      <c r="S464" s="7">
        <f t="shared" si="31"/>
        <v>1865878.4</v>
      </c>
    </row>
    <row r="465" spans="1:19" x14ac:dyDescent="0.3">
      <c r="A465" t="s">
        <v>892</v>
      </c>
      <c r="B465" s="5" t="s">
        <v>846</v>
      </c>
      <c r="C465" s="6">
        <f t="shared" si="28"/>
        <v>45689</v>
      </c>
      <c r="D465" t="s">
        <v>109</v>
      </c>
      <c r="E465" t="s">
        <v>22</v>
      </c>
      <c r="F465" t="s">
        <v>59</v>
      </c>
      <c r="G465" t="s">
        <v>168</v>
      </c>
      <c r="H465" t="s">
        <v>91</v>
      </c>
      <c r="I465">
        <v>2407</v>
      </c>
      <c r="J465" s="7">
        <v>867.81</v>
      </c>
      <c r="K465" s="7">
        <v>2088818.67</v>
      </c>
      <c r="L465">
        <v>123</v>
      </c>
      <c r="M465" t="s">
        <v>469</v>
      </c>
      <c r="N465" s="6">
        <f t="shared" si="29"/>
        <v>45689</v>
      </c>
      <c r="O465" t="s">
        <v>470</v>
      </c>
      <c r="P465" t="str">
        <f t="shared" si="30"/>
        <v>February 2025</v>
      </c>
      <c r="Q465" t="s">
        <v>28</v>
      </c>
      <c r="R465" s="7">
        <v>5273.7</v>
      </c>
      <c r="S465" s="7">
        <f t="shared" si="31"/>
        <v>2094092.3699999999</v>
      </c>
    </row>
    <row r="466" spans="1:19" x14ac:dyDescent="0.3">
      <c r="A466" t="s">
        <v>893</v>
      </c>
      <c r="B466" s="5" t="s">
        <v>355</v>
      </c>
      <c r="C466" s="6">
        <f t="shared" si="28"/>
        <v>45992</v>
      </c>
      <c r="D466" t="s">
        <v>109</v>
      </c>
      <c r="E466" t="s">
        <v>32</v>
      </c>
      <c r="F466" t="s">
        <v>45</v>
      </c>
      <c r="G466" t="s">
        <v>222</v>
      </c>
      <c r="H466" t="s">
        <v>47</v>
      </c>
      <c r="I466">
        <v>2451</v>
      </c>
      <c r="J466" s="7">
        <v>234.14</v>
      </c>
      <c r="K466" s="7">
        <v>573877.14</v>
      </c>
      <c r="L466">
        <v>390</v>
      </c>
      <c r="M466" t="s">
        <v>356</v>
      </c>
      <c r="N466" s="6">
        <f t="shared" si="29"/>
        <v>45992</v>
      </c>
      <c r="O466" t="s">
        <v>356</v>
      </c>
      <c r="P466" t="str">
        <f t="shared" si="30"/>
        <v>December 2025</v>
      </c>
      <c r="Q466" t="s">
        <v>37</v>
      </c>
      <c r="R466" s="7">
        <v>17681.150000000001</v>
      </c>
      <c r="S466" s="7">
        <f t="shared" si="31"/>
        <v>591558.29</v>
      </c>
    </row>
    <row r="467" spans="1:19" x14ac:dyDescent="0.3">
      <c r="A467" t="s">
        <v>894</v>
      </c>
      <c r="B467" s="5" t="s">
        <v>507</v>
      </c>
      <c r="C467" s="6">
        <f t="shared" si="28"/>
        <v>45748</v>
      </c>
      <c r="D467" t="s">
        <v>96</v>
      </c>
      <c r="E467" t="s">
        <v>75</v>
      </c>
      <c r="F467" t="s">
        <v>45</v>
      </c>
      <c r="G467" t="s">
        <v>60</v>
      </c>
      <c r="H467" t="s">
        <v>55</v>
      </c>
      <c r="I467">
        <v>2149</v>
      </c>
      <c r="J467" s="7">
        <v>165.01</v>
      </c>
      <c r="K467" s="7">
        <v>354606.49</v>
      </c>
      <c r="L467">
        <v>680</v>
      </c>
      <c r="M467" t="s">
        <v>85</v>
      </c>
      <c r="N467" s="6">
        <f t="shared" si="29"/>
        <v>45748</v>
      </c>
      <c r="O467" t="s">
        <v>85</v>
      </c>
      <c r="P467" t="str">
        <f t="shared" si="30"/>
        <v>April 2025</v>
      </c>
      <c r="Q467" t="s">
        <v>37</v>
      </c>
      <c r="R467" s="7">
        <v>24026.49</v>
      </c>
      <c r="S467" s="7">
        <f t="shared" si="31"/>
        <v>378632.98</v>
      </c>
    </row>
    <row r="468" spans="1:19" x14ac:dyDescent="0.3">
      <c r="A468" t="s">
        <v>895</v>
      </c>
      <c r="B468" s="5" t="s">
        <v>896</v>
      </c>
      <c r="C468" s="6">
        <f t="shared" si="28"/>
        <v>45658</v>
      </c>
      <c r="D468" t="s">
        <v>65</v>
      </c>
      <c r="E468" t="s">
        <v>53</v>
      </c>
      <c r="F468" t="s">
        <v>45</v>
      </c>
      <c r="G468" t="s">
        <v>54</v>
      </c>
      <c r="H468" t="s">
        <v>35</v>
      </c>
      <c r="I468">
        <v>719</v>
      </c>
      <c r="J468" s="7">
        <v>97.86</v>
      </c>
      <c r="K468" s="7">
        <v>70361.34</v>
      </c>
      <c r="L468">
        <v>285</v>
      </c>
      <c r="M468" t="s">
        <v>897</v>
      </c>
      <c r="N468" s="6">
        <f t="shared" si="29"/>
        <v>45658</v>
      </c>
      <c r="O468" t="s">
        <v>664</v>
      </c>
      <c r="P468" t="str">
        <f t="shared" si="30"/>
        <v>January 2025</v>
      </c>
      <c r="Q468" t="s">
        <v>28</v>
      </c>
      <c r="R468" s="7">
        <v>17265.12</v>
      </c>
      <c r="S468" s="7">
        <f t="shared" si="31"/>
        <v>87626.459999999992</v>
      </c>
    </row>
    <row r="469" spans="1:19" x14ac:dyDescent="0.3">
      <c r="A469" t="s">
        <v>898</v>
      </c>
      <c r="B469" s="5" t="s">
        <v>223</v>
      </c>
      <c r="C469" s="6">
        <f t="shared" si="28"/>
        <v>45778</v>
      </c>
      <c r="D469" t="s">
        <v>21</v>
      </c>
      <c r="E469" t="s">
        <v>143</v>
      </c>
      <c r="F469" t="s">
        <v>45</v>
      </c>
      <c r="G469" t="s">
        <v>71</v>
      </c>
      <c r="H469" t="s">
        <v>77</v>
      </c>
      <c r="I469">
        <v>1096</v>
      </c>
      <c r="J469" s="7">
        <v>650.16999999999996</v>
      </c>
      <c r="K469" s="7">
        <v>712586.32</v>
      </c>
      <c r="L469">
        <v>80</v>
      </c>
      <c r="M469" t="s">
        <v>336</v>
      </c>
      <c r="N469" s="6">
        <f t="shared" si="29"/>
        <v>45778</v>
      </c>
      <c r="O469" t="s">
        <v>336</v>
      </c>
      <c r="P469" t="str">
        <f t="shared" si="30"/>
        <v>May 2025</v>
      </c>
      <c r="Q469" t="s">
        <v>37</v>
      </c>
      <c r="R469" s="7">
        <v>3944.43</v>
      </c>
      <c r="S469" s="7">
        <f t="shared" si="31"/>
        <v>716530.75</v>
      </c>
    </row>
    <row r="470" spans="1:19" x14ac:dyDescent="0.3">
      <c r="A470" t="s">
        <v>899</v>
      </c>
      <c r="B470" s="5" t="s">
        <v>689</v>
      </c>
      <c r="C470" s="6">
        <f t="shared" si="28"/>
        <v>45748</v>
      </c>
      <c r="D470" t="s">
        <v>40</v>
      </c>
      <c r="E470" t="s">
        <v>53</v>
      </c>
      <c r="F470" t="s">
        <v>23</v>
      </c>
      <c r="G470" t="s">
        <v>46</v>
      </c>
      <c r="H470" t="s">
        <v>155</v>
      </c>
      <c r="I470">
        <v>2002</v>
      </c>
      <c r="J470" s="7">
        <v>439.85</v>
      </c>
      <c r="K470" s="7">
        <v>880579.7</v>
      </c>
      <c r="L470">
        <v>589</v>
      </c>
      <c r="M470" t="s">
        <v>690</v>
      </c>
      <c r="N470" s="6">
        <f t="shared" si="29"/>
        <v>45748</v>
      </c>
      <c r="O470" t="s">
        <v>388</v>
      </c>
      <c r="P470" t="str">
        <f t="shared" si="30"/>
        <v>April 2025</v>
      </c>
      <c r="Q470" t="s">
        <v>37</v>
      </c>
      <c r="R470" s="7">
        <v>35816.5</v>
      </c>
      <c r="S470" s="7">
        <f t="shared" si="31"/>
        <v>916396.2</v>
      </c>
    </row>
    <row r="471" spans="1:19" x14ac:dyDescent="0.3">
      <c r="A471" t="s">
        <v>900</v>
      </c>
      <c r="B471" s="5" t="s">
        <v>306</v>
      </c>
      <c r="C471" s="6">
        <f t="shared" si="28"/>
        <v>45931</v>
      </c>
      <c r="D471" t="s">
        <v>65</v>
      </c>
      <c r="E471" t="s">
        <v>70</v>
      </c>
      <c r="F471" t="s">
        <v>33</v>
      </c>
      <c r="G471" t="s">
        <v>46</v>
      </c>
      <c r="H471" t="s">
        <v>61</v>
      </c>
      <c r="I471">
        <v>2032</v>
      </c>
      <c r="J471" s="7">
        <v>762.25</v>
      </c>
      <c r="K471" s="7">
        <v>1548892</v>
      </c>
      <c r="L471">
        <v>292</v>
      </c>
      <c r="M471" t="s">
        <v>834</v>
      </c>
      <c r="N471" s="6">
        <f t="shared" si="29"/>
        <v>45931</v>
      </c>
      <c r="O471" t="s">
        <v>516</v>
      </c>
      <c r="P471" t="str">
        <f t="shared" si="30"/>
        <v>October 2025</v>
      </c>
      <c r="Q471" t="s">
        <v>28</v>
      </c>
      <c r="R471" s="7">
        <v>16186.22</v>
      </c>
      <c r="S471" s="7">
        <f t="shared" si="31"/>
        <v>1565078.22</v>
      </c>
    </row>
    <row r="472" spans="1:19" x14ac:dyDescent="0.3">
      <c r="A472" t="s">
        <v>901</v>
      </c>
      <c r="B472" s="5" t="s">
        <v>603</v>
      </c>
      <c r="C472" s="6">
        <f t="shared" si="28"/>
        <v>45717</v>
      </c>
      <c r="D472" t="s">
        <v>52</v>
      </c>
      <c r="E472" t="s">
        <v>22</v>
      </c>
      <c r="F472" t="s">
        <v>45</v>
      </c>
      <c r="G472" t="s">
        <v>351</v>
      </c>
      <c r="H472" t="s">
        <v>91</v>
      </c>
      <c r="I472">
        <v>1877</v>
      </c>
      <c r="J472" s="7">
        <v>277.19</v>
      </c>
      <c r="K472" s="7">
        <v>520285.63</v>
      </c>
      <c r="L472">
        <v>97</v>
      </c>
      <c r="M472" t="s">
        <v>269</v>
      </c>
      <c r="N472" s="6">
        <f t="shared" si="29"/>
        <v>45717</v>
      </c>
      <c r="O472" t="s">
        <v>269</v>
      </c>
      <c r="P472" t="str">
        <f t="shared" si="30"/>
        <v>March 2025</v>
      </c>
      <c r="Q472" t="s">
        <v>37</v>
      </c>
      <c r="R472" s="7">
        <v>4897.7299999999996</v>
      </c>
      <c r="S472" s="7">
        <f t="shared" si="31"/>
        <v>525183.36</v>
      </c>
    </row>
    <row r="473" spans="1:19" x14ac:dyDescent="0.3">
      <c r="A473" t="s">
        <v>902</v>
      </c>
      <c r="B473" s="5" t="s">
        <v>425</v>
      </c>
      <c r="C473" s="6">
        <f t="shared" si="28"/>
        <v>45839</v>
      </c>
      <c r="D473" t="s">
        <v>31</v>
      </c>
      <c r="E473" t="s">
        <v>75</v>
      </c>
      <c r="F473" t="s">
        <v>45</v>
      </c>
      <c r="G473" t="s">
        <v>88</v>
      </c>
      <c r="H473" t="s">
        <v>77</v>
      </c>
      <c r="I473">
        <v>2101</v>
      </c>
      <c r="J473" s="7">
        <v>702.52</v>
      </c>
      <c r="K473" s="7">
        <v>1475994.52</v>
      </c>
      <c r="L473">
        <v>657</v>
      </c>
      <c r="M473" t="s">
        <v>505</v>
      </c>
      <c r="N473" s="6">
        <f t="shared" si="29"/>
        <v>45839</v>
      </c>
      <c r="O473" t="s">
        <v>505</v>
      </c>
      <c r="P473" t="str">
        <f t="shared" si="30"/>
        <v>July 2025</v>
      </c>
      <c r="Q473" t="s">
        <v>37</v>
      </c>
      <c r="R473" s="7">
        <v>28945.3</v>
      </c>
      <c r="S473" s="7">
        <f t="shared" si="31"/>
        <v>1504939.82</v>
      </c>
    </row>
    <row r="474" spans="1:19" x14ac:dyDescent="0.3">
      <c r="A474" t="s">
        <v>903</v>
      </c>
      <c r="B474" s="5" t="s">
        <v>664</v>
      </c>
      <c r="C474" s="6">
        <f t="shared" si="28"/>
        <v>45658</v>
      </c>
      <c r="D474" t="s">
        <v>21</v>
      </c>
      <c r="E474" t="s">
        <v>143</v>
      </c>
      <c r="F474" t="s">
        <v>59</v>
      </c>
      <c r="G474" t="s">
        <v>86</v>
      </c>
      <c r="H474" t="s">
        <v>55</v>
      </c>
      <c r="I474">
        <v>625</v>
      </c>
      <c r="J474" s="7">
        <v>53.76</v>
      </c>
      <c r="K474" s="7">
        <v>33600</v>
      </c>
      <c r="L474">
        <v>604</v>
      </c>
      <c r="M474" t="s">
        <v>346</v>
      </c>
      <c r="N474" s="6">
        <f t="shared" si="29"/>
        <v>45658</v>
      </c>
      <c r="O474" t="s">
        <v>347</v>
      </c>
      <c r="P474" t="str">
        <f t="shared" si="30"/>
        <v>February 2025</v>
      </c>
      <c r="Q474" t="s">
        <v>28</v>
      </c>
      <c r="R474" s="7">
        <v>22156.02</v>
      </c>
      <c r="S474" s="7">
        <f t="shared" si="31"/>
        <v>55756.020000000004</v>
      </c>
    </row>
    <row r="475" spans="1:19" x14ac:dyDescent="0.3">
      <c r="A475" t="s">
        <v>904</v>
      </c>
      <c r="B475" s="5" t="s">
        <v>200</v>
      </c>
      <c r="C475" s="6">
        <f t="shared" si="28"/>
        <v>45931</v>
      </c>
      <c r="D475" t="s">
        <v>40</v>
      </c>
      <c r="E475" t="s">
        <v>70</v>
      </c>
      <c r="F475" t="s">
        <v>45</v>
      </c>
      <c r="G475" t="s">
        <v>190</v>
      </c>
      <c r="H475" t="str">
        <f xml:space="preserve"> "Not Found"</f>
        <v>Not Found</v>
      </c>
      <c r="I475">
        <v>713</v>
      </c>
      <c r="J475" s="7">
        <v>83.28</v>
      </c>
      <c r="K475" s="7">
        <v>59378.64</v>
      </c>
      <c r="L475">
        <v>687</v>
      </c>
      <c r="M475" t="s">
        <v>93</v>
      </c>
      <c r="N475" s="6">
        <f t="shared" si="29"/>
        <v>45931</v>
      </c>
      <c r="O475" t="s">
        <v>93</v>
      </c>
      <c r="P475" t="str">
        <f t="shared" si="30"/>
        <v>October 2025</v>
      </c>
      <c r="Q475" t="s">
        <v>37</v>
      </c>
      <c r="R475" s="7">
        <v>26777.91</v>
      </c>
      <c r="S475" s="7">
        <f t="shared" si="31"/>
        <v>86156.55</v>
      </c>
    </row>
    <row r="476" spans="1:19" x14ac:dyDescent="0.3">
      <c r="A476" t="s">
        <v>905</v>
      </c>
      <c r="B476" s="5" t="s">
        <v>108</v>
      </c>
      <c r="C476" s="6">
        <f t="shared" si="28"/>
        <v>45992</v>
      </c>
      <c r="D476" t="s">
        <v>128</v>
      </c>
      <c r="E476" t="s">
        <v>53</v>
      </c>
      <c r="F476" t="s">
        <v>33</v>
      </c>
      <c r="G476" t="s">
        <v>60</v>
      </c>
      <c r="H476" t="s">
        <v>61</v>
      </c>
      <c r="I476">
        <v>2397</v>
      </c>
      <c r="J476" s="7">
        <v>544.66</v>
      </c>
      <c r="K476" s="7">
        <v>1305550.02</v>
      </c>
      <c r="L476">
        <v>510</v>
      </c>
      <c r="M476" t="s">
        <v>399</v>
      </c>
      <c r="N476" s="6">
        <f t="shared" si="29"/>
        <v>45992</v>
      </c>
      <c r="O476" t="s">
        <v>119</v>
      </c>
      <c r="P476" t="str">
        <f t="shared" si="30"/>
        <v>December 2025</v>
      </c>
      <c r="Q476" t="s">
        <v>28</v>
      </c>
      <c r="R476" s="7">
        <v>30193.15</v>
      </c>
      <c r="S476" s="7">
        <f t="shared" si="31"/>
        <v>1335743.17</v>
      </c>
    </row>
    <row r="477" spans="1:19" x14ac:dyDescent="0.3">
      <c r="A477" t="s">
        <v>906</v>
      </c>
      <c r="B477" s="5" t="s">
        <v>402</v>
      </c>
      <c r="C477" s="6">
        <f t="shared" si="28"/>
        <v>45870</v>
      </c>
      <c r="D477" t="s">
        <v>65</v>
      </c>
      <c r="E477" t="s">
        <v>75</v>
      </c>
      <c r="F477" t="s">
        <v>33</v>
      </c>
      <c r="G477" t="s">
        <v>88</v>
      </c>
      <c r="H477" t="s">
        <v>91</v>
      </c>
      <c r="I477">
        <v>988</v>
      </c>
      <c r="J477" s="7">
        <v>634.97</v>
      </c>
      <c r="K477" s="7">
        <v>627350.36</v>
      </c>
      <c r="L477">
        <v>639</v>
      </c>
      <c r="M477" t="s">
        <v>81</v>
      </c>
      <c r="N477" s="6">
        <f t="shared" si="29"/>
        <v>45870</v>
      </c>
      <c r="O477" t="s">
        <v>81</v>
      </c>
      <c r="P477" t="str">
        <f t="shared" si="30"/>
        <v>August 2025</v>
      </c>
      <c r="Q477" t="s">
        <v>37</v>
      </c>
      <c r="R477" s="7">
        <v>22482</v>
      </c>
      <c r="S477" s="7">
        <f t="shared" si="31"/>
        <v>649832.36</v>
      </c>
    </row>
    <row r="478" spans="1:19" x14ac:dyDescent="0.3">
      <c r="A478" t="s">
        <v>907</v>
      </c>
      <c r="B478" s="5" t="s">
        <v>79</v>
      </c>
      <c r="C478" s="6">
        <f t="shared" si="28"/>
        <v>45748</v>
      </c>
      <c r="D478" t="s">
        <v>31</v>
      </c>
      <c r="E478" t="s">
        <v>143</v>
      </c>
      <c r="F478" t="s">
        <v>23</v>
      </c>
      <c r="G478" t="s">
        <v>138</v>
      </c>
      <c r="H478" t="s">
        <v>123</v>
      </c>
      <c r="I478">
        <v>2391</v>
      </c>
      <c r="J478" s="7">
        <v>787.52</v>
      </c>
      <c r="K478" s="7">
        <v>1882960.32</v>
      </c>
      <c r="L478">
        <v>168</v>
      </c>
      <c r="M478" t="s">
        <v>659</v>
      </c>
      <c r="N478" s="6">
        <f t="shared" si="29"/>
        <v>45748</v>
      </c>
      <c r="O478" t="s">
        <v>659</v>
      </c>
      <c r="P478" t="str">
        <f t="shared" si="30"/>
        <v>April 2025</v>
      </c>
      <c r="Q478" t="s">
        <v>37</v>
      </c>
      <c r="R478" s="7">
        <v>7961.32</v>
      </c>
      <c r="S478" s="7">
        <f t="shared" si="31"/>
        <v>1890921.6400000001</v>
      </c>
    </row>
    <row r="479" spans="1:19" x14ac:dyDescent="0.3">
      <c r="A479" t="s">
        <v>908</v>
      </c>
      <c r="B479" s="5" t="s">
        <v>640</v>
      </c>
      <c r="C479" s="6">
        <f t="shared" si="28"/>
        <v>45962</v>
      </c>
      <c r="D479" t="s">
        <v>128</v>
      </c>
      <c r="E479" t="s">
        <v>75</v>
      </c>
      <c r="F479" t="s">
        <v>59</v>
      </c>
      <c r="G479" t="s">
        <v>110</v>
      </c>
      <c r="H479" t="s">
        <v>91</v>
      </c>
      <c r="I479">
        <v>2136</v>
      </c>
      <c r="J479" s="7">
        <v>305.43</v>
      </c>
      <c r="K479" s="7">
        <v>652398.48</v>
      </c>
      <c r="L479">
        <v>702</v>
      </c>
      <c r="M479" t="s">
        <v>304</v>
      </c>
      <c r="N479" s="6">
        <f t="shared" si="29"/>
        <v>45962</v>
      </c>
      <c r="O479" t="s">
        <v>304</v>
      </c>
      <c r="P479" t="str">
        <f t="shared" si="30"/>
        <v>November 2025</v>
      </c>
      <c r="Q479" t="s">
        <v>37</v>
      </c>
      <c r="R479" s="7">
        <v>32575.23</v>
      </c>
      <c r="S479" s="7">
        <f t="shared" si="31"/>
        <v>684973.71</v>
      </c>
    </row>
    <row r="480" spans="1:19" x14ac:dyDescent="0.3">
      <c r="A480" t="s">
        <v>909</v>
      </c>
      <c r="B480" s="5" t="s">
        <v>215</v>
      </c>
      <c r="C480" s="6">
        <f t="shared" si="28"/>
        <v>45658</v>
      </c>
      <c r="D480" t="s">
        <v>21</v>
      </c>
      <c r="E480" t="s">
        <v>143</v>
      </c>
      <c r="F480" t="s">
        <v>59</v>
      </c>
      <c r="G480" t="s">
        <v>179</v>
      </c>
      <c r="H480" t="s">
        <v>61</v>
      </c>
      <c r="I480">
        <v>808</v>
      </c>
      <c r="J480" s="7">
        <v>623.64</v>
      </c>
      <c r="K480" s="7">
        <v>503901.12</v>
      </c>
      <c r="L480">
        <v>414</v>
      </c>
      <c r="M480" t="s">
        <v>560</v>
      </c>
      <c r="N480" s="6">
        <f t="shared" si="29"/>
        <v>45658</v>
      </c>
      <c r="O480" t="s">
        <v>287</v>
      </c>
      <c r="P480" t="str">
        <f t="shared" si="30"/>
        <v>January 2025</v>
      </c>
      <c r="Q480" t="s">
        <v>28</v>
      </c>
      <c r="R480" s="7">
        <v>16236.28</v>
      </c>
      <c r="S480" s="7">
        <f t="shared" si="31"/>
        <v>520137.4</v>
      </c>
    </row>
    <row r="481" spans="1:19" x14ac:dyDescent="0.3">
      <c r="A481" t="s">
        <v>910</v>
      </c>
      <c r="B481" s="5" t="s">
        <v>372</v>
      </c>
      <c r="C481" s="6">
        <f t="shared" si="28"/>
        <v>45870</v>
      </c>
      <c r="D481" t="s">
        <v>109</v>
      </c>
      <c r="E481" t="s">
        <v>143</v>
      </c>
      <c r="F481" t="s">
        <v>33</v>
      </c>
      <c r="G481" t="s">
        <v>227</v>
      </c>
      <c r="H481" t="s">
        <v>47</v>
      </c>
      <c r="I481">
        <v>1084</v>
      </c>
      <c r="J481" s="7">
        <v>654.51</v>
      </c>
      <c r="K481" s="7">
        <v>709488.84</v>
      </c>
      <c r="L481">
        <v>190</v>
      </c>
      <c r="M481" t="s">
        <v>167</v>
      </c>
      <c r="N481" s="6">
        <f t="shared" si="29"/>
        <v>45870</v>
      </c>
      <c r="O481" t="s">
        <v>565</v>
      </c>
      <c r="P481" t="str">
        <f t="shared" si="30"/>
        <v>August 2025</v>
      </c>
      <c r="Q481" t="s">
        <v>28</v>
      </c>
      <c r="R481" s="7">
        <v>10363.98</v>
      </c>
      <c r="S481" s="7">
        <f t="shared" si="31"/>
        <v>719852.82</v>
      </c>
    </row>
    <row r="482" spans="1:19" x14ac:dyDescent="0.3">
      <c r="A482" t="s">
        <v>911</v>
      </c>
      <c r="B482" s="5" t="s">
        <v>912</v>
      </c>
      <c r="C482" s="6">
        <f t="shared" si="28"/>
        <v>45689</v>
      </c>
      <c r="D482" t="s">
        <v>52</v>
      </c>
      <c r="E482" t="s">
        <v>70</v>
      </c>
      <c r="F482" t="s">
        <v>23</v>
      </c>
      <c r="G482" t="s">
        <v>179</v>
      </c>
      <c r="H482" t="s">
        <v>25</v>
      </c>
      <c r="I482">
        <v>881</v>
      </c>
      <c r="J482" s="7">
        <v>698.05</v>
      </c>
      <c r="K482" s="7">
        <v>614982.05000000005</v>
      </c>
      <c r="L482">
        <v>263</v>
      </c>
      <c r="M482" t="s">
        <v>151</v>
      </c>
      <c r="N482" s="6">
        <f t="shared" si="29"/>
        <v>45689</v>
      </c>
      <c r="O482" t="s">
        <v>629</v>
      </c>
      <c r="P482" t="str">
        <f t="shared" si="30"/>
        <v>February 2025</v>
      </c>
      <c r="Q482" t="s">
        <v>28</v>
      </c>
      <c r="R482" s="7">
        <v>14422.13</v>
      </c>
      <c r="S482" s="7">
        <f t="shared" si="31"/>
        <v>629404.18000000005</v>
      </c>
    </row>
    <row r="483" spans="1:19" x14ac:dyDescent="0.3">
      <c r="A483" t="s">
        <v>913</v>
      </c>
      <c r="B483" s="5" t="s">
        <v>319</v>
      </c>
      <c r="C483" s="6">
        <f t="shared" si="28"/>
        <v>45658</v>
      </c>
      <c r="D483" t="s">
        <v>128</v>
      </c>
      <c r="E483" t="s">
        <v>32</v>
      </c>
      <c r="F483" t="s">
        <v>23</v>
      </c>
      <c r="G483" t="s">
        <v>138</v>
      </c>
      <c r="H483" t="s">
        <v>155</v>
      </c>
      <c r="I483">
        <v>2499</v>
      </c>
      <c r="J483" s="7">
        <v>539.66</v>
      </c>
      <c r="K483" s="7">
        <v>1348610.34</v>
      </c>
      <c r="L483">
        <v>656</v>
      </c>
      <c r="M483" t="s">
        <v>320</v>
      </c>
      <c r="N483" s="6">
        <f t="shared" si="29"/>
        <v>45658</v>
      </c>
      <c r="O483" t="s">
        <v>580</v>
      </c>
      <c r="P483" t="str">
        <f t="shared" si="30"/>
        <v>January 2025</v>
      </c>
      <c r="Q483" t="s">
        <v>28</v>
      </c>
      <c r="R483" s="7">
        <v>39866.54</v>
      </c>
      <c r="S483" s="7">
        <f t="shared" si="31"/>
        <v>1388476.8800000001</v>
      </c>
    </row>
    <row r="484" spans="1:19" x14ac:dyDescent="0.3">
      <c r="A484" t="s">
        <v>914</v>
      </c>
      <c r="B484" s="5" t="s">
        <v>197</v>
      </c>
      <c r="C484" s="6">
        <f t="shared" si="28"/>
        <v>45809</v>
      </c>
      <c r="D484" t="s">
        <v>96</v>
      </c>
      <c r="E484" t="s">
        <v>75</v>
      </c>
      <c r="F484" t="s">
        <v>23</v>
      </c>
      <c r="G484" t="s">
        <v>163</v>
      </c>
      <c r="H484" t="s">
        <v>132</v>
      </c>
      <c r="I484">
        <v>523</v>
      </c>
      <c r="J484" s="7">
        <v>186.47</v>
      </c>
      <c r="K484" s="7">
        <v>97523.81</v>
      </c>
      <c r="L484">
        <v>714</v>
      </c>
      <c r="M484" t="s">
        <v>160</v>
      </c>
      <c r="N484" s="6">
        <f t="shared" si="29"/>
        <v>45809</v>
      </c>
      <c r="O484" t="s">
        <v>704</v>
      </c>
      <c r="P484" t="str">
        <f t="shared" si="30"/>
        <v>June 2025</v>
      </c>
      <c r="Q484" t="s">
        <v>28</v>
      </c>
      <c r="R484" s="7">
        <v>40374.67</v>
      </c>
      <c r="S484" s="7">
        <f t="shared" si="31"/>
        <v>137898.47999999998</v>
      </c>
    </row>
    <row r="485" spans="1:19" x14ac:dyDescent="0.3">
      <c r="A485" t="s">
        <v>915</v>
      </c>
      <c r="B485" s="5" t="s">
        <v>214</v>
      </c>
      <c r="C485" s="6">
        <f t="shared" si="28"/>
        <v>45658</v>
      </c>
      <c r="D485" t="s">
        <v>31</v>
      </c>
      <c r="E485" t="s">
        <v>143</v>
      </c>
      <c r="F485" t="s">
        <v>59</v>
      </c>
      <c r="G485" t="s">
        <v>494</v>
      </c>
      <c r="H485" t="s">
        <v>55</v>
      </c>
      <c r="I485">
        <v>2333</v>
      </c>
      <c r="J485" s="7">
        <v>401.89</v>
      </c>
      <c r="K485" s="7">
        <v>937609.37</v>
      </c>
      <c r="L485">
        <v>255</v>
      </c>
      <c r="M485" t="s">
        <v>195</v>
      </c>
      <c r="N485" s="6">
        <f t="shared" si="29"/>
        <v>45658</v>
      </c>
      <c r="O485" t="s">
        <v>215</v>
      </c>
      <c r="P485" t="str">
        <f t="shared" si="30"/>
        <v>January 2025</v>
      </c>
      <c r="Q485" t="s">
        <v>28</v>
      </c>
      <c r="R485" s="7">
        <v>9075.1299999999992</v>
      </c>
      <c r="S485" s="7">
        <f t="shared" si="31"/>
        <v>946684.5</v>
      </c>
    </row>
    <row r="486" spans="1:19" x14ac:dyDescent="0.3">
      <c r="A486" t="s">
        <v>916</v>
      </c>
      <c r="B486" s="5" t="s">
        <v>461</v>
      </c>
      <c r="C486" s="6">
        <f t="shared" si="28"/>
        <v>45717</v>
      </c>
      <c r="D486" t="s">
        <v>65</v>
      </c>
      <c r="E486" t="s">
        <v>22</v>
      </c>
      <c r="F486" t="s">
        <v>33</v>
      </c>
      <c r="G486" t="s">
        <v>71</v>
      </c>
      <c r="H486" t="s">
        <v>132</v>
      </c>
      <c r="I486">
        <v>1284</v>
      </c>
      <c r="J486" s="7">
        <v>511.26</v>
      </c>
      <c r="K486" s="7">
        <v>656457.84</v>
      </c>
      <c r="L486">
        <v>130</v>
      </c>
      <c r="M486" t="s">
        <v>917</v>
      </c>
      <c r="N486" s="6">
        <f t="shared" si="29"/>
        <v>45717</v>
      </c>
      <c r="O486" t="s">
        <v>917</v>
      </c>
      <c r="P486" t="str">
        <f t="shared" si="30"/>
        <v>March 2025</v>
      </c>
      <c r="Q486" t="s">
        <v>37</v>
      </c>
      <c r="R486" s="7">
        <v>4570.12</v>
      </c>
      <c r="S486" s="7">
        <f t="shared" si="31"/>
        <v>661027.96</v>
      </c>
    </row>
    <row r="487" spans="1:19" x14ac:dyDescent="0.3">
      <c r="A487" t="s">
        <v>918</v>
      </c>
      <c r="B487" s="5" t="s">
        <v>796</v>
      </c>
      <c r="C487" s="6">
        <f t="shared" si="28"/>
        <v>45778</v>
      </c>
      <c r="D487" t="s">
        <v>128</v>
      </c>
      <c r="E487" t="s">
        <v>53</v>
      </c>
      <c r="F487" t="s">
        <v>33</v>
      </c>
      <c r="G487" t="s">
        <v>163</v>
      </c>
      <c r="H487" t="s">
        <v>132</v>
      </c>
      <c r="I487">
        <v>333</v>
      </c>
      <c r="J487" s="7">
        <v>876.97</v>
      </c>
      <c r="K487" s="7">
        <v>292031.01</v>
      </c>
      <c r="L487">
        <v>706</v>
      </c>
      <c r="M487" t="s">
        <v>182</v>
      </c>
      <c r="N487" s="6">
        <f t="shared" si="29"/>
        <v>45778</v>
      </c>
      <c r="O487" t="s">
        <v>182</v>
      </c>
      <c r="P487" t="str">
        <f t="shared" si="30"/>
        <v>May 2025</v>
      </c>
      <c r="Q487" t="s">
        <v>37</v>
      </c>
      <c r="R487" s="7">
        <v>33028.97</v>
      </c>
      <c r="S487" s="7">
        <f t="shared" si="31"/>
        <v>325059.98</v>
      </c>
    </row>
    <row r="488" spans="1:19" x14ac:dyDescent="0.3">
      <c r="A488" t="s">
        <v>919</v>
      </c>
      <c r="B488" s="5" t="s">
        <v>920</v>
      </c>
      <c r="C488" s="6">
        <f t="shared" si="28"/>
        <v>45778</v>
      </c>
      <c r="D488" t="s">
        <v>31</v>
      </c>
      <c r="E488" t="s">
        <v>53</v>
      </c>
      <c r="F488" t="s">
        <v>33</v>
      </c>
      <c r="G488" t="s">
        <v>190</v>
      </c>
      <c r="H488" t="s">
        <v>77</v>
      </c>
      <c r="I488">
        <v>1741</v>
      </c>
      <c r="J488" s="7">
        <v>350.09</v>
      </c>
      <c r="K488" s="7">
        <v>609506.68999999994</v>
      </c>
      <c r="L488">
        <v>175</v>
      </c>
      <c r="M488" t="s">
        <v>511</v>
      </c>
      <c r="N488" s="6">
        <f t="shared" si="29"/>
        <v>45778</v>
      </c>
      <c r="O488" t="s">
        <v>511</v>
      </c>
      <c r="P488" t="str">
        <f t="shared" si="30"/>
        <v>May 2025</v>
      </c>
      <c r="Q488" t="s">
        <v>37</v>
      </c>
      <c r="R488" s="7">
        <v>7660.29</v>
      </c>
      <c r="S488" s="7">
        <f t="shared" si="31"/>
        <v>617166.98</v>
      </c>
    </row>
    <row r="489" spans="1:19" x14ac:dyDescent="0.3">
      <c r="A489" t="s">
        <v>921</v>
      </c>
      <c r="B489" s="5" t="s">
        <v>660</v>
      </c>
      <c r="C489" s="6">
        <f t="shared" si="28"/>
        <v>45748</v>
      </c>
      <c r="D489" t="s">
        <v>21</v>
      </c>
      <c r="E489" t="s">
        <v>53</v>
      </c>
      <c r="F489" t="s">
        <v>45</v>
      </c>
      <c r="G489" t="s">
        <v>76</v>
      </c>
      <c r="H489" t="s">
        <v>55</v>
      </c>
      <c r="I489">
        <v>449</v>
      </c>
      <c r="J489" s="7">
        <v>608.30999999999995</v>
      </c>
      <c r="K489" s="7">
        <v>273131.19</v>
      </c>
      <c r="L489">
        <v>261</v>
      </c>
      <c r="M489" t="s">
        <v>922</v>
      </c>
      <c r="N489" s="6">
        <f t="shared" si="29"/>
        <v>45748</v>
      </c>
      <c r="O489" t="s">
        <v>171</v>
      </c>
      <c r="P489" t="str">
        <f t="shared" si="30"/>
        <v>April 2025</v>
      </c>
      <c r="Q489" t="s">
        <v>28</v>
      </c>
      <c r="R489" s="7">
        <v>12607.11</v>
      </c>
      <c r="S489" s="7">
        <f t="shared" si="31"/>
        <v>285738.3</v>
      </c>
    </row>
    <row r="490" spans="1:19" x14ac:dyDescent="0.3">
      <c r="A490" t="s">
        <v>923</v>
      </c>
      <c r="B490" s="5" t="s">
        <v>282</v>
      </c>
      <c r="C490" s="6">
        <f t="shared" si="28"/>
        <v>45778</v>
      </c>
      <c r="D490" t="s">
        <v>96</v>
      </c>
      <c r="E490" t="s">
        <v>53</v>
      </c>
      <c r="F490" t="s">
        <v>23</v>
      </c>
      <c r="G490" t="s">
        <v>24</v>
      </c>
      <c r="H490" t="s">
        <v>47</v>
      </c>
      <c r="I490">
        <v>2000</v>
      </c>
      <c r="J490" s="7">
        <v>862.37</v>
      </c>
      <c r="K490" s="7">
        <v>1724740</v>
      </c>
      <c r="L490">
        <v>448</v>
      </c>
      <c r="M490" t="s">
        <v>284</v>
      </c>
      <c r="N490" s="6">
        <f t="shared" si="29"/>
        <v>45778</v>
      </c>
      <c r="O490" t="s">
        <v>443</v>
      </c>
      <c r="P490" t="str">
        <f t="shared" si="30"/>
        <v>May 2025</v>
      </c>
      <c r="Q490" t="s">
        <v>28</v>
      </c>
      <c r="R490" s="7">
        <v>24057.13</v>
      </c>
      <c r="S490" s="7">
        <f t="shared" si="31"/>
        <v>1748797.13</v>
      </c>
    </row>
    <row r="491" spans="1:19" x14ac:dyDescent="0.3">
      <c r="A491" t="s">
        <v>924</v>
      </c>
      <c r="B491" s="5" t="s">
        <v>665</v>
      </c>
      <c r="C491" s="6">
        <f t="shared" si="28"/>
        <v>45689</v>
      </c>
      <c r="D491" t="s">
        <v>96</v>
      </c>
      <c r="E491" t="s">
        <v>70</v>
      </c>
      <c r="F491" t="s">
        <v>45</v>
      </c>
      <c r="G491" t="s">
        <v>88</v>
      </c>
      <c r="H491" t="s">
        <v>155</v>
      </c>
      <c r="I491">
        <v>967</v>
      </c>
      <c r="J491" s="7">
        <v>339.04</v>
      </c>
      <c r="K491" s="7">
        <v>327851.68</v>
      </c>
      <c r="L491">
        <v>634</v>
      </c>
      <c r="M491" t="s">
        <v>178</v>
      </c>
      <c r="N491" s="6">
        <f t="shared" si="29"/>
        <v>45689</v>
      </c>
      <c r="O491" t="s">
        <v>180</v>
      </c>
      <c r="P491" t="str">
        <f t="shared" si="30"/>
        <v>February 2025</v>
      </c>
      <c r="Q491" t="s">
        <v>28</v>
      </c>
      <c r="R491" s="7">
        <v>29077.06</v>
      </c>
      <c r="S491" s="7">
        <f t="shared" si="31"/>
        <v>356928.74</v>
      </c>
    </row>
    <row r="492" spans="1:19" x14ac:dyDescent="0.3">
      <c r="A492" t="s">
        <v>925</v>
      </c>
      <c r="B492" s="5" t="s">
        <v>565</v>
      </c>
      <c r="C492" s="6">
        <f t="shared" si="28"/>
        <v>45870</v>
      </c>
      <c r="D492" t="s">
        <v>31</v>
      </c>
      <c r="E492" t="s">
        <v>70</v>
      </c>
      <c r="F492" t="s">
        <v>59</v>
      </c>
      <c r="G492" t="s">
        <v>283</v>
      </c>
      <c r="H492" t="s">
        <v>132</v>
      </c>
      <c r="I492">
        <v>1382</v>
      </c>
      <c r="J492" s="7">
        <v>79.650000000000006</v>
      </c>
      <c r="K492" s="7">
        <v>110076.3</v>
      </c>
      <c r="L492">
        <v>647</v>
      </c>
      <c r="M492" t="s">
        <v>204</v>
      </c>
      <c r="N492" s="6">
        <f t="shared" si="29"/>
        <v>45870</v>
      </c>
      <c r="O492" t="s">
        <v>696</v>
      </c>
      <c r="P492" t="str">
        <f t="shared" si="30"/>
        <v>August 2025</v>
      </c>
      <c r="Q492" t="s">
        <v>28</v>
      </c>
      <c r="R492" s="7">
        <v>36394.410000000003</v>
      </c>
      <c r="S492" s="7">
        <f t="shared" si="31"/>
        <v>146470.71000000002</v>
      </c>
    </row>
    <row r="493" spans="1:19" x14ac:dyDescent="0.3">
      <c r="A493" t="s">
        <v>926</v>
      </c>
      <c r="B493" s="5" t="s">
        <v>117</v>
      </c>
      <c r="C493" s="6">
        <f t="shared" si="28"/>
        <v>45992</v>
      </c>
      <c r="D493" t="s">
        <v>31</v>
      </c>
      <c r="E493" t="s">
        <v>70</v>
      </c>
      <c r="F493" t="s">
        <v>45</v>
      </c>
      <c r="G493" t="s">
        <v>222</v>
      </c>
      <c r="H493" t="s">
        <v>132</v>
      </c>
      <c r="I493">
        <v>1664</v>
      </c>
      <c r="J493" s="7">
        <v>559.23</v>
      </c>
      <c r="K493" s="7">
        <v>930558.72</v>
      </c>
      <c r="L493">
        <v>396</v>
      </c>
      <c r="M493" t="s">
        <v>490</v>
      </c>
      <c r="N493" s="6">
        <f t="shared" si="29"/>
        <v>45992</v>
      </c>
      <c r="O493" t="s">
        <v>746</v>
      </c>
      <c r="P493" t="str">
        <f t="shared" si="30"/>
        <v>December 2025</v>
      </c>
      <c r="Q493" t="s">
        <v>28</v>
      </c>
      <c r="R493" s="7">
        <v>21511.1</v>
      </c>
      <c r="S493" s="7">
        <f t="shared" si="31"/>
        <v>952069.82</v>
      </c>
    </row>
    <row r="494" spans="1:19" x14ac:dyDescent="0.3">
      <c r="A494" t="s">
        <v>927</v>
      </c>
      <c r="B494" s="5" t="s">
        <v>545</v>
      </c>
      <c r="C494" s="6">
        <f t="shared" si="28"/>
        <v>45992</v>
      </c>
      <c r="D494" t="s">
        <v>109</v>
      </c>
      <c r="E494" t="s">
        <v>75</v>
      </c>
      <c r="F494" t="s">
        <v>33</v>
      </c>
      <c r="G494" t="s">
        <v>46</v>
      </c>
      <c r="H494" t="s">
        <v>61</v>
      </c>
      <c r="I494">
        <v>724</v>
      </c>
      <c r="J494" s="7">
        <v>212.28</v>
      </c>
      <c r="K494" s="7">
        <v>153690.72</v>
      </c>
      <c r="L494">
        <v>192</v>
      </c>
      <c r="M494" t="s">
        <v>108</v>
      </c>
      <c r="N494" s="6">
        <f t="shared" si="29"/>
        <v>45992</v>
      </c>
      <c r="O494" t="s">
        <v>398</v>
      </c>
      <c r="P494" t="str">
        <f t="shared" si="30"/>
        <v>December 2025</v>
      </c>
      <c r="Q494" t="s">
        <v>28</v>
      </c>
      <c r="R494" s="7">
        <v>7423.09</v>
      </c>
      <c r="S494" s="7">
        <f t="shared" si="31"/>
        <v>161113.81</v>
      </c>
    </row>
    <row r="495" spans="1:19" x14ac:dyDescent="0.3">
      <c r="A495" t="s">
        <v>928</v>
      </c>
      <c r="B495" s="5" t="s">
        <v>338</v>
      </c>
      <c r="C495" s="6">
        <f t="shared" si="28"/>
        <v>45839</v>
      </c>
      <c r="D495" t="s">
        <v>128</v>
      </c>
      <c r="E495" t="s">
        <v>143</v>
      </c>
      <c r="F495" t="s">
        <v>33</v>
      </c>
      <c r="G495" t="s">
        <v>24</v>
      </c>
      <c r="H495" t="s">
        <v>155</v>
      </c>
      <c r="I495">
        <v>1665</v>
      </c>
      <c r="J495" s="7">
        <v>134.84</v>
      </c>
      <c r="K495" s="7">
        <v>224508.6</v>
      </c>
      <c r="L495">
        <v>532</v>
      </c>
      <c r="M495" t="s">
        <v>148</v>
      </c>
      <c r="N495" s="6">
        <f t="shared" si="29"/>
        <v>45839</v>
      </c>
      <c r="O495" t="s">
        <v>148</v>
      </c>
      <c r="P495" t="str">
        <f t="shared" si="30"/>
        <v>July 2025</v>
      </c>
      <c r="Q495" t="s">
        <v>37</v>
      </c>
      <c r="R495" s="7">
        <v>32821.14</v>
      </c>
      <c r="S495" s="7">
        <f t="shared" si="31"/>
        <v>257329.74</v>
      </c>
    </row>
    <row r="496" spans="1:19" x14ac:dyDescent="0.3">
      <c r="A496" t="s">
        <v>929</v>
      </c>
      <c r="B496" s="5" t="s">
        <v>124</v>
      </c>
      <c r="C496" s="6">
        <f t="shared" si="28"/>
        <v>45992</v>
      </c>
      <c r="D496" t="s">
        <v>40</v>
      </c>
      <c r="E496" t="s">
        <v>143</v>
      </c>
      <c r="F496" t="s">
        <v>45</v>
      </c>
      <c r="G496" t="s">
        <v>110</v>
      </c>
      <c r="H496" t="s">
        <v>25</v>
      </c>
      <c r="I496">
        <v>792</v>
      </c>
      <c r="J496" s="7">
        <v>234.86</v>
      </c>
      <c r="K496" s="7">
        <v>186009.12</v>
      </c>
      <c r="L496">
        <v>557</v>
      </c>
      <c r="M496" t="s">
        <v>618</v>
      </c>
      <c r="N496" s="6">
        <f t="shared" si="29"/>
        <v>45992</v>
      </c>
      <c r="O496" t="s">
        <v>125</v>
      </c>
      <c r="P496" t="str">
        <f t="shared" si="30"/>
        <v>December 2025</v>
      </c>
      <c r="Q496" t="s">
        <v>28</v>
      </c>
      <c r="R496" s="7">
        <v>31254.67</v>
      </c>
      <c r="S496" s="7">
        <f t="shared" si="31"/>
        <v>217263.78999999998</v>
      </c>
    </row>
    <row r="497" spans="1:19" x14ac:dyDescent="0.3">
      <c r="A497" t="s">
        <v>930</v>
      </c>
      <c r="B497" s="5" t="s">
        <v>120</v>
      </c>
      <c r="C497" s="6">
        <f t="shared" si="28"/>
        <v>45992</v>
      </c>
      <c r="D497" t="s">
        <v>21</v>
      </c>
      <c r="E497" t="s">
        <v>22</v>
      </c>
      <c r="F497" t="s">
        <v>23</v>
      </c>
      <c r="G497" t="s">
        <v>86</v>
      </c>
      <c r="H497" t="s">
        <v>25</v>
      </c>
      <c r="I497">
        <v>943</v>
      </c>
      <c r="J497" s="7">
        <v>580.21</v>
      </c>
      <c r="K497" s="7">
        <v>547138.03</v>
      </c>
      <c r="L497">
        <v>595</v>
      </c>
      <c r="M497" t="s">
        <v>124</v>
      </c>
      <c r="N497" s="6">
        <f t="shared" si="29"/>
        <v>45992</v>
      </c>
      <c r="O497" t="s">
        <v>617</v>
      </c>
      <c r="P497" t="str">
        <f t="shared" si="30"/>
        <v>December 2025</v>
      </c>
      <c r="Q497" t="s">
        <v>28</v>
      </c>
      <c r="R497" s="7">
        <v>25482.11</v>
      </c>
      <c r="S497" s="7">
        <f t="shared" si="31"/>
        <v>572620.14</v>
      </c>
    </row>
    <row r="498" spans="1:19" x14ac:dyDescent="0.3">
      <c r="A498" t="s">
        <v>931</v>
      </c>
      <c r="B498" s="5" t="s">
        <v>704</v>
      </c>
      <c r="C498" s="6">
        <f t="shared" si="28"/>
        <v>45809</v>
      </c>
      <c r="D498" t="s">
        <v>21</v>
      </c>
      <c r="E498" t="s">
        <v>32</v>
      </c>
      <c r="F498" t="s">
        <v>45</v>
      </c>
      <c r="G498" t="s">
        <v>179</v>
      </c>
      <c r="H498" t="s">
        <v>25</v>
      </c>
      <c r="I498">
        <v>1774</v>
      </c>
      <c r="J498" s="7">
        <v>746.16</v>
      </c>
      <c r="K498" s="7">
        <v>1323687.8400000001</v>
      </c>
      <c r="L498">
        <v>36</v>
      </c>
      <c r="M498" t="s">
        <v>543</v>
      </c>
      <c r="N498" s="6">
        <f t="shared" si="29"/>
        <v>45809</v>
      </c>
      <c r="O498" t="s">
        <v>302</v>
      </c>
      <c r="P498" t="str">
        <f t="shared" si="30"/>
        <v>June 2025</v>
      </c>
      <c r="Q498" t="s">
        <v>28</v>
      </c>
      <c r="R498" s="7">
        <v>1451.44</v>
      </c>
      <c r="S498" s="7">
        <f t="shared" si="31"/>
        <v>1325139.28</v>
      </c>
    </row>
    <row r="499" spans="1:19" x14ac:dyDescent="0.3">
      <c r="A499" t="s">
        <v>932</v>
      </c>
      <c r="B499" s="5" t="s">
        <v>239</v>
      </c>
      <c r="C499" s="6">
        <f t="shared" si="28"/>
        <v>45962</v>
      </c>
      <c r="D499" t="s">
        <v>40</v>
      </c>
      <c r="E499" t="s">
        <v>53</v>
      </c>
      <c r="F499" t="s">
        <v>45</v>
      </c>
      <c r="G499" t="s">
        <v>159</v>
      </c>
      <c r="H499" t="s">
        <v>132</v>
      </c>
      <c r="I499">
        <v>1978</v>
      </c>
      <c r="J499" s="7">
        <v>558.80999999999995</v>
      </c>
      <c r="K499" s="7">
        <v>1105326.18</v>
      </c>
      <c r="L499">
        <v>449</v>
      </c>
      <c r="M499" t="s">
        <v>304</v>
      </c>
      <c r="N499" s="6">
        <f t="shared" si="29"/>
        <v>45962</v>
      </c>
      <c r="O499" t="s">
        <v>423</v>
      </c>
      <c r="P499" t="str">
        <f t="shared" si="30"/>
        <v>November 2025</v>
      </c>
      <c r="Q499" t="s">
        <v>28</v>
      </c>
      <c r="R499" s="7">
        <v>23120.61</v>
      </c>
      <c r="S499" s="7">
        <f t="shared" si="31"/>
        <v>1128446.79</v>
      </c>
    </row>
    <row r="500" spans="1:19" x14ac:dyDescent="0.3">
      <c r="A500" t="s">
        <v>933</v>
      </c>
      <c r="B500" s="5" t="s">
        <v>934</v>
      </c>
      <c r="C500" s="6">
        <f t="shared" si="28"/>
        <v>45901</v>
      </c>
      <c r="D500" t="s">
        <v>128</v>
      </c>
      <c r="E500" t="s">
        <v>22</v>
      </c>
      <c r="F500" t="s">
        <v>23</v>
      </c>
      <c r="G500" t="s">
        <v>71</v>
      </c>
      <c r="H500" t="s">
        <v>47</v>
      </c>
      <c r="I500">
        <v>1367</v>
      </c>
      <c r="J500" s="7">
        <v>86.78</v>
      </c>
      <c r="K500" s="7">
        <v>118628.26</v>
      </c>
      <c r="L500">
        <v>237</v>
      </c>
      <c r="M500" t="s">
        <v>176</v>
      </c>
      <c r="N500" s="6">
        <f t="shared" si="29"/>
        <v>45901</v>
      </c>
      <c r="O500" t="s">
        <v>242</v>
      </c>
      <c r="P500" t="str">
        <f t="shared" si="30"/>
        <v>September 2025</v>
      </c>
      <c r="Q500" t="s">
        <v>28</v>
      </c>
      <c r="R500" s="7">
        <v>8621.0499999999993</v>
      </c>
      <c r="S500" s="7">
        <f t="shared" si="31"/>
        <v>127249.31</v>
      </c>
    </row>
    <row r="501" spans="1:19" x14ac:dyDescent="0.3">
      <c r="A501" t="s">
        <v>935</v>
      </c>
      <c r="B501" s="5" t="s">
        <v>448</v>
      </c>
      <c r="C501" s="6">
        <f t="shared" si="28"/>
        <v>45931</v>
      </c>
      <c r="D501" t="s">
        <v>31</v>
      </c>
      <c r="E501" t="s">
        <v>32</v>
      </c>
      <c r="F501" t="s">
        <v>45</v>
      </c>
      <c r="G501" t="s">
        <v>384</v>
      </c>
      <c r="H501" t="s">
        <v>61</v>
      </c>
      <c r="I501">
        <v>2216</v>
      </c>
      <c r="J501" s="7">
        <v>751.8</v>
      </c>
      <c r="K501" s="7">
        <v>1665988.8</v>
      </c>
      <c r="L501">
        <v>671</v>
      </c>
      <c r="M501" t="s">
        <v>306</v>
      </c>
      <c r="N501" s="6">
        <f t="shared" si="29"/>
        <v>45931</v>
      </c>
      <c r="O501" t="s">
        <v>834</v>
      </c>
      <c r="P501" t="str">
        <f t="shared" si="30"/>
        <v>October 2025</v>
      </c>
      <c r="Q501" t="s">
        <v>28</v>
      </c>
      <c r="R501" s="7">
        <v>24473.99</v>
      </c>
      <c r="S501" s="7">
        <f t="shared" si="31"/>
        <v>1690462.79</v>
      </c>
    </row>
    <row r="502" spans="1:19" x14ac:dyDescent="0.3">
      <c r="A502" t="s">
        <v>936</v>
      </c>
      <c r="B502" s="5" t="s">
        <v>125</v>
      </c>
      <c r="C502" s="6">
        <f t="shared" si="28"/>
        <v>45992</v>
      </c>
      <c r="D502" t="s">
        <v>96</v>
      </c>
      <c r="E502" t="s">
        <v>70</v>
      </c>
      <c r="F502" t="s">
        <v>33</v>
      </c>
      <c r="G502" t="s">
        <v>110</v>
      </c>
      <c r="H502" t="s">
        <v>55</v>
      </c>
      <c r="I502">
        <v>835</v>
      </c>
      <c r="J502" s="7">
        <v>582.72</v>
      </c>
      <c r="K502" s="7">
        <v>486571.2</v>
      </c>
      <c r="L502">
        <v>271</v>
      </c>
      <c r="M502" t="s">
        <v>685</v>
      </c>
      <c r="N502" s="6">
        <f t="shared" si="29"/>
        <v>45992</v>
      </c>
      <c r="O502" t="s">
        <v>355</v>
      </c>
      <c r="P502" t="str">
        <f t="shared" si="30"/>
        <v>December 2025</v>
      </c>
      <c r="Q502" t="s">
        <v>28</v>
      </c>
      <c r="R502" s="7">
        <v>16204.65</v>
      </c>
      <c r="S502" s="7">
        <f t="shared" si="31"/>
        <v>502775.85000000003</v>
      </c>
    </row>
    <row r="503" spans="1:19" x14ac:dyDescent="0.3">
      <c r="A503" t="s">
        <v>937</v>
      </c>
      <c r="B503" s="5" t="s">
        <v>221</v>
      </c>
      <c r="C503" s="6">
        <f t="shared" si="28"/>
        <v>45778</v>
      </c>
      <c r="D503" t="s">
        <v>109</v>
      </c>
      <c r="E503" t="s">
        <v>32</v>
      </c>
      <c r="F503" t="s">
        <v>59</v>
      </c>
      <c r="G503" t="s">
        <v>97</v>
      </c>
      <c r="H503" t="s">
        <v>35</v>
      </c>
      <c r="I503">
        <v>101</v>
      </c>
      <c r="J503" s="7">
        <v>249.71</v>
      </c>
      <c r="K503" s="7">
        <v>25220.71</v>
      </c>
      <c r="L503">
        <v>611</v>
      </c>
      <c r="M503" t="s">
        <v>223</v>
      </c>
      <c r="N503" s="6">
        <f t="shared" si="29"/>
        <v>45778</v>
      </c>
      <c r="O503" t="s">
        <v>223</v>
      </c>
      <c r="P503" t="str">
        <f t="shared" si="30"/>
        <v>May 2025</v>
      </c>
      <c r="Q503" t="s">
        <v>37</v>
      </c>
      <c r="R503" s="7">
        <v>32219.48</v>
      </c>
      <c r="S503" s="7">
        <f t="shared" si="31"/>
        <v>57440.19</v>
      </c>
    </row>
    <row r="504" spans="1:19" x14ac:dyDescent="0.3">
      <c r="A504" t="s">
        <v>938</v>
      </c>
      <c r="B504" s="5" t="s">
        <v>425</v>
      </c>
      <c r="C504" s="6">
        <f t="shared" si="28"/>
        <v>45839</v>
      </c>
      <c r="D504" t="s">
        <v>31</v>
      </c>
      <c r="E504" t="s">
        <v>143</v>
      </c>
      <c r="F504" t="s">
        <v>45</v>
      </c>
      <c r="G504" t="s">
        <v>60</v>
      </c>
      <c r="H504" t="s">
        <v>91</v>
      </c>
      <c r="I504">
        <v>1550</v>
      </c>
      <c r="J504" s="7">
        <v>677.51</v>
      </c>
      <c r="K504" s="7">
        <v>1050140.5</v>
      </c>
      <c r="L504">
        <v>127</v>
      </c>
      <c r="M504" t="s">
        <v>95</v>
      </c>
      <c r="N504" s="6">
        <f t="shared" si="29"/>
        <v>45839</v>
      </c>
      <c r="O504" t="s">
        <v>95</v>
      </c>
      <c r="P504" t="str">
        <f t="shared" si="30"/>
        <v>July 2025</v>
      </c>
      <c r="Q504" t="s">
        <v>37</v>
      </c>
      <c r="R504" s="7">
        <v>4900.12</v>
      </c>
      <c r="S504" s="7">
        <f t="shared" si="31"/>
        <v>1055040.6200000001</v>
      </c>
    </row>
    <row r="505" spans="1:19" x14ac:dyDescent="0.3">
      <c r="A505" t="s">
        <v>939</v>
      </c>
      <c r="B505" s="5" t="s">
        <v>912</v>
      </c>
      <c r="C505" s="6">
        <f t="shared" si="28"/>
        <v>45689</v>
      </c>
      <c r="D505" t="s">
        <v>96</v>
      </c>
      <c r="E505" t="s">
        <v>75</v>
      </c>
      <c r="F505" t="s">
        <v>59</v>
      </c>
      <c r="G505" t="s">
        <v>265</v>
      </c>
      <c r="H505" t="s">
        <v>47</v>
      </c>
      <c r="I505">
        <v>2335</v>
      </c>
      <c r="J505" s="7">
        <v>826.08</v>
      </c>
      <c r="K505" s="7">
        <v>1928896.8</v>
      </c>
      <c r="L505">
        <v>260</v>
      </c>
      <c r="M505" t="s">
        <v>151</v>
      </c>
      <c r="N505" s="6">
        <f t="shared" si="29"/>
        <v>45689</v>
      </c>
      <c r="O505" t="s">
        <v>629</v>
      </c>
      <c r="P505" t="str">
        <f t="shared" si="30"/>
        <v>February 2025</v>
      </c>
      <c r="Q505" t="s">
        <v>28</v>
      </c>
      <c r="R505" s="7">
        <v>10414.36</v>
      </c>
      <c r="S505" s="7">
        <f t="shared" si="31"/>
        <v>1939311.1600000001</v>
      </c>
    </row>
    <row r="506" spans="1:19" x14ac:dyDescent="0.3">
      <c r="A506" t="s">
        <v>940</v>
      </c>
      <c r="B506" s="5" t="s">
        <v>64</v>
      </c>
      <c r="C506" s="6">
        <f t="shared" si="28"/>
        <v>45717</v>
      </c>
      <c r="D506" t="s">
        <v>31</v>
      </c>
      <c r="E506" t="s">
        <v>143</v>
      </c>
      <c r="F506" t="s">
        <v>33</v>
      </c>
      <c r="G506" t="s">
        <v>110</v>
      </c>
      <c r="H506" t="s">
        <v>55</v>
      </c>
      <c r="I506">
        <v>952</v>
      </c>
      <c r="J506" s="7">
        <v>273.36</v>
      </c>
      <c r="K506" s="7">
        <v>260238.72</v>
      </c>
      <c r="L506">
        <v>106</v>
      </c>
      <c r="M506" t="s">
        <v>791</v>
      </c>
      <c r="N506" s="6">
        <f t="shared" si="29"/>
        <v>45717</v>
      </c>
      <c r="O506" t="s">
        <v>51</v>
      </c>
      <c r="P506" t="str">
        <f t="shared" si="30"/>
        <v>March 2025</v>
      </c>
      <c r="Q506" t="s">
        <v>28</v>
      </c>
      <c r="R506" s="7">
        <v>6525.91</v>
      </c>
      <c r="S506" s="7">
        <f t="shared" si="31"/>
        <v>266764.63</v>
      </c>
    </row>
    <row r="507" spans="1:19" x14ac:dyDescent="0.3">
      <c r="A507" t="s">
        <v>941</v>
      </c>
      <c r="B507" s="5" t="s">
        <v>250</v>
      </c>
      <c r="C507" s="6">
        <f t="shared" si="28"/>
        <v>45870</v>
      </c>
      <c r="D507" t="s">
        <v>21</v>
      </c>
      <c r="E507" t="s">
        <v>70</v>
      </c>
      <c r="F507" t="s">
        <v>33</v>
      </c>
      <c r="G507" t="s">
        <v>54</v>
      </c>
      <c r="H507" t="s">
        <v>61</v>
      </c>
      <c r="I507">
        <v>1733</v>
      </c>
      <c r="J507" s="7">
        <v>112.74</v>
      </c>
      <c r="K507" s="7">
        <v>195378.42</v>
      </c>
      <c r="L507">
        <v>451</v>
      </c>
      <c r="M507" t="s">
        <v>226</v>
      </c>
      <c r="N507" s="6">
        <f t="shared" si="29"/>
        <v>45870</v>
      </c>
      <c r="O507" t="s">
        <v>226</v>
      </c>
      <c r="P507" t="str">
        <f t="shared" si="30"/>
        <v>August 2025</v>
      </c>
      <c r="Q507" t="s">
        <v>37</v>
      </c>
      <c r="R507" s="7">
        <v>23818.080000000002</v>
      </c>
      <c r="S507" s="7">
        <f t="shared" si="31"/>
        <v>219196.5</v>
      </c>
    </row>
    <row r="508" spans="1:19" x14ac:dyDescent="0.3">
      <c r="A508" t="s">
        <v>942</v>
      </c>
      <c r="B508" s="5" t="s">
        <v>414</v>
      </c>
      <c r="C508" s="6">
        <f t="shared" si="28"/>
        <v>45689</v>
      </c>
      <c r="D508" t="s">
        <v>109</v>
      </c>
      <c r="E508" t="s">
        <v>70</v>
      </c>
      <c r="F508" t="s">
        <v>59</v>
      </c>
      <c r="G508" t="s">
        <v>172</v>
      </c>
      <c r="H508" t="s">
        <v>91</v>
      </c>
      <c r="I508">
        <v>2204</v>
      </c>
      <c r="J508" s="7">
        <v>452.94</v>
      </c>
      <c r="K508" s="7">
        <v>998279.76</v>
      </c>
      <c r="L508">
        <v>255</v>
      </c>
      <c r="M508" t="s">
        <v>450</v>
      </c>
      <c r="N508" s="6">
        <f t="shared" si="29"/>
        <v>45689</v>
      </c>
      <c r="O508" t="s">
        <v>414</v>
      </c>
      <c r="P508" t="str">
        <f t="shared" si="30"/>
        <v>February 2025</v>
      </c>
      <c r="Q508" t="s">
        <v>37</v>
      </c>
      <c r="R508" s="7">
        <v>14343.98</v>
      </c>
      <c r="S508" s="7">
        <f t="shared" si="31"/>
        <v>1012623.74</v>
      </c>
    </row>
    <row r="509" spans="1:19" x14ac:dyDescent="0.3">
      <c r="A509" t="s">
        <v>943</v>
      </c>
      <c r="B509" s="5" t="s">
        <v>69</v>
      </c>
      <c r="C509" s="6">
        <f t="shared" si="28"/>
        <v>45931</v>
      </c>
      <c r="D509" t="s">
        <v>109</v>
      </c>
      <c r="E509" t="s">
        <v>70</v>
      </c>
      <c r="F509" t="s">
        <v>33</v>
      </c>
      <c r="G509" t="s">
        <v>179</v>
      </c>
      <c r="H509" t="s">
        <v>132</v>
      </c>
      <c r="I509">
        <v>359</v>
      </c>
      <c r="J509" s="7">
        <v>382.36</v>
      </c>
      <c r="K509" s="7">
        <v>137267.24</v>
      </c>
      <c r="L509">
        <v>177</v>
      </c>
      <c r="M509" t="s">
        <v>72</v>
      </c>
      <c r="N509" s="6">
        <f t="shared" si="29"/>
        <v>45931</v>
      </c>
      <c r="O509" t="s">
        <v>72</v>
      </c>
      <c r="P509" t="str">
        <f t="shared" si="30"/>
        <v>October 2025</v>
      </c>
      <c r="Q509" t="s">
        <v>37</v>
      </c>
      <c r="R509" s="7">
        <v>9148.4699999999993</v>
      </c>
      <c r="S509" s="7">
        <f t="shared" si="31"/>
        <v>146415.71</v>
      </c>
    </row>
    <row r="510" spans="1:19" x14ac:dyDescent="0.3">
      <c r="A510" t="s">
        <v>944</v>
      </c>
      <c r="B510" s="5" t="s">
        <v>85</v>
      </c>
      <c r="C510" s="6">
        <f t="shared" si="28"/>
        <v>45748</v>
      </c>
      <c r="D510" t="s">
        <v>96</v>
      </c>
      <c r="E510" t="s">
        <v>32</v>
      </c>
      <c r="F510" t="s">
        <v>23</v>
      </c>
      <c r="G510" t="s">
        <v>241</v>
      </c>
      <c r="H510" t="s">
        <v>155</v>
      </c>
      <c r="I510">
        <v>813</v>
      </c>
      <c r="J510" s="7">
        <v>192.5</v>
      </c>
      <c r="K510" s="7">
        <v>156502.5</v>
      </c>
      <c r="L510">
        <v>602</v>
      </c>
      <c r="M510" t="s">
        <v>376</v>
      </c>
      <c r="N510" s="6">
        <f t="shared" si="29"/>
        <v>45748</v>
      </c>
      <c r="O510" t="s">
        <v>376</v>
      </c>
      <c r="P510" t="str">
        <f t="shared" si="30"/>
        <v>April 2025</v>
      </c>
      <c r="Q510" t="s">
        <v>37</v>
      </c>
      <c r="R510" s="7">
        <v>26385.38</v>
      </c>
      <c r="S510" s="7">
        <f t="shared" si="31"/>
        <v>182887.88</v>
      </c>
    </row>
    <row r="511" spans="1:19" x14ac:dyDescent="0.3">
      <c r="A511" t="s">
        <v>945</v>
      </c>
      <c r="B511" s="5" t="s">
        <v>275</v>
      </c>
      <c r="C511" s="6">
        <f t="shared" si="28"/>
        <v>45717</v>
      </c>
      <c r="D511" t="s">
        <v>21</v>
      </c>
      <c r="E511" t="s">
        <v>143</v>
      </c>
      <c r="F511" t="s">
        <v>59</v>
      </c>
      <c r="G511" t="s">
        <v>46</v>
      </c>
      <c r="H511" t="s">
        <v>123</v>
      </c>
      <c r="I511">
        <v>166</v>
      </c>
      <c r="J511" s="7">
        <v>76.510000000000005</v>
      </c>
      <c r="K511" s="7">
        <v>12700.66</v>
      </c>
      <c r="L511">
        <v>356</v>
      </c>
      <c r="M511" t="s">
        <v>436</v>
      </c>
      <c r="N511" s="6">
        <f t="shared" si="29"/>
        <v>45717</v>
      </c>
      <c r="O511" t="s">
        <v>62</v>
      </c>
      <c r="P511" t="str">
        <f t="shared" si="30"/>
        <v>March 2025</v>
      </c>
      <c r="Q511" t="s">
        <v>28</v>
      </c>
      <c r="R511" s="7">
        <v>15817.18</v>
      </c>
      <c r="S511" s="7">
        <f t="shared" si="31"/>
        <v>28517.84</v>
      </c>
    </row>
    <row r="512" spans="1:19" x14ac:dyDescent="0.3">
      <c r="A512" t="s">
        <v>946</v>
      </c>
      <c r="B512" s="5" t="s">
        <v>325</v>
      </c>
      <c r="C512" s="6">
        <f t="shared" si="28"/>
        <v>45717</v>
      </c>
      <c r="D512" t="s">
        <v>21</v>
      </c>
      <c r="E512" t="s">
        <v>22</v>
      </c>
      <c r="F512" t="s">
        <v>23</v>
      </c>
      <c r="G512" t="s">
        <v>138</v>
      </c>
      <c r="H512" t="s">
        <v>35</v>
      </c>
      <c r="I512">
        <v>2422</v>
      </c>
      <c r="J512" s="7">
        <v>411.59</v>
      </c>
      <c r="K512" s="7">
        <v>996870.98</v>
      </c>
      <c r="L512">
        <v>114</v>
      </c>
      <c r="M512" t="s">
        <v>603</v>
      </c>
      <c r="N512" s="6">
        <f t="shared" si="29"/>
        <v>45717</v>
      </c>
      <c r="O512" t="s">
        <v>603</v>
      </c>
      <c r="P512" t="str">
        <f t="shared" si="30"/>
        <v>March 2025</v>
      </c>
      <c r="Q512" t="s">
        <v>37</v>
      </c>
      <c r="R512" s="7">
        <v>6716</v>
      </c>
      <c r="S512" s="7">
        <f t="shared" si="31"/>
        <v>1003586.98</v>
      </c>
    </row>
    <row r="513" spans="1:19" x14ac:dyDescent="0.3">
      <c r="A513" t="s">
        <v>947</v>
      </c>
      <c r="B513" s="5" t="s">
        <v>365</v>
      </c>
      <c r="C513" s="6">
        <f t="shared" si="28"/>
        <v>45809</v>
      </c>
      <c r="D513" t="s">
        <v>40</v>
      </c>
      <c r="E513" t="s">
        <v>22</v>
      </c>
      <c r="F513" t="s">
        <v>59</v>
      </c>
      <c r="G513" t="s">
        <v>227</v>
      </c>
      <c r="H513" t="s">
        <v>123</v>
      </c>
      <c r="I513">
        <v>935</v>
      </c>
      <c r="J513" s="7">
        <v>607.55999999999995</v>
      </c>
      <c r="K513" s="7">
        <v>568068.6</v>
      </c>
      <c r="L513">
        <v>411</v>
      </c>
      <c r="M513" t="s">
        <v>702</v>
      </c>
      <c r="N513" s="6">
        <f t="shared" si="29"/>
        <v>45809</v>
      </c>
      <c r="O513" t="s">
        <v>114</v>
      </c>
      <c r="P513" t="str">
        <f t="shared" si="30"/>
        <v>June 2025</v>
      </c>
      <c r="Q513" t="s">
        <v>28</v>
      </c>
      <c r="R513" s="7">
        <v>19803.13</v>
      </c>
      <c r="S513" s="7">
        <f t="shared" si="31"/>
        <v>587871.73</v>
      </c>
    </row>
    <row r="514" spans="1:19" x14ac:dyDescent="0.3">
      <c r="A514" t="s">
        <v>948</v>
      </c>
      <c r="B514" s="5" t="s">
        <v>560</v>
      </c>
      <c r="C514" s="6">
        <f t="shared" si="28"/>
        <v>45658</v>
      </c>
      <c r="D514" t="s">
        <v>96</v>
      </c>
      <c r="E514" t="s">
        <v>22</v>
      </c>
      <c r="F514" t="s">
        <v>45</v>
      </c>
      <c r="G514" t="s">
        <v>76</v>
      </c>
      <c r="H514" t="s">
        <v>55</v>
      </c>
      <c r="I514">
        <v>373</v>
      </c>
      <c r="J514" s="7">
        <v>816.14</v>
      </c>
      <c r="K514" s="7">
        <v>304420.21999999997</v>
      </c>
      <c r="L514">
        <v>105</v>
      </c>
      <c r="M514" t="s">
        <v>320</v>
      </c>
      <c r="N514" s="6">
        <f t="shared" si="29"/>
        <v>45658</v>
      </c>
      <c r="O514" t="s">
        <v>48</v>
      </c>
      <c r="P514" t="str">
        <f t="shared" si="30"/>
        <v>January 2025</v>
      </c>
      <c r="Q514" t="s">
        <v>28</v>
      </c>
      <c r="R514" s="7">
        <v>3829.34</v>
      </c>
      <c r="S514" s="7">
        <f t="shared" si="31"/>
        <v>308249.56</v>
      </c>
    </row>
    <row r="515" spans="1:19" x14ac:dyDescent="0.3">
      <c r="A515" t="s">
        <v>949</v>
      </c>
      <c r="B515" s="5" t="s">
        <v>796</v>
      </c>
      <c r="C515" s="6">
        <f t="shared" ref="C515:C578" si="32">DATE(YEAR(B515), MONTH(B515), 1)</f>
        <v>45778</v>
      </c>
      <c r="D515" t="s">
        <v>31</v>
      </c>
      <c r="E515" t="s">
        <v>75</v>
      </c>
      <c r="F515" t="s">
        <v>59</v>
      </c>
      <c r="G515" t="s">
        <v>138</v>
      </c>
      <c r="H515" t="s">
        <v>132</v>
      </c>
      <c r="I515">
        <v>819</v>
      </c>
      <c r="J515" s="7">
        <v>503.99</v>
      </c>
      <c r="K515" s="7">
        <v>412767.81</v>
      </c>
      <c r="L515">
        <v>27</v>
      </c>
      <c r="M515" t="s">
        <v>570</v>
      </c>
      <c r="N515" s="6">
        <f t="shared" ref="N515:N578" si="33">DATE(YEAR(M515), MONTH(M515),1)</f>
        <v>45778</v>
      </c>
      <c r="O515" t="s">
        <v>570</v>
      </c>
      <c r="P515" t="str">
        <f t="shared" ref="P515:P578" si="34">TEXT(O515, "mmmm yyyy")</f>
        <v>May 2025</v>
      </c>
      <c r="Q515" t="s">
        <v>37</v>
      </c>
      <c r="R515" s="7">
        <v>1039.83</v>
      </c>
      <c r="S515" s="7">
        <f t="shared" ref="S515:S578" si="35">K515 +R515</f>
        <v>413807.64</v>
      </c>
    </row>
    <row r="516" spans="1:19" x14ac:dyDescent="0.3">
      <c r="A516" t="s">
        <v>950</v>
      </c>
      <c r="B516" s="5" t="s">
        <v>345</v>
      </c>
      <c r="C516" s="6">
        <f t="shared" si="32"/>
        <v>45658</v>
      </c>
      <c r="D516" t="s">
        <v>52</v>
      </c>
      <c r="E516" t="s">
        <v>70</v>
      </c>
      <c r="F516" t="s">
        <v>33</v>
      </c>
      <c r="G516" t="s">
        <v>190</v>
      </c>
      <c r="H516" t="s">
        <v>155</v>
      </c>
      <c r="I516">
        <v>140</v>
      </c>
      <c r="J516" s="7">
        <v>179.79</v>
      </c>
      <c r="K516" s="7">
        <v>25170.6</v>
      </c>
      <c r="L516">
        <v>419</v>
      </c>
      <c r="M516" t="s">
        <v>347</v>
      </c>
      <c r="N516" s="6">
        <f t="shared" si="33"/>
        <v>45689</v>
      </c>
      <c r="O516" t="s">
        <v>347</v>
      </c>
      <c r="P516" t="str">
        <f t="shared" si="34"/>
        <v>February 2025</v>
      </c>
      <c r="Q516" t="s">
        <v>37</v>
      </c>
      <c r="R516" s="7">
        <v>19012.86</v>
      </c>
      <c r="S516" s="7">
        <f t="shared" si="35"/>
        <v>44183.46</v>
      </c>
    </row>
    <row r="517" spans="1:19" x14ac:dyDescent="0.3">
      <c r="A517" t="s">
        <v>951</v>
      </c>
      <c r="B517" s="5" t="s">
        <v>233</v>
      </c>
      <c r="C517" s="6">
        <f t="shared" si="32"/>
        <v>45931</v>
      </c>
      <c r="D517" t="s">
        <v>40</v>
      </c>
      <c r="E517" t="s">
        <v>70</v>
      </c>
      <c r="F517" t="s">
        <v>59</v>
      </c>
      <c r="G517" t="s">
        <v>71</v>
      </c>
      <c r="H517" t="s">
        <v>123</v>
      </c>
      <c r="I517">
        <v>1786</v>
      </c>
      <c r="J517" s="7">
        <v>165.78</v>
      </c>
      <c r="K517" s="7">
        <v>296083.08</v>
      </c>
      <c r="L517">
        <v>26</v>
      </c>
      <c r="M517" t="s">
        <v>234</v>
      </c>
      <c r="N517" s="6">
        <f t="shared" si="33"/>
        <v>45931</v>
      </c>
      <c r="O517" t="s">
        <v>234</v>
      </c>
      <c r="P517" t="str">
        <f t="shared" si="34"/>
        <v>October 2025</v>
      </c>
      <c r="Q517" t="s">
        <v>37</v>
      </c>
      <c r="R517" s="7">
        <v>1450.6</v>
      </c>
      <c r="S517" s="7">
        <f t="shared" si="35"/>
        <v>297533.68</v>
      </c>
    </row>
    <row r="518" spans="1:19" x14ac:dyDescent="0.3">
      <c r="A518" t="s">
        <v>952</v>
      </c>
      <c r="B518" s="5" t="s">
        <v>476</v>
      </c>
      <c r="C518" s="6">
        <f t="shared" si="32"/>
        <v>45901</v>
      </c>
      <c r="D518" t="s">
        <v>52</v>
      </c>
      <c r="E518" t="s">
        <v>32</v>
      </c>
      <c r="F518" t="s">
        <v>33</v>
      </c>
      <c r="G518" t="s">
        <v>82</v>
      </c>
      <c r="H518" t="s">
        <v>35</v>
      </c>
      <c r="I518">
        <v>2248</v>
      </c>
      <c r="J518" s="7">
        <v>748.98</v>
      </c>
      <c r="K518" s="7">
        <v>1683707.04</v>
      </c>
      <c r="L518">
        <v>311</v>
      </c>
      <c r="M518" t="s">
        <v>289</v>
      </c>
      <c r="N518" s="6">
        <f t="shared" si="33"/>
        <v>45901</v>
      </c>
      <c r="O518" t="s">
        <v>289</v>
      </c>
      <c r="P518" t="str">
        <f t="shared" si="34"/>
        <v>September 2025</v>
      </c>
      <c r="Q518" t="s">
        <v>37</v>
      </c>
      <c r="R518" s="7">
        <v>17464.310000000001</v>
      </c>
      <c r="S518" s="7">
        <f t="shared" si="35"/>
        <v>1701171.35</v>
      </c>
    </row>
    <row r="519" spans="1:19" x14ac:dyDescent="0.3">
      <c r="A519" t="s">
        <v>953</v>
      </c>
      <c r="B519" s="5" t="s">
        <v>113</v>
      </c>
      <c r="C519" s="6">
        <f t="shared" si="32"/>
        <v>45809</v>
      </c>
      <c r="D519" t="s">
        <v>31</v>
      </c>
      <c r="E519" t="s">
        <v>70</v>
      </c>
      <c r="F519" t="s">
        <v>59</v>
      </c>
      <c r="G519" t="s">
        <v>34</v>
      </c>
      <c r="H519" t="s">
        <v>123</v>
      </c>
      <c r="I519">
        <v>2289</v>
      </c>
      <c r="J519" s="7">
        <v>836.26</v>
      </c>
      <c r="K519" s="7">
        <v>1914199.14</v>
      </c>
      <c r="L519">
        <v>365</v>
      </c>
      <c r="M519" t="s">
        <v>115</v>
      </c>
      <c r="N519" s="6">
        <f t="shared" si="33"/>
        <v>45809</v>
      </c>
      <c r="O519" t="s">
        <v>445</v>
      </c>
      <c r="P519" t="str">
        <f t="shared" si="34"/>
        <v>June 2025</v>
      </c>
      <c r="Q519" t="s">
        <v>28</v>
      </c>
      <c r="R519" s="7">
        <v>20883.61</v>
      </c>
      <c r="S519" s="7">
        <f t="shared" si="35"/>
        <v>1935082.75</v>
      </c>
    </row>
    <row r="520" spans="1:19" x14ac:dyDescent="0.3">
      <c r="A520" t="s">
        <v>954</v>
      </c>
      <c r="B520" s="5" t="s">
        <v>530</v>
      </c>
      <c r="C520" s="6">
        <f t="shared" si="32"/>
        <v>45748</v>
      </c>
      <c r="D520" t="s">
        <v>109</v>
      </c>
      <c r="E520" t="s">
        <v>143</v>
      </c>
      <c r="F520" t="s">
        <v>33</v>
      </c>
      <c r="G520" t="s">
        <v>168</v>
      </c>
      <c r="H520" t="str">
        <f xml:space="preserve"> "Not Found"</f>
        <v>Not Found</v>
      </c>
      <c r="I520">
        <v>1394</v>
      </c>
      <c r="J520" s="7">
        <v>169.74</v>
      </c>
      <c r="K520" s="7">
        <v>236617.56</v>
      </c>
      <c r="L520">
        <v>59</v>
      </c>
      <c r="M520" t="s">
        <v>531</v>
      </c>
      <c r="N520" s="6">
        <f t="shared" si="33"/>
        <v>45748</v>
      </c>
      <c r="O520" t="s">
        <v>531</v>
      </c>
      <c r="P520" t="str">
        <f t="shared" si="34"/>
        <v>April 2025</v>
      </c>
      <c r="Q520" t="s">
        <v>37</v>
      </c>
      <c r="R520" s="7">
        <v>2623.38</v>
      </c>
      <c r="S520" s="7">
        <f t="shared" si="35"/>
        <v>239240.94</v>
      </c>
    </row>
    <row r="521" spans="1:19" x14ac:dyDescent="0.3">
      <c r="A521" t="s">
        <v>955</v>
      </c>
      <c r="B521" s="5" t="s">
        <v>513</v>
      </c>
      <c r="C521" s="6">
        <f t="shared" si="32"/>
        <v>45839</v>
      </c>
      <c r="D521" t="s">
        <v>31</v>
      </c>
      <c r="E521" t="s">
        <v>70</v>
      </c>
      <c r="F521" t="s">
        <v>59</v>
      </c>
      <c r="G521" t="s">
        <v>265</v>
      </c>
      <c r="H521" t="s">
        <v>91</v>
      </c>
      <c r="I521">
        <v>923</v>
      </c>
      <c r="J521" s="7">
        <v>368.99</v>
      </c>
      <c r="K521" s="7">
        <v>340577.77</v>
      </c>
      <c r="L521">
        <v>459</v>
      </c>
      <c r="M521" t="s">
        <v>99</v>
      </c>
      <c r="N521" s="6">
        <f t="shared" si="33"/>
        <v>45839</v>
      </c>
      <c r="O521" t="s">
        <v>98</v>
      </c>
      <c r="P521" t="str">
        <f t="shared" si="34"/>
        <v>July 2025</v>
      </c>
      <c r="Q521" t="s">
        <v>37</v>
      </c>
      <c r="R521" s="7">
        <v>25851.15</v>
      </c>
      <c r="S521" s="7">
        <f t="shared" si="35"/>
        <v>366428.92000000004</v>
      </c>
    </row>
    <row r="522" spans="1:19" x14ac:dyDescent="0.3">
      <c r="A522" t="s">
        <v>956</v>
      </c>
      <c r="B522" s="5" t="s">
        <v>280</v>
      </c>
      <c r="C522" s="6">
        <f t="shared" si="32"/>
        <v>45809</v>
      </c>
      <c r="D522" t="s">
        <v>96</v>
      </c>
      <c r="E522" t="s">
        <v>143</v>
      </c>
      <c r="F522" t="s">
        <v>45</v>
      </c>
      <c r="G522" t="s">
        <v>76</v>
      </c>
      <c r="H522" t="s">
        <v>35</v>
      </c>
      <c r="I522">
        <v>1396</v>
      </c>
      <c r="J522" s="7">
        <v>154.9</v>
      </c>
      <c r="K522" s="7">
        <v>216240.4</v>
      </c>
      <c r="L522">
        <v>352</v>
      </c>
      <c r="M522" t="s">
        <v>701</v>
      </c>
      <c r="N522" s="6">
        <f t="shared" si="33"/>
        <v>45809</v>
      </c>
      <c r="O522" t="s">
        <v>701</v>
      </c>
      <c r="P522" t="str">
        <f t="shared" si="34"/>
        <v>June 2025</v>
      </c>
      <c r="Q522" t="s">
        <v>37</v>
      </c>
      <c r="R522" s="7">
        <v>12455.08</v>
      </c>
      <c r="S522" s="7">
        <f t="shared" si="35"/>
        <v>228695.47999999998</v>
      </c>
    </row>
    <row r="523" spans="1:19" x14ac:dyDescent="0.3">
      <c r="A523" t="s">
        <v>957</v>
      </c>
      <c r="B523" s="5" t="s">
        <v>431</v>
      </c>
      <c r="C523" s="6">
        <f t="shared" si="32"/>
        <v>45689</v>
      </c>
      <c r="D523" t="s">
        <v>109</v>
      </c>
      <c r="E523" t="s">
        <v>70</v>
      </c>
      <c r="F523" t="s">
        <v>23</v>
      </c>
      <c r="G523" t="s">
        <v>168</v>
      </c>
      <c r="H523" t="s">
        <v>132</v>
      </c>
      <c r="I523">
        <v>579</v>
      </c>
      <c r="J523" s="7">
        <v>676.26</v>
      </c>
      <c r="K523" s="7">
        <v>391554.54</v>
      </c>
      <c r="L523">
        <v>640</v>
      </c>
      <c r="M523" t="s">
        <v>500</v>
      </c>
      <c r="N523" s="6">
        <f t="shared" si="33"/>
        <v>45689</v>
      </c>
      <c r="O523" t="s">
        <v>500</v>
      </c>
      <c r="P523" t="str">
        <f t="shared" si="34"/>
        <v>February 2025</v>
      </c>
      <c r="Q523" t="s">
        <v>37</v>
      </c>
      <c r="R523" s="7">
        <v>27919.47</v>
      </c>
      <c r="S523" s="7">
        <f t="shared" si="35"/>
        <v>419474.01</v>
      </c>
    </row>
    <row r="524" spans="1:19" x14ac:dyDescent="0.3">
      <c r="A524" t="s">
        <v>958</v>
      </c>
      <c r="B524" s="5" t="s">
        <v>167</v>
      </c>
      <c r="C524" s="6">
        <f t="shared" si="32"/>
        <v>45870</v>
      </c>
      <c r="D524" t="s">
        <v>52</v>
      </c>
      <c r="E524" t="s">
        <v>32</v>
      </c>
      <c r="F524" t="s">
        <v>33</v>
      </c>
      <c r="G524" t="s">
        <v>265</v>
      </c>
      <c r="H524" t="s">
        <v>55</v>
      </c>
      <c r="I524">
        <v>2500</v>
      </c>
      <c r="J524" s="7">
        <v>702.79</v>
      </c>
      <c r="K524" s="7">
        <v>1756975</v>
      </c>
      <c r="L524">
        <v>674</v>
      </c>
      <c r="M524" t="s">
        <v>557</v>
      </c>
      <c r="N524" s="6">
        <f t="shared" si="33"/>
        <v>45870</v>
      </c>
      <c r="O524" t="s">
        <v>557</v>
      </c>
      <c r="P524" t="str">
        <f t="shared" si="34"/>
        <v>August 2025</v>
      </c>
      <c r="Q524" t="s">
        <v>37</v>
      </c>
      <c r="R524" s="7">
        <v>32968.6</v>
      </c>
      <c r="S524" s="7">
        <f t="shared" si="35"/>
        <v>1789943.6</v>
      </c>
    </row>
    <row r="525" spans="1:19" x14ac:dyDescent="0.3">
      <c r="A525" t="s">
        <v>959</v>
      </c>
      <c r="B525" s="5" t="s">
        <v>836</v>
      </c>
      <c r="C525" s="6">
        <f t="shared" si="32"/>
        <v>45717</v>
      </c>
      <c r="D525" t="s">
        <v>65</v>
      </c>
      <c r="E525" t="s">
        <v>22</v>
      </c>
      <c r="F525" t="s">
        <v>23</v>
      </c>
      <c r="G525" t="s">
        <v>283</v>
      </c>
      <c r="H525" t="s">
        <v>25</v>
      </c>
      <c r="I525">
        <v>1378</v>
      </c>
      <c r="J525" s="7">
        <v>56.7</v>
      </c>
      <c r="K525" s="7">
        <v>78132.600000000006</v>
      </c>
      <c r="L525">
        <v>29</v>
      </c>
      <c r="M525" t="s">
        <v>866</v>
      </c>
      <c r="N525" s="6">
        <f t="shared" si="33"/>
        <v>45717</v>
      </c>
      <c r="O525" t="s">
        <v>960</v>
      </c>
      <c r="P525" t="str">
        <f t="shared" si="34"/>
        <v>March 2025</v>
      </c>
      <c r="Q525" t="s">
        <v>28</v>
      </c>
      <c r="R525" s="7">
        <v>1180.58</v>
      </c>
      <c r="S525" s="7">
        <f t="shared" si="35"/>
        <v>79313.180000000008</v>
      </c>
    </row>
    <row r="526" spans="1:19" x14ac:dyDescent="0.3">
      <c r="A526" t="s">
        <v>961</v>
      </c>
      <c r="B526" s="5" t="s">
        <v>258</v>
      </c>
      <c r="C526" s="6">
        <f t="shared" si="32"/>
        <v>45931</v>
      </c>
      <c r="D526" t="s">
        <v>65</v>
      </c>
      <c r="E526" t="s">
        <v>75</v>
      </c>
      <c r="F526" t="s">
        <v>23</v>
      </c>
      <c r="G526" t="s">
        <v>60</v>
      </c>
      <c r="H526" t="s">
        <v>35</v>
      </c>
      <c r="I526">
        <v>1924</v>
      </c>
      <c r="J526" s="7">
        <v>675.36</v>
      </c>
      <c r="K526" s="7">
        <v>1299392.6399999999</v>
      </c>
      <c r="L526">
        <v>527</v>
      </c>
      <c r="M526" t="s">
        <v>259</v>
      </c>
      <c r="N526" s="6">
        <f t="shared" si="33"/>
        <v>45931</v>
      </c>
      <c r="O526" t="s">
        <v>622</v>
      </c>
      <c r="P526" t="str">
        <f t="shared" si="34"/>
        <v>October 2025</v>
      </c>
      <c r="Q526" t="s">
        <v>28</v>
      </c>
      <c r="R526" s="7">
        <v>30334.3</v>
      </c>
      <c r="S526" s="7">
        <f t="shared" si="35"/>
        <v>1329726.94</v>
      </c>
    </row>
    <row r="527" spans="1:19" x14ac:dyDescent="0.3">
      <c r="A527" t="s">
        <v>962</v>
      </c>
      <c r="B527" s="5" t="s">
        <v>115</v>
      </c>
      <c r="C527" s="6">
        <f t="shared" si="32"/>
        <v>45809</v>
      </c>
      <c r="D527" t="s">
        <v>96</v>
      </c>
      <c r="E527" t="s">
        <v>75</v>
      </c>
      <c r="F527" t="s">
        <v>33</v>
      </c>
      <c r="G527" t="s">
        <v>97</v>
      </c>
      <c r="H527" t="s">
        <v>155</v>
      </c>
      <c r="I527">
        <v>555</v>
      </c>
      <c r="J527" s="7">
        <v>795.38</v>
      </c>
      <c r="K527" s="7">
        <v>441435.9</v>
      </c>
      <c r="L527">
        <v>513</v>
      </c>
      <c r="M527" t="s">
        <v>197</v>
      </c>
      <c r="N527" s="6">
        <f t="shared" si="33"/>
        <v>45809</v>
      </c>
      <c r="O527" t="s">
        <v>445</v>
      </c>
      <c r="P527" t="str">
        <f t="shared" si="34"/>
        <v>June 2025</v>
      </c>
      <c r="Q527" t="s">
        <v>37</v>
      </c>
      <c r="R527" s="7">
        <v>20694.79</v>
      </c>
      <c r="S527" s="7">
        <f t="shared" si="35"/>
        <v>462130.69</v>
      </c>
    </row>
    <row r="528" spans="1:19" x14ac:dyDescent="0.3">
      <c r="A528" t="s">
        <v>963</v>
      </c>
      <c r="B528" s="5" t="s">
        <v>30</v>
      </c>
      <c r="C528" s="6">
        <f t="shared" si="32"/>
        <v>45689</v>
      </c>
      <c r="D528" t="s">
        <v>96</v>
      </c>
      <c r="E528" t="s">
        <v>32</v>
      </c>
      <c r="F528" t="s">
        <v>23</v>
      </c>
      <c r="G528" t="s">
        <v>97</v>
      </c>
      <c r="H528" t="s">
        <v>55</v>
      </c>
      <c r="I528">
        <v>743</v>
      </c>
      <c r="J528" s="7">
        <v>469.43</v>
      </c>
      <c r="K528" s="7">
        <v>348786.49</v>
      </c>
      <c r="L528">
        <v>123</v>
      </c>
      <c r="M528" t="s">
        <v>36</v>
      </c>
      <c r="N528" s="6">
        <f t="shared" si="33"/>
        <v>45689</v>
      </c>
      <c r="O528" t="s">
        <v>675</v>
      </c>
      <c r="P528" t="str">
        <f t="shared" si="34"/>
        <v>February 2025</v>
      </c>
      <c r="Q528" t="s">
        <v>28</v>
      </c>
      <c r="R528" s="7">
        <v>4841.41</v>
      </c>
      <c r="S528" s="7">
        <f t="shared" si="35"/>
        <v>353627.89999999997</v>
      </c>
    </row>
    <row r="529" spans="1:19" x14ac:dyDescent="0.3">
      <c r="A529" t="s">
        <v>964</v>
      </c>
      <c r="B529" s="5" t="s">
        <v>171</v>
      </c>
      <c r="C529" s="6">
        <f t="shared" si="32"/>
        <v>45748</v>
      </c>
      <c r="D529" t="s">
        <v>65</v>
      </c>
      <c r="E529" t="s">
        <v>75</v>
      </c>
      <c r="F529" t="s">
        <v>33</v>
      </c>
      <c r="G529" t="s">
        <v>60</v>
      </c>
      <c r="H529" t="s">
        <v>77</v>
      </c>
      <c r="I529">
        <v>1519</v>
      </c>
      <c r="J529" s="7">
        <v>839.24</v>
      </c>
      <c r="K529" s="7">
        <v>1274805.56</v>
      </c>
      <c r="L529">
        <v>672</v>
      </c>
      <c r="M529" t="s">
        <v>173</v>
      </c>
      <c r="N529" s="6">
        <f t="shared" si="33"/>
        <v>45748</v>
      </c>
      <c r="O529" t="s">
        <v>20</v>
      </c>
      <c r="P529" t="str">
        <f t="shared" si="34"/>
        <v>April 2025</v>
      </c>
      <c r="Q529" t="s">
        <v>28</v>
      </c>
      <c r="R529" s="7">
        <v>25955.03</v>
      </c>
      <c r="S529" s="7">
        <f t="shared" si="35"/>
        <v>1300760.5900000001</v>
      </c>
    </row>
    <row r="530" spans="1:19" x14ac:dyDescent="0.3">
      <c r="A530" t="s">
        <v>965</v>
      </c>
      <c r="B530" s="5" t="s">
        <v>187</v>
      </c>
      <c r="C530" s="6">
        <f t="shared" si="32"/>
        <v>45962</v>
      </c>
      <c r="D530" t="s">
        <v>31</v>
      </c>
      <c r="E530" t="s">
        <v>143</v>
      </c>
      <c r="F530" t="s">
        <v>23</v>
      </c>
      <c r="G530" t="s">
        <v>351</v>
      </c>
      <c r="H530" t="s">
        <v>155</v>
      </c>
      <c r="I530">
        <v>73</v>
      </c>
      <c r="J530" s="7">
        <v>416.2</v>
      </c>
      <c r="K530" s="7">
        <v>30382.6</v>
      </c>
      <c r="L530">
        <v>717</v>
      </c>
      <c r="M530" t="s">
        <v>312</v>
      </c>
      <c r="N530" s="6">
        <f t="shared" si="33"/>
        <v>45962</v>
      </c>
      <c r="O530" t="s">
        <v>312</v>
      </c>
      <c r="P530" t="str">
        <f t="shared" si="34"/>
        <v>November 2025</v>
      </c>
      <c r="Q530" t="s">
        <v>37</v>
      </c>
      <c r="R530" s="7">
        <v>42834.559999999998</v>
      </c>
      <c r="S530" s="7">
        <f t="shared" si="35"/>
        <v>73217.16</v>
      </c>
    </row>
    <row r="531" spans="1:19" x14ac:dyDescent="0.3">
      <c r="A531" t="s">
        <v>966</v>
      </c>
      <c r="B531" s="5" t="s">
        <v>511</v>
      </c>
      <c r="C531" s="6">
        <f t="shared" si="32"/>
        <v>45778</v>
      </c>
      <c r="D531" t="s">
        <v>128</v>
      </c>
      <c r="E531" t="s">
        <v>53</v>
      </c>
      <c r="F531" t="s">
        <v>45</v>
      </c>
      <c r="G531" t="s">
        <v>351</v>
      </c>
      <c r="H531" t="s">
        <v>35</v>
      </c>
      <c r="I531">
        <v>2207</v>
      </c>
      <c r="J531" s="7">
        <v>745.2</v>
      </c>
      <c r="K531" s="7">
        <v>1644656.4</v>
      </c>
      <c r="L531">
        <v>616</v>
      </c>
      <c r="M531" t="s">
        <v>285</v>
      </c>
      <c r="N531" s="6">
        <f t="shared" si="33"/>
        <v>45778</v>
      </c>
      <c r="O531" t="s">
        <v>282</v>
      </c>
      <c r="P531" t="str">
        <f t="shared" si="34"/>
        <v>May 2025</v>
      </c>
      <c r="Q531" t="s">
        <v>37</v>
      </c>
      <c r="R531" s="7">
        <v>0</v>
      </c>
      <c r="S531" s="7">
        <f t="shared" si="35"/>
        <v>1644656.4</v>
      </c>
    </row>
    <row r="532" spans="1:19" x14ac:dyDescent="0.3">
      <c r="A532" t="s">
        <v>967</v>
      </c>
      <c r="B532" s="5" t="s">
        <v>645</v>
      </c>
      <c r="C532" s="6">
        <f t="shared" si="32"/>
        <v>45931</v>
      </c>
      <c r="D532" t="s">
        <v>21</v>
      </c>
      <c r="E532" t="s">
        <v>75</v>
      </c>
      <c r="F532" t="s">
        <v>23</v>
      </c>
      <c r="G532" t="s">
        <v>241</v>
      </c>
      <c r="H532" t="s">
        <v>35</v>
      </c>
      <c r="I532">
        <v>1624</v>
      </c>
      <c r="J532" s="7">
        <v>360.86</v>
      </c>
      <c r="K532" s="7">
        <v>586036.64</v>
      </c>
      <c r="L532">
        <v>435</v>
      </c>
      <c r="M532" t="s">
        <v>834</v>
      </c>
      <c r="N532" s="6">
        <f t="shared" si="33"/>
        <v>45931</v>
      </c>
      <c r="O532" t="s">
        <v>834</v>
      </c>
      <c r="P532" t="str">
        <f t="shared" si="34"/>
        <v>October 2025</v>
      </c>
      <c r="Q532" t="s">
        <v>37</v>
      </c>
      <c r="R532" s="7">
        <v>18914.89</v>
      </c>
      <c r="S532" s="7">
        <f t="shared" si="35"/>
        <v>604951.53</v>
      </c>
    </row>
    <row r="533" spans="1:19" x14ac:dyDescent="0.3">
      <c r="A533" t="s">
        <v>968</v>
      </c>
      <c r="B533" s="5" t="s">
        <v>133</v>
      </c>
      <c r="C533" s="6">
        <f t="shared" si="32"/>
        <v>45748</v>
      </c>
      <c r="D533" t="s">
        <v>65</v>
      </c>
      <c r="E533" t="s">
        <v>53</v>
      </c>
      <c r="F533" t="s">
        <v>23</v>
      </c>
      <c r="G533" t="s">
        <v>82</v>
      </c>
      <c r="H533" t="s">
        <v>47</v>
      </c>
      <c r="I533">
        <v>1075</v>
      </c>
      <c r="J533" s="7">
        <v>560.72</v>
      </c>
      <c r="K533" s="7">
        <v>602774</v>
      </c>
      <c r="L533">
        <v>532</v>
      </c>
      <c r="M533" t="s">
        <v>417</v>
      </c>
      <c r="N533" s="6">
        <f t="shared" si="33"/>
        <v>45748</v>
      </c>
      <c r="O533" t="s">
        <v>264</v>
      </c>
      <c r="P533" t="str">
        <f t="shared" si="34"/>
        <v>April 2025</v>
      </c>
      <c r="Q533" t="s">
        <v>28</v>
      </c>
      <c r="R533" s="7">
        <v>30211.759999999998</v>
      </c>
      <c r="S533" s="7">
        <f t="shared" si="35"/>
        <v>632985.76</v>
      </c>
    </row>
    <row r="534" spans="1:19" x14ac:dyDescent="0.3">
      <c r="A534" t="s">
        <v>969</v>
      </c>
      <c r="B534" s="5" t="s">
        <v>244</v>
      </c>
      <c r="C534" s="6">
        <f t="shared" si="32"/>
        <v>45962</v>
      </c>
      <c r="D534" t="s">
        <v>21</v>
      </c>
      <c r="E534" t="s">
        <v>32</v>
      </c>
      <c r="F534" t="s">
        <v>33</v>
      </c>
      <c r="G534" t="s">
        <v>46</v>
      </c>
      <c r="H534" t="s">
        <v>132</v>
      </c>
      <c r="I534">
        <v>328</v>
      </c>
      <c r="J534" s="7">
        <v>603.41999999999996</v>
      </c>
      <c r="K534" s="7">
        <v>197921.76</v>
      </c>
      <c r="L534">
        <v>398</v>
      </c>
      <c r="M534" t="s">
        <v>245</v>
      </c>
      <c r="N534" s="6">
        <f t="shared" si="33"/>
        <v>45962</v>
      </c>
      <c r="O534" t="s">
        <v>304</v>
      </c>
      <c r="P534" t="str">
        <f t="shared" si="34"/>
        <v>November 2025</v>
      </c>
      <c r="Q534" t="s">
        <v>37</v>
      </c>
      <c r="R534" s="7">
        <v>23668.19</v>
      </c>
      <c r="S534" s="7">
        <f t="shared" si="35"/>
        <v>221589.95</v>
      </c>
    </row>
    <row r="535" spans="1:19" x14ac:dyDescent="0.3">
      <c r="A535" t="s">
        <v>970</v>
      </c>
      <c r="B535" s="5" t="s">
        <v>103</v>
      </c>
      <c r="C535" s="6">
        <f t="shared" si="32"/>
        <v>45839</v>
      </c>
      <c r="D535" t="s">
        <v>31</v>
      </c>
      <c r="E535" t="s">
        <v>53</v>
      </c>
      <c r="F535" t="s">
        <v>45</v>
      </c>
      <c r="G535" t="s">
        <v>82</v>
      </c>
      <c r="H535" t="s">
        <v>25</v>
      </c>
      <c r="I535">
        <v>2385</v>
      </c>
      <c r="J535" s="7">
        <v>47.98</v>
      </c>
      <c r="K535" s="7">
        <v>114432.3</v>
      </c>
      <c r="L535">
        <v>495</v>
      </c>
      <c r="M535" t="s">
        <v>401</v>
      </c>
      <c r="N535" s="6">
        <f t="shared" si="33"/>
        <v>45839</v>
      </c>
      <c r="O535" t="s">
        <v>314</v>
      </c>
      <c r="P535" t="str">
        <f t="shared" si="34"/>
        <v>August 2025</v>
      </c>
      <c r="Q535" t="s">
        <v>28</v>
      </c>
      <c r="R535" s="7">
        <v>25318.34</v>
      </c>
      <c r="S535" s="7">
        <f t="shared" si="35"/>
        <v>139750.64000000001</v>
      </c>
    </row>
    <row r="536" spans="1:19" x14ac:dyDescent="0.3">
      <c r="A536" t="s">
        <v>971</v>
      </c>
      <c r="B536" s="5" t="s">
        <v>136</v>
      </c>
      <c r="C536" s="6">
        <f t="shared" si="32"/>
        <v>45778</v>
      </c>
      <c r="D536" t="s">
        <v>65</v>
      </c>
      <c r="E536" t="s">
        <v>143</v>
      </c>
      <c r="F536" t="s">
        <v>59</v>
      </c>
      <c r="G536" t="s">
        <v>227</v>
      </c>
      <c r="H536" t="s">
        <v>47</v>
      </c>
      <c r="I536">
        <v>484</v>
      </c>
      <c r="J536" s="7">
        <v>740.95</v>
      </c>
      <c r="K536" s="7">
        <v>358619.8</v>
      </c>
      <c r="L536">
        <v>271</v>
      </c>
      <c r="M536" t="s">
        <v>480</v>
      </c>
      <c r="N536" s="6">
        <f t="shared" si="33"/>
        <v>45778</v>
      </c>
      <c r="O536" t="s">
        <v>480</v>
      </c>
      <c r="P536" t="str">
        <f t="shared" si="34"/>
        <v>May 2025</v>
      </c>
      <c r="Q536" t="s">
        <v>37</v>
      </c>
      <c r="R536" s="7">
        <v>13299.94</v>
      </c>
      <c r="S536" s="7">
        <f t="shared" si="35"/>
        <v>371919.74</v>
      </c>
    </row>
    <row r="537" spans="1:19" x14ac:dyDescent="0.3">
      <c r="A537" t="s">
        <v>972</v>
      </c>
      <c r="B537" s="5" t="s">
        <v>44</v>
      </c>
      <c r="C537" s="6">
        <f t="shared" si="32"/>
        <v>45658</v>
      </c>
      <c r="D537" t="s">
        <v>109</v>
      </c>
      <c r="E537" t="s">
        <v>32</v>
      </c>
      <c r="F537" t="s">
        <v>23</v>
      </c>
      <c r="G537" t="s">
        <v>71</v>
      </c>
      <c r="H537" t="s">
        <v>35</v>
      </c>
      <c r="I537">
        <v>1226</v>
      </c>
      <c r="J537" s="7">
        <v>279.77</v>
      </c>
      <c r="K537" s="7">
        <v>342998.02</v>
      </c>
      <c r="L537">
        <v>265</v>
      </c>
      <c r="M537" t="s">
        <v>580</v>
      </c>
      <c r="N537" s="6">
        <f t="shared" si="33"/>
        <v>45658</v>
      </c>
      <c r="O537" t="s">
        <v>48</v>
      </c>
      <c r="P537" t="str">
        <f t="shared" si="34"/>
        <v>January 2025</v>
      </c>
      <c r="Q537" t="s">
        <v>28</v>
      </c>
      <c r="R537" s="7">
        <v>15831.74</v>
      </c>
      <c r="S537" s="7">
        <f t="shared" si="35"/>
        <v>358829.76</v>
      </c>
    </row>
    <row r="538" spans="1:19" x14ac:dyDescent="0.3">
      <c r="A538" t="s">
        <v>973</v>
      </c>
      <c r="B538" s="5" t="s">
        <v>195</v>
      </c>
      <c r="C538" s="6">
        <f t="shared" si="32"/>
        <v>45658</v>
      </c>
      <c r="D538" t="s">
        <v>40</v>
      </c>
      <c r="E538" t="s">
        <v>143</v>
      </c>
      <c r="F538" t="s">
        <v>33</v>
      </c>
      <c r="G538" t="s">
        <v>110</v>
      </c>
      <c r="H538" t="s">
        <v>47</v>
      </c>
      <c r="I538">
        <v>1398</v>
      </c>
      <c r="J538" s="7">
        <v>702.34</v>
      </c>
      <c r="K538" s="7">
        <v>981871.32</v>
      </c>
      <c r="L538">
        <v>281</v>
      </c>
      <c r="M538" t="s">
        <v>215</v>
      </c>
      <c r="N538" s="6">
        <f t="shared" si="33"/>
        <v>45658</v>
      </c>
      <c r="O538" t="s">
        <v>215</v>
      </c>
      <c r="P538" t="str">
        <f t="shared" si="34"/>
        <v>January 2025</v>
      </c>
      <c r="Q538" t="s">
        <v>37</v>
      </c>
      <c r="R538" s="7">
        <v>9983.33</v>
      </c>
      <c r="S538" s="7">
        <f t="shared" si="35"/>
        <v>991854.64999999991</v>
      </c>
    </row>
    <row r="539" spans="1:19" x14ac:dyDescent="0.3">
      <c r="A539" t="s">
        <v>974</v>
      </c>
      <c r="B539" s="5" t="s">
        <v>300</v>
      </c>
      <c r="C539" s="6">
        <f t="shared" si="32"/>
        <v>45809</v>
      </c>
      <c r="D539" t="s">
        <v>109</v>
      </c>
      <c r="E539" t="s">
        <v>53</v>
      </c>
      <c r="F539" t="s">
        <v>33</v>
      </c>
      <c r="G539" t="s">
        <v>494</v>
      </c>
      <c r="H539" t="str">
        <f xml:space="preserve"> "Not Found"</f>
        <v>Not Found</v>
      </c>
      <c r="I539">
        <v>443</v>
      </c>
      <c r="J539" s="7">
        <v>63.51</v>
      </c>
      <c r="K539" s="7">
        <v>28134.93</v>
      </c>
      <c r="L539">
        <v>146</v>
      </c>
      <c r="M539" t="s">
        <v>301</v>
      </c>
      <c r="N539" s="6">
        <f t="shared" si="33"/>
        <v>45809</v>
      </c>
      <c r="O539" t="s">
        <v>525</v>
      </c>
      <c r="P539" t="str">
        <f t="shared" si="34"/>
        <v>June 2025</v>
      </c>
      <c r="Q539" t="s">
        <v>28</v>
      </c>
      <c r="R539" s="7">
        <v>5536.24</v>
      </c>
      <c r="S539" s="7">
        <f t="shared" si="35"/>
        <v>33671.17</v>
      </c>
    </row>
    <row r="540" spans="1:19" x14ac:dyDescent="0.3">
      <c r="A540" t="s">
        <v>975</v>
      </c>
      <c r="B540" s="5" t="s">
        <v>194</v>
      </c>
      <c r="C540" s="6">
        <f t="shared" si="32"/>
        <v>45658</v>
      </c>
      <c r="D540" t="s">
        <v>128</v>
      </c>
      <c r="E540" t="s">
        <v>143</v>
      </c>
      <c r="F540" t="s">
        <v>45</v>
      </c>
      <c r="G540" t="s">
        <v>265</v>
      </c>
      <c r="H540" t="s">
        <v>77</v>
      </c>
      <c r="I540">
        <v>2253</v>
      </c>
      <c r="J540" s="7">
        <v>680.93</v>
      </c>
      <c r="K540" s="7">
        <v>1534135.29</v>
      </c>
      <c r="L540">
        <v>668</v>
      </c>
      <c r="M540" t="s">
        <v>214</v>
      </c>
      <c r="N540" s="6">
        <f t="shared" si="33"/>
        <v>45658</v>
      </c>
      <c r="O540" t="s">
        <v>215</v>
      </c>
      <c r="P540" t="str">
        <f t="shared" si="34"/>
        <v>January 2025</v>
      </c>
      <c r="Q540" t="s">
        <v>28</v>
      </c>
      <c r="R540" s="7">
        <v>23813.77</v>
      </c>
      <c r="S540" s="7">
        <f t="shared" si="35"/>
        <v>1557949.06</v>
      </c>
    </row>
    <row r="541" spans="1:19" x14ac:dyDescent="0.3">
      <c r="A541" t="s">
        <v>976</v>
      </c>
      <c r="B541" s="5" t="s">
        <v>848</v>
      </c>
      <c r="C541" s="6">
        <f t="shared" si="32"/>
        <v>45658</v>
      </c>
      <c r="D541" t="s">
        <v>52</v>
      </c>
      <c r="E541" t="s">
        <v>143</v>
      </c>
      <c r="F541" t="s">
        <v>23</v>
      </c>
      <c r="G541" t="s">
        <v>190</v>
      </c>
      <c r="H541" t="s">
        <v>61</v>
      </c>
      <c r="I541">
        <v>1279</v>
      </c>
      <c r="J541" s="7">
        <v>671.2</v>
      </c>
      <c r="K541" s="7">
        <v>858464.8</v>
      </c>
      <c r="L541">
        <v>418</v>
      </c>
      <c r="M541" t="s">
        <v>345</v>
      </c>
      <c r="N541" s="6">
        <f t="shared" si="33"/>
        <v>45658</v>
      </c>
      <c r="O541" t="s">
        <v>346</v>
      </c>
      <c r="P541" t="str">
        <f t="shared" si="34"/>
        <v>January 2025</v>
      </c>
      <c r="Q541" t="s">
        <v>28</v>
      </c>
      <c r="R541" s="7">
        <v>22931.59</v>
      </c>
      <c r="S541" s="7">
        <f t="shared" si="35"/>
        <v>881396.39</v>
      </c>
    </row>
    <row r="542" spans="1:19" x14ac:dyDescent="0.3">
      <c r="A542" t="s">
        <v>977</v>
      </c>
      <c r="B542" s="5" t="s">
        <v>570</v>
      </c>
      <c r="C542" s="6">
        <f t="shared" si="32"/>
        <v>45778</v>
      </c>
      <c r="D542" t="s">
        <v>52</v>
      </c>
      <c r="E542" t="s">
        <v>22</v>
      </c>
      <c r="F542" t="s">
        <v>59</v>
      </c>
      <c r="G542" t="s">
        <v>54</v>
      </c>
      <c r="H542" t="s">
        <v>132</v>
      </c>
      <c r="I542">
        <v>2413</v>
      </c>
      <c r="J542" s="7">
        <v>770.28</v>
      </c>
      <c r="K542" s="7">
        <v>1858685.64</v>
      </c>
      <c r="L542">
        <v>543</v>
      </c>
      <c r="M542" t="s">
        <v>182</v>
      </c>
      <c r="N542" s="6">
        <f t="shared" si="33"/>
        <v>45778</v>
      </c>
      <c r="O542" t="s">
        <v>978</v>
      </c>
      <c r="P542" t="str">
        <f t="shared" si="34"/>
        <v>May 2025</v>
      </c>
      <c r="Q542" t="s">
        <v>28</v>
      </c>
      <c r="R542" s="7">
        <v>26997.86</v>
      </c>
      <c r="S542" s="7">
        <f t="shared" si="35"/>
        <v>1885683.5</v>
      </c>
    </row>
    <row r="543" spans="1:19" x14ac:dyDescent="0.3">
      <c r="A543" t="s">
        <v>979</v>
      </c>
      <c r="B543" s="5" t="s">
        <v>171</v>
      </c>
      <c r="C543" s="6">
        <f t="shared" si="32"/>
        <v>45748</v>
      </c>
      <c r="D543" t="s">
        <v>21</v>
      </c>
      <c r="E543" t="s">
        <v>70</v>
      </c>
      <c r="F543" t="s">
        <v>59</v>
      </c>
      <c r="G543" t="s">
        <v>172</v>
      </c>
      <c r="H543" t="s">
        <v>77</v>
      </c>
      <c r="I543">
        <v>195</v>
      </c>
      <c r="J543" s="7">
        <v>642.04</v>
      </c>
      <c r="K543" s="7">
        <v>125197.8</v>
      </c>
      <c r="L543">
        <v>351</v>
      </c>
      <c r="M543" t="s">
        <v>173</v>
      </c>
      <c r="N543" s="6">
        <f t="shared" si="33"/>
        <v>45748</v>
      </c>
      <c r="O543" t="s">
        <v>85</v>
      </c>
      <c r="P543" t="str">
        <f t="shared" si="34"/>
        <v>April 2025</v>
      </c>
      <c r="Q543" t="s">
        <v>28</v>
      </c>
      <c r="R543" s="7">
        <v>18657.68</v>
      </c>
      <c r="S543" s="7">
        <f t="shared" si="35"/>
        <v>143855.48000000001</v>
      </c>
    </row>
    <row r="544" spans="1:19" x14ac:dyDescent="0.3">
      <c r="A544" t="s">
        <v>980</v>
      </c>
      <c r="B544" s="5" t="s">
        <v>632</v>
      </c>
      <c r="C544" s="6">
        <f t="shared" si="32"/>
        <v>45962</v>
      </c>
      <c r="D544" t="s">
        <v>128</v>
      </c>
      <c r="E544" t="s">
        <v>53</v>
      </c>
      <c r="F544" t="s">
        <v>59</v>
      </c>
      <c r="G544" t="s">
        <v>138</v>
      </c>
      <c r="H544" t="s">
        <v>47</v>
      </c>
      <c r="I544">
        <v>938</v>
      </c>
      <c r="J544" s="7">
        <v>61.84</v>
      </c>
      <c r="K544" s="7">
        <v>58005.919999999998</v>
      </c>
      <c r="L544">
        <v>638</v>
      </c>
      <c r="M544" t="s">
        <v>563</v>
      </c>
      <c r="N544" s="6">
        <f t="shared" si="33"/>
        <v>45992</v>
      </c>
      <c r="O544" t="s">
        <v>563</v>
      </c>
      <c r="P544" t="str">
        <f t="shared" si="34"/>
        <v>December 2025</v>
      </c>
      <c r="Q544" t="s">
        <v>37</v>
      </c>
      <c r="R544" s="7">
        <v>25204.52</v>
      </c>
      <c r="S544" s="7">
        <f t="shared" si="35"/>
        <v>83210.44</v>
      </c>
    </row>
    <row r="545" spans="1:19" x14ac:dyDescent="0.3">
      <c r="A545" t="s">
        <v>981</v>
      </c>
      <c r="B545" s="5" t="s">
        <v>79</v>
      </c>
      <c r="C545" s="6">
        <f t="shared" si="32"/>
        <v>45748</v>
      </c>
      <c r="D545" t="s">
        <v>128</v>
      </c>
      <c r="E545" t="s">
        <v>143</v>
      </c>
      <c r="F545" t="s">
        <v>23</v>
      </c>
      <c r="G545" t="s">
        <v>227</v>
      </c>
      <c r="H545" t="s">
        <v>47</v>
      </c>
      <c r="I545">
        <v>514</v>
      </c>
      <c r="J545" s="7">
        <v>241.83</v>
      </c>
      <c r="K545" s="7">
        <v>124300.62</v>
      </c>
      <c r="L545">
        <v>418</v>
      </c>
      <c r="M545" t="s">
        <v>530</v>
      </c>
      <c r="N545" s="6">
        <f t="shared" si="33"/>
        <v>45748</v>
      </c>
      <c r="O545" t="s">
        <v>530</v>
      </c>
      <c r="P545" t="str">
        <f t="shared" si="34"/>
        <v>April 2025</v>
      </c>
      <c r="Q545" t="s">
        <v>37</v>
      </c>
      <c r="R545" s="7">
        <v>16575.3</v>
      </c>
      <c r="S545" s="7">
        <f t="shared" si="35"/>
        <v>140875.91999999998</v>
      </c>
    </row>
    <row r="546" spans="1:19" x14ac:dyDescent="0.3">
      <c r="A546" t="s">
        <v>982</v>
      </c>
      <c r="B546" s="5" t="s">
        <v>379</v>
      </c>
      <c r="C546" s="6">
        <f t="shared" si="32"/>
        <v>45901</v>
      </c>
      <c r="D546" t="s">
        <v>52</v>
      </c>
      <c r="E546" t="s">
        <v>75</v>
      </c>
      <c r="F546" t="s">
        <v>23</v>
      </c>
      <c r="G546" t="s">
        <v>97</v>
      </c>
      <c r="H546" t="s">
        <v>25</v>
      </c>
      <c r="I546">
        <v>321</v>
      </c>
      <c r="J546" s="7">
        <v>119.5</v>
      </c>
      <c r="K546" s="7">
        <v>38359.5</v>
      </c>
      <c r="L546">
        <v>167</v>
      </c>
      <c r="M546" t="s">
        <v>787</v>
      </c>
      <c r="N546" s="6">
        <f t="shared" si="33"/>
        <v>45901</v>
      </c>
      <c r="O546" t="s">
        <v>787</v>
      </c>
      <c r="P546" t="str">
        <f t="shared" si="34"/>
        <v>September 2025</v>
      </c>
      <c r="Q546" t="s">
        <v>37</v>
      </c>
      <c r="R546" s="7">
        <v>10180.549999999999</v>
      </c>
      <c r="S546" s="7">
        <f t="shared" si="35"/>
        <v>48540.05</v>
      </c>
    </row>
    <row r="547" spans="1:19" x14ac:dyDescent="0.3">
      <c r="A547" t="s">
        <v>983</v>
      </c>
      <c r="B547" s="5" t="s">
        <v>566</v>
      </c>
      <c r="C547" s="6">
        <f t="shared" si="32"/>
        <v>45870</v>
      </c>
      <c r="D547" t="s">
        <v>40</v>
      </c>
      <c r="E547" t="s">
        <v>32</v>
      </c>
      <c r="F547" t="s">
        <v>23</v>
      </c>
      <c r="G547" t="s">
        <v>118</v>
      </c>
      <c r="H547" t="s">
        <v>91</v>
      </c>
      <c r="I547">
        <v>1293</v>
      </c>
      <c r="J547" s="7">
        <v>748.36</v>
      </c>
      <c r="K547" s="7">
        <v>967629.48</v>
      </c>
      <c r="L547">
        <v>90</v>
      </c>
      <c r="M547" t="s">
        <v>204</v>
      </c>
      <c r="N547" s="6">
        <f t="shared" si="33"/>
        <v>45870</v>
      </c>
      <c r="O547" t="s">
        <v>267</v>
      </c>
      <c r="P547" t="str">
        <f t="shared" si="34"/>
        <v>August 2025</v>
      </c>
      <c r="Q547" t="s">
        <v>28</v>
      </c>
      <c r="R547" s="7">
        <v>4082.03</v>
      </c>
      <c r="S547" s="7">
        <f t="shared" si="35"/>
        <v>971711.51</v>
      </c>
    </row>
    <row r="548" spans="1:19" x14ac:dyDescent="0.3">
      <c r="A548" t="s">
        <v>984</v>
      </c>
      <c r="B548" s="5" t="s">
        <v>591</v>
      </c>
      <c r="C548" s="6">
        <f t="shared" si="32"/>
        <v>45717</v>
      </c>
      <c r="D548" t="s">
        <v>21</v>
      </c>
      <c r="E548" t="s">
        <v>75</v>
      </c>
      <c r="F548" t="s">
        <v>59</v>
      </c>
      <c r="G548" t="s">
        <v>46</v>
      </c>
      <c r="H548" t="s">
        <v>77</v>
      </c>
      <c r="I548">
        <v>1639</v>
      </c>
      <c r="J548" s="7">
        <v>879.59</v>
      </c>
      <c r="K548" s="7">
        <v>1441648.01</v>
      </c>
      <c r="L548">
        <v>351</v>
      </c>
      <c r="M548" t="s">
        <v>437</v>
      </c>
      <c r="N548" s="6">
        <f t="shared" si="33"/>
        <v>45717</v>
      </c>
      <c r="O548" t="s">
        <v>836</v>
      </c>
      <c r="P548" t="str">
        <f t="shared" si="34"/>
        <v>March 2025</v>
      </c>
      <c r="Q548" t="s">
        <v>28</v>
      </c>
      <c r="R548" s="7">
        <v>12802.8</v>
      </c>
      <c r="S548" s="7">
        <f t="shared" si="35"/>
        <v>1454450.81</v>
      </c>
    </row>
    <row r="549" spans="1:19" x14ac:dyDescent="0.3">
      <c r="A549" t="s">
        <v>985</v>
      </c>
      <c r="B549" s="5" t="s">
        <v>78</v>
      </c>
      <c r="C549" s="6">
        <f t="shared" si="32"/>
        <v>45748</v>
      </c>
      <c r="D549" t="s">
        <v>65</v>
      </c>
      <c r="E549" t="s">
        <v>75</v>
      </c>
      <c r="F549" t="s">
        <v>33</v>
      </c>
      <c r="G549" t="s">
        <v>168</v>
      </c>
      <c r="H549" t="s">
        <v>25</v>
      </c>
      <c r="I549">
        <v>325</v>
      </c>
      <c r="J549" s="7">
        <v>51.13</v>
      </c>
      <c r="K549" s="7">
        <v>16617.25</v>
      </c>
      <c r="L549">
        <v>238</v>
      </c>
      <c r="M549" t="s">
        <v>262</v>
      </c>
      <c r="N549" s="6">
        <f t="shared" si="33"/>
        <v>45748</v>
      </c>
      <c r="O549" t="s">
        <v>262</v>
      </c>
      <c r="P549" t="str">
        <f t="shared" si="34"/>
        <v>April 2025</v>
      </c>
      <c r="Q549" t="s">
        <v>37</v>
      </c>
      <c r="R549" s="7">
        <v>9751.18</v>
      </c>
      <c r="S549" s="7">
        <f t="shared" si="35"/>
        <v>26368.43</v>
      </c>
    </row>
    <row r="550" spans="1:19" x14ac:dyDescent="0.3">
      <c r="A550" t="s">
        <v>986</v>
      </c>
      <c r="B550" s="5" t="s">
        <v>572</v>
      </c>
      <c r="C550" s="6">
        <f t="shared" si="32"/>
        <v>45870</v>
      </c>
      <c r="D550" t="s">
        <v>52</v>
      </c>
      <c r="E550" t="s">
        <v>32</v>
      </c>
      <c r="F550" t="s">
        <v>23</v>
      </c>
      <c r="G550" t="s">
        <v>97</v>
      </c>
      <c r="H550" t="s">
        <v>25</v>
      </c>
      <c r="I550">
        <v>1724</v>
      </c>
      <c r="J550" s="7">
        <v>831.2</v>
      </c>
      <c r="K550" s="7">
        <v>1432988.8</v>
      </c>
      <c r="L550">
        <v>31</v>
      </c>
      <c r="M550" t="s">
        <v>573</v>
      </c>
      <c r="N550" s="6">
        <f t="shared" si="33"/>
        <v>45870</v>
      </c>
      <c r="O550" t="s">
        <v>251</v>
      </c>
      <c r="P550" t="str">
        <f t="shared" si="34"/>
        <v>August 2025</v>
      </c>
      <c r="Q550" t="s">
        <v>28</v>
      </c>
      <c r="R550" s="7">
        <v>1832.76</v>
      </c>
      <c r="S550" s="7">
        <f t="shared" si="35"/>
        <v>1434821.56</v>
      </c>
    </row>
    <row r="551" spans="1:19" x14ac:dyDescent="0.3">
      <c r="A551" t="s">
        <v>987</v>
      </c>
      <c r="B551" s="5" t="s">
        <v>187</v>
      </c>
      <c r="C551" s="6">
        <f t="shared" si="32"/>
        <v>45962</v>
      </c>
      <c r="D551" t="s">
        <v>65</v>
      </c>
      <c r="E551" t="s">
        <v>75</v>
      </c>
      <c r="F551" t="s">
        <v>23</v>
      </c>
      <c r="G551" t="s">
        <v>97</v>
      </c>
      <c r="H551" t="s">
        <v>77</v>
      </c>
      <c r="I551">
        <v>2290</v>
      </c>
      <c r="J551" s="7">
        <v>295.64999999999998</v>
      </c>
      <c r="K551" s="7">
        <v>677038.5</v>
      </c>
      <c r="L551">
        <v>102</v>
      </c>
      <c r="M551" t="s">
        <v>311</v>
      </c>
      <c r="N551" s="6">
        <f t="shared" si="33"/>
        <v>45962</v>
      </c>
      <c r="O551" t="s">
        <v>311</v>
      </c>
      <c r="P551" t="str">
        <f t="shared" si="34"/>
        <v>November 2025</v>
      </c>
      <c r="Q551" t="s">
        <v>37</v>
      </c>
      <c r="R551" s="7">
        <v>6004.17</v>
      </c>
      <c r="S551" s="7">
        <f t="shared" si="35"/>
        <v>683042.67</v>
      </c>
    </row>
    <row r="552" spans="1:19" x14ac:dyDescent="0.3">
      <c r="A552" t="s">
        <v>988</v>
      </c>
      <c r="B552" s="5" t="s">
        <v>111</v>
      </c>
      <c r="C552" s="6">
        <f t="shared" si="32"/>
        <v>45992</v>
      </c>
      <c r="D552" t="s">
        <v>96</v>
      </c>
      <c r="E552" t="s">
        <v>70</v>
      </c>
      <c r="F552" t="s">
        <v>45</v>
      </c>
      <c r="G552" t="s">
        <v>97</v>
      </c>
      <c r="H552" t="s">
        <v>55</v>
      </c>
      <c r="I552">
        <v>139</v>
      </c>
      <c r="J552" s="7">
        <v>586.97</v>
      </c>
      <c r="K552" s="7">
        <v>81588.83</v>
      </c>
      <c r="L552">
        <v>108</v>
      </c>
      <c r="M552" t="s">
        <v>117</v>
      </c>
      <c r="N552" s="6">
        <f t="shared" si="33"/>
        <v>45992</v>
      </c>
      <c r="O552" t="s">
        <v>490</v>
      </c>
      <c r="P552" t="str">
        <f t="shared" si="34"/>
        <v>December 2025</v>
      </c>
      <c r="Q552" t="s">
        <v>28</v>
      </c>
      <c r="R552" s="7">
        <v>6549.98</v>
      </c>
      <c r="S552" s="7">
        <f t="shared" si="35"/>
        <v>88138.81</v>
      </c>
    </row>
    <row r="553" spans="1:19" x14ac:dyDescent="0.3">
      <c r="A553" t="s">
        <v>989</v>
      </c>
      <c r="B553" s="5" t="s">
        <v>169</v>
      </c>
      <c r="C553" s="6">
        <f t="shared" si="32"/>
        <v>45870</v>
      </c>
      <c r="D553" t="s">
        <v>65</v>
      </c>
      <c r="E553" t="s">
        <v>22</v>
      </c>
      <c r="F553" t="s">
        <v>33</v>
      </c>
      <c r="G553" t="s">
        <v>172</v>
      </c>
      <c r="H553" t="s">
        <v>55</v>
      </c>
      <c r="I553">
        <v>235</v>
      </c>
      <c r="J553" s="7">
        <v>352.18</v>
      </c>
      <c r="K553" s="7">
        <v>82762.3</v>
      </c>
      <c r="L553">
        <v>24</v>
      </c>
      <c r="M553" t="s">
        <v>557</v>
      </c>
      <c r="N553" s="6">
        <f t="shared" si="33"/>
        <v>45870</v>
      </c>
      <c r="O553" t="s">
        <v>696</v>
      </c>
      <c r="P553" t="str">
        <f t="shared" si="34"/>
        <v>August 2025</v>
      </c>
      <c r="Q553" t="s">
        <v>28</v>
      </c>
      <c r="R553" s="7">
        <v>858.18</v>
      </c>
      <c r="S553" s="7">
        <f t="shared" si="35"/>
        <v>83620.479999999996</v>
      </c>
    </row>
    <row r="554" spans="1:19" x14ac:dyDescent="0.3">
      <c r="A554" t="s">
        <v>990</v>
      </c>
      <c r="B554" s="5" t="s">
        <v>476</v>
      </c>
      <c r="C554" s="6">
        <f t="shared" si="32"/>
        <v>45901</v>
      </c>
      <c r="D554" t="s">
        <v>40</v>
      </c>
      <c r="E554" t="s">
        <v>53</v>
      </c>
      <c r="F554" t="s">
        <v>23</v>
      </c>
      <c r="G554" t="s">
        <v>34</v>
      </c>
      <c r="H554" t="s">
        <v>132</v>
      </c>
      <c r="I554">
        <v>94</v>
      </c>
      <c r="J554" s="7">
        <v>358.76</v>
      </c>
      <c r="K554" s="7">
        <v>33723.440000000002</v>
      </c>
      <c r="L554">
        <v>114</v>
      </c>
      <c r="M554" t="s">
        <v>289</v>
      </c>
      <c r="N554" s="6">
        <f t="shared" si="33"/>
        <v>45901</v>
      </c>
      <c r="O554" t="s">
        <v>289</v>
      </c>
      <c r="P554" t="str">
        <f t="shared" si="34"/>
        <v>September 2025</v>
      </c>
      <c r="Q554" t="s">
        <v>37</v>
      </c>
      <c r="R554" s="7">
        <v>6423.62</v>
      </c>
      <c r="S554" s="7">
        <f t="shared" si="35"/>
        <v>40147.060000000005</v>
      </c>
    </row>
    <row r="555" spans="1:19" x14ac:dyDescent="0.3">
      <c r="A555" t="s">
        <v>991</v>
      </c>
      <c r="B555" s="5" t="s">
        <v>208</v>
      </c>
      <c r="C555" s="6">
        <f t="shared" si="32"/>
        <v>45778</v>
      </c>
      <c r="D555" t="s">
        <v>128</v>
      </c>
      <c r="E555" t="s">
        <v>70</v>
      </c>
      <c r="F555" t="s">
        <v>33</v>
      </c>
      <c r="G555" t="s">
        <v>351</v>
      </c>
      <c r="H555" t="s">
        <v>25</v>
      </c>
      <c r="I555">
        <v>1408</v>
      </c>
      <c r="J555" s="7">
        <v>367.67</v>
      </c>
      <c r="K555" s="7">
        <v>517679.35999999999</v>
      </c>
      <c r="L555">
        <v>33</v>
      </c>
      <c r="M555" t="s">
        <v>209</v>
      </c>
      <c r="N555" s="6">
        <f t="shared" si="33"/>
        <v>45778</v>
      </c>
      <c r="O555" t="s">
        <v>217</v>
      </c>
      <c r="P555" t="str">
        <f t="shared" si="34"/>
        <v>June 2025</v>
      </c>
      <c r="Q555" t="s">
        <v>28</v>
      </c>
      <c r="R555" s="7">
        <v>1546.49</v>
      </c>
      <c r="S555" s="7">
        <f t="shared" si="35"/>
        <v>519225.85</v>
      </c>
    </row>
    <row r="556" spans="1:19" x14ac:dyDescent="0.3">
      <c r="A556" t="s">
        <v>992</v>
      </c>
      <c r="B556" s="5" t="s">
        <v>44</v>
      </c>
      <c r="C556" s="6">
        <f t="shared" si="32"/>
        <v>45658</v>
      </c>
      <c r="D556" t="s">
        <v>109</v>
      </c>
      <c r="E556" t="s">
        <v>75</v>
      </c>
      <c r="F556" t="s">
        <v>59</v>
      </c>
      <c r="G556" t="s">
        <v>159</v>
      </c>
      <c r="H556" t="s">
        <v>77</v>
      </c>
      <c r="I556">
        <v>959</v>
      </c>
      <c r="J556" s="7">
        <v>819.4</v>
      </c>
      <c r="K556" s="7">
        <v>785804.6</v>
      </c>
      <c r="L556">
        <v>665</v>
      </c>
      <c r="M556" t="s">
        <v>48</v>
      </c>
      <c r="N556" s="6">
        <f t="shared" si="33"/>
        <v>45658</v>
      </c>
      <c r="O556" t="s">
        <v>328</v>
      </c>
      <c r="P556" t="str">
        <f t="shared" si="34"/>
        <v>January 2025</v>
      </c>
      <c r="Q556" t="s">
        <v>28</v>
      </c>
      <c r="R556" s="7">
        <v>39218.26</v>
      </c>
      <c r="S556" s="7">
        <f t="shared" si="35"/>
        <v>825022.86</v>
      </c>
    </row>
    <row r="557" spans="1:19" x14ac:dyDescent="0.3">
      <c r="A557" t="s">
        <v>993</v>
      </c>
      <c r="B557" s="5" t="s">
        <v>736</v>
      </c>
      <c r="C557" s="6">
        <f t="shared" si="32"/>
        <v>45870</v>
      </c>
      <c r="D557" t="s">
        <v>109</v>
      </c>
      <c r="E557" t="s">
        <v>53</v>
      </c>
      <c r="F557" t="s">
        <v>23</v>
      </c>
      <c r="G557" t="s">
        <v>241</v>
      </c>
      <c r="H557" t="s">
        <v>155</v>
      </c>
      <c r="I557">
        <v>783</v>
      </c>
      <c r="J557" s="7">
        <v>646.66999999999996</v>
      </c>
      <c r="K557" s="7">
        <v>506342.61</v>
      </c>
      <c r="L557">
        <v>377</v>
      </c>
      <c r="M557" t="s">
        <v>934</v>
      </c>
      <c r="N557" s="6">
        <f t="shared" si="33"/>
        <v>45901</v>
      </c>
      <c r="O557" t="s">
        <v>212</v>
      </c>
      <c r="P557" t="str">
        <f t="shared" si="34"/>
        <v>September 2025</v>
      </c>
      <c r="Q557" t="s">
        <v>28</v>
      </c>
      <c r="R557" s="7">
        <v>23216.48</v>
      </c>
      <c r="S557" s="7">
        <f t="shared" si="35"/>
        <v>529559.09</v>
      </c>
    </row>
    <row r="558" spans="1:19" x14ac:dyDescent="0.3">
      <c r="A558" t="s">
        <v>994</v>
      </c>
      <c r="B558" s="5" t="s">
        <v>320</v>
      </c>
      <c r="C558" s="6">
        <f t="shared" si="32"/>
        <v>45658</v>
      </c>
      <c r="D558" t="s">
        <v>109</v>
      </c>
      <c r="E558" t="s">
        <v>70</v>
      </c>
      <c r="F558" t="s">
        <v>23</v>
      </c>
      <c r="G558" t="s">
        <v>110</v>
      </c>
      <c r="H558" t="s">
        <v>55</v>
      </c>
      <c r="I558">
        <v>1306</v>
      </c>
      <c r="J558" s="7">
        <v>535.65</v>
      </c>
      <c r="K558" s="7">
        <v>699558.9</v>
      </c>
      <c r="L558">
        <v>320</v>
      </c>
      <c r="M558" t="s">
        <v>287</v>
      </c>
      <c r="N558" s="6">
        <f t="shared" si="33"/>
        <v>45658</v>
      </c>
      <c r="O558" t="s">
        <v>48</v>
      </c>
      <c r="P558" t="str">
        <f t="shared" si="34"/>
        <v>January 2025</v>
      </c>
      <c r="Q558" t="s">
        <v>28</v>
      </c>
      <c r="R558" s="7">
        <v>11763.19</v>
      </c>
      <c r="S558" s="7">
        <f t="shared" si="35"/>
        <v>711322.09</v>
      </c>
    </row>
    <row r="559" spans="1:19" x14ac:dyDescent="0.3">
      <c r="A559" t="s">
        <v>995</v>
      </c>
      <c r="B559" s="5" t="s">
        <v>284</v>
      </c>
      <c r="C559" s="6">
        <f t="shared" si="32"/>
        <v>45778</v>
      </c>
      <c r="D559" t="s">
        <v>109</v>
      </c>
      <c r="E559" t="s">
        <v>75</v>
      </c>
      <c r="F559" t="s">
        <v>45</v>
      </c>
      <c r="G559" t="s">
        <v>76</v>
      </c>
      <c r="H559" t="s">
        <v>132</v>
      </c>
      <c r="I559">
        <v>840</v>
      </c>
      <c r="J559" s="7">
        <v>811.56</v>
      </c>
      <c r="K559" s="7">
        <v>681710.4</v>
      </c>
      <c r="L559">
        <v>316</v>
      </c>
      <c r="M559" t="s">
        <v>442</v>
      </c>
      <c r="N559" s="6">
        <f t="shared" si="33"/>
        <v>45778</v>
      </c>
      <c r="O559" t="s">
        <v>322</v>
      </c>
      <c r="P559" t="str">
        <f t="shared" si="34"/>
        <v>May 2025</v>
      </c>
      <c r="Q559" t="s">
        <v>28</v>
      </c>
      <c r="R559" s="7">
        <v>14603.03</v>
      </c>
      <c r="S559" s="7">
        <f t="shared" si="35"/>
        <v>696313.43</v>
      </c>
    </row>
    <row r="560" spans="1:19" x14ac:dyDescent="0.3">
      <c r="A560" t="s">
        <v>996</v>
      </c>
      <c r="B560" s="5" t="s">
        <v>593</v>
      </c>
      <c r="C560" s="6">
        <f t="shared" si="32"/>
        <v>45748</v>
      </c>
      <c r="D560" t="s">
        <v>31</v>
      </c>
      <c r="E560" t="s">
        <v>143</v>
      </c>
      <c r="F560" t="s">
        <v>59</v>
      </c>
      <c r="G560" t="s">
        <v>351</v>
      </c>
      <c r="H560" t="s">
        <v>55</v>
      </c>
      <c r="I560">
        <v>1038</v>
      </c>
      <c r="J560" s="7">
        <v>736.64</v>
      </c>
      <c r="K560" s="7">
        <v>764632.32</v>
      </c>
      <c r="L560">
        <v>254</v>
      </c>
      <c r="M560" t="s">
        <v>264</v>
      </c>
      <c r="N560" s="6">
        <f t="shared" si="33"/>
        <v>45748</v>
      </c>
      <c r="O560" t="s">
        <v>78</v>
      </c>
      <c r="P560" t="str">
        <f t="shared" si="34"/>
        <v>April 2025</v>
      </c>
      <c r="Q560" t="s">
        <v>28</v>
      </c>
      <c r="R560" s="7">
        <v>14681.96</v>
      </c>
      <c r="S560" s="7">
        <f t="shared" si="35"/>
        <v>779314.27999999991</v>
      </c>
    </row>
    <row r="561" spans="1:19" x14ac:dyDescent="0.3">
      <c r="A561" t="s">
        <v>997</v>
      </c>
      <c r="B561" s="5" t="s">
        <v>99</v>
      </c>
      <c r="C561" s="6">
        <f t="shared" si="32"/>
        <v>45839</v>
      </c>
      <c r="D561" t="s">
        <v>31</v>
      </c>
      <c r="E561" t="s">
        <v>32</v>
      </c>
      <c r="F561" t="s">
        <v>45</v>
      </c>
      <c r="G561" t="s">
        <v>54</v>
      </c>
      <c r="H561" t="s">
        <v>77</v>
      </c>
      <c r="I561">
        <v>834</v>
      </c>
      <c r="J561" s="7">
        <v>679.32</v>
      </c>
      <c r="K561" s="7">
        <v>566552.88</v>
      </c>
      <c r="L561">
        <v>335</v>
      </c>
      <c r="M561" t="s">
        <v>692</v>
      </c>
      <c r="N561" s="6">
        <f t="shared" si="33"/>
        <v>45839</v>
      </c>
      <c r="O561" t="s">
        <v>692</v>
      </c>
      <c r="P561" t="str">
        <f t="shared" si="34"/>
        <v>July 2025</v>
      </c>
      <c r="Q561" t="s">
        <v>37</v>
      </c>
      <c r="R561" s="7">
        <v>12224.52</v>
      </c>
      <c r="S561" s="7">
        <f t="shared" si="35"/>
        <v>578777.4</v>
      </c>
    </row>
    <row r="562" spans="1:19" x14ac:dyDescent="0.3">
      <c r="A562" t="s">
        <v>998</v>
      </c>
      <c r="B562" s="5" t="s">
        <v>603</v>
      </c>
      <c r="C562" s="6">
        <f t="shared" si="32"/>
        <v>45717</v>
      </c>
      <c r="D562" t="s">
        <v>40</v>
      </c>
      <c r="E562" t="s">
        <v>32</v>
      </c>
      <c r="F562" t="s">
        <v>45</v>
      </c>
      <c r="G562" t="s">
        <v>24</v>
      </c>
      <c r="H562" t="s">
        <v>155</v>
      </c>
      <c r="I562">
        <v>2372</v>
      </c>
      <c r="J562" s="7">
        <v>816.12</v>
      </c>
      <c r="K562" s="7">
        <v>1935836.64</v>
      </c>
      <c r="L562">
        <v>688</v>
      </c>
      <c r="M562" t="s">
        <v>604</v>
      </c>
      <c r="N562" s="6">
        <f t="shared" si="33"/>
        <v>45717</v>
      </c>
      <c r="O562" t="s">
        <v>270</v>
      </c>
      <c r="P562" t="str">
        <f t="shared" si="34"/>
        <v>March 2025</v>
      </c>
      <c r="Q562" t="s">
        <v>28</v>
      </c>
      <c r="R562" s="7">
        <v>37119.660000000003</v>
      </c>
      <c r="S562" s="7">
        <f t="shared" si="35"/>
        <v>1972956.2999999998</v>
      </c>
    </row>
    <row r="563" spans="1:19" x14ac:dyDescent="0.3">
      <c r="A563" t="s">
        <v>999</v>
      </c>
      <c r="B563" s="5" t="s">
        <v>111</v>
      </c>
      <c r="C563" s="6">
        <f t="shared" si="32"/>
        <v>45992</v>
      </c>
      <c r="D563" t="s">
        <v>52</v>
      </c>
      <c r="E563" t="s">
        <v>53</v>
      </c>
      <c r="F563" t="s">
        <v>33</v>
      </c>
      <c r="G563" t="s">
        <v>118</v>
      </c>
      <c r="H563" t="s">
        <v>123</v>
      </c>
      <c r="I563">
        <v>2223</v>
      </c>
      <c r="J563" s="7">
        <v>538.30999999999995</v>
      </c>
      <c r="K563" s="7">
        <v>1196663.1299999999</v>
      </c>
      <c r="L563">
        <v>269</v>
      </c>
      <c r="M563" t="s">
        <v>117</v>
      </c>
      <c r="N563" s="6">
        <f t="shared" si="33"/>
        <v>45992</v>
      </c>
      <c r="O563" t="s">
        <v>117</v>
      </c>
      <c r="P563" t="str">
        <f t="shared" si="34"/>
        <v>December 2025</v>
      </c>
      <c r="Q563" t="s">
        <v>37</v>
      </c>
      <c r="R563" s="7">
        <v>16309.27</v>
      </c>
      <c r="S563" s="7">
        <f t="shared" si="35"/>
        <v>1212972.3999999999</v>
      </c>
    </row>
    <row r="564" spans="1:19" x14ac:dyDescent="0.3">
      <c r="A564" t="s">
        <v>1000</v>
      </c>
      <c r="B564" s="5" t="s">
        <v>692</v>
      </c>
      <c r="C564" s="6">
        <f t="shared" si="32"/>
        <v>45839</v>
      </c>
      <c r="D564" t="s">
        <v>52</v>
      </c>
      <c r="E564" t="s">
        <v>75</v>
      </c>
      <c r="F564" t="s">
        <v>45</v>
      </c>
      <c r="G564" t="s">
        <v>24</v>
      </c>
      <c r="H564" t="s">
        <v>61</v>
      </c>
      <c r="I564">
        <v>1453</v>
      </c>
      <c r="J564" s="7">
        <v>363.86</v>
      </c>
      <c r="K564" s="7">
        <v>528688.57999999996</v>
      </c>
      <c r="L564">
        <v>77</v>
      </c>
      <c r="M564" t="s">
        <v>599</v>
      </c>
      <c r="N564" s="6">
        <f t="shared" si="33"/>
        <v>45839</v>
      </c>
      <c r="O564" t="s">
        <v>599</v>
      </c>
      <c r="P564" t="str">
        <f t="shared" si="34"/>
        <v>July 2025</v>
      </c>
      <c r="Q564" t="s">
        <v>37</v>
      </c>
      <c r="R564" s="7">
        <v>4160.2299999999996</v>
      </c>
      <c r="S564" s="7">
        <f t="shared" si="35"/>
        <v>532848.80999999994</v>
      </c>
    </row>
    <row r="565" spans="1:19" x14ac:dyDescent="0.3">
      <c r="A565" t="s">
        <v>1001</v>
      </c>
      <c r="B565" s="5" t="s">
        <v>550</v>
      </c>
      <c r="C565" s="6">
        <f t="shared" si="32"/>
        <v>45901</v>
      </c>
      <c r="D565" t="s">
        <v>31</v>
      </c>
      <c r="E565" t="s">
        <v>22</v>
      </c>
      <c r="F565" t="s">
        <v>59</v>
      </c>
      <c r="G565" t="s">
        <v>66</v>
      </c>
      <c r="H565" t="s">
        <v>155</v>
      </c>
      <c r="I565">
        <v>1751</v>
      </c>
      <c r="J565" s="7">
        <v>262.07</v>
      </c>
      <c r="K565" s="7">
        <v>458884.57</v>
      </c>
      <c r="L565">
        <v>345</v>
      </c>
      <c r="M565" t="s">
        <v>551</v>
      </c>
      <c r="N565" s="6">
        <f t="shared" si="33"/>
        <v>45901</v>
      </c>
      <c r="O565" t="s">
        <v>551</v>
      </c>
      <c r="P565" t="str">
        <f t="shared" si="34"/>
        <v>September 2025</v>
      </c>
      <c r="Q565" t="s">
        <v>37</v>
      </c>
      <c r="R565" s="7">
        <v>18597.89</v>
      </c>
      <c r="S565" s="7">
        <f t="shared" si="35"/>
        <v>477482.46</v>
      </c>
    </row>
    <row r="566" spans="1:19" x14ac:dyDescent="0.3">
      <c r="A566" t="s">
        <v>1002</v>
      </c>
      <c r="B566" s="5" t="s">
        <v>540</v>
      </c>
      <c r="C566" s="6">
        <f t="shared" si="32"/>
        <v>45901</v>
      </c>
      <c r="D566" t="s">
        <v>109</v>
      </c>
      <c r="E566" t="s">
        <v>75</v>
      </c>
      <c r="F566" t="s">
        <v>33</v>
      </c>
      <c r="G566" t="s">
        <v>179</v>
      </c>
      <c r="H566" t="s">
        <v>35</v>
      </c>
      <c r="I566">
        <v>2059</v>
      </c>
      <c r="J566" s="7">
        <v>235.19</v>
      </c>
      <c r="K566" s="7">
        <v>484256.21</v>
      </c>
      <c r="L566">
        <v>311</v>
      </c>
      <c r="M566" t="s">
        <v>165</v>
      </c>
      <c r="N566" s="6">
        <f t="shared" si="33"/>
        <v>45901</v>
      </c>
      <c r="O566" t="s">
        <v>165</v>
      </c>
      <c r="P566" t="str">
        <f t="shared" si="34"/>
        <v>September 2025</v>
      </c>
      <c r="Q566" t="s">
        <v>37</v>
      </c>
      <c r="R566" s="7">
        <v>17281.509999999998</v>
      </c>
      <c r="S566" s="7">
        <f t="shared" si="35"/>
        <v>501537.72000000003</v>
      </c>
    </row>
    <row r="567" spans="1:19" x14ac:dyDescent="0.3">
      <c r="A567" t="s">
        <v>1003</v>
      </c>
      <c r="B567" s="5" t="s">
        <v>274</v>
      </c>
      <c r="C567" s="6">
        <f t="shared" si="32"/>
        <v>45717</v>
      </c>
      <c r="D567" t="s">
        <v>65</v>
      </c>
      <c r="E567" t="s">
        <v>70</v>
      </c>
      <c r="F567" t="s">
        <v>33</v>
      </c>
      <c r="G567" t="s">
        <v>88</v>
      </c>
      <c r="H567" t="s">
        <v>47</v>
      </c>
      <c r="I567">
        <v>1994</v>
      </c>
      <c r="J567" s="7">
        <v>708.83</v>
      </c>
      <c r="K567" s="7">
        <v>1413407.02</v>
      </c>
      <c r="L567">
        <v>134</v>
      </c>
      <c r="M567" t="s">
        <v>275</v>
      </c>
      <c r="N567" s="6">
        <f t="shared" si="33"/>
        <v>45717</v>
      </c>
      <c r="O567" t="s">
        <v>275</v>
      </c>
      <c r="P567" t="str">
        <f t="shared" si="34"/>
        <v>March 2025</v>
      </c>
      <c r="Q567" t="s">
        <v>37</v>
      </c>
      <c r="R567" s="7">
        <v>8277.2000000000007</v>
      </c>
      <c r="S567" s="7">
        <f t="shared" si="35"/>
        <v>1421684.22</v>
      </c>
    </row>
    <row r="568" spans="1:19" x14ac:dyDescent="0.3">
      <c r="A568" t="s">
        <v>1004</v>
      </c>
      <c r="B568" s="5" t="s">
        <v>42</v>
      </c>
      <c r="C568" s="6">
        <f t="shared" si="32"/>
        <v>45962</v>
      </c>
      <c r="D568" t="s">
        <v>40</v>
      </c>
      <c r="E568" t="s">
        <v>75</v>
      </c>
      <c r="F568" t="s">
        <v>59</v>
      </c>
      <c r="G568" t="s">
        <v>190</v>
      </c>
      <c r="H568" t="s">
        <v>25</v>
      </c>
      <c r="I568">
        <v>1653</v>
      </c>
      <c r="J568" s="7">
        <v>844.6</v>
      </c>
      <c r="K568" s="7">
        <v>1396123.8</v>
      </c>
      <c r="L568">
        <v>349</v>
      </c>
      <c r="M568" t="s">
        <v>631</v>
      </c>
      <c r="N568" s="6">
        <f t="shared" si="33"/>
        <v>45962</v>
      </c>
      <c r="O568" t="s">
        <v>563</v>
      </c>
      <c r="P568" t="str">
        <f t="shared" si="34"/>
        <v>December 2025</v>
      </c>
      <c r="Q568" t="s">
        <v>28</v>
      </c>
      <c r="R568" s="7">
        <v>15681.32</v>
      </c>
      <c r="S568" s="7">
        <f t="shared" si="35"/>
        <v>1411805.12</v>
      </c>
    </row>
    <row r="569" spans="1:19" x14ac:dyDescent="0.3">
      <c r="A569" t="s">
        <v>1005</v>
      </c>
      <c r="B569" s="5" t="s">
        <v>701</v>
      </c>
      <c r="C569" s="6">
        <f t="shared" si="32"/>
        <v>45809</v>
      </c>
      <c r="D569" t="s">
        <v>109</v>
      </c>
      <c r="E569" t="s">
        <v>70</v>
      </c>
      <c r="F569" t="s">
        <v>59</v>
      </c>
      <c r="G569" t="s">
        <v>82</v>
      </c>
      <c r="H569" t="str">
        <f xml:space="preserve"> "Not Found"</f>
        <v>Not Found</v>
      </c>
      <c r="I569">
        <v>1600</v>
      </c>
      <c r="J569" s="7">
        <v>482.51</v>
      </c>
      <c r="K569" s="7">
        <v>772016</v>
      </c>
      <c r="L569">
        <v>389</v>
      </c>
      <c r="M569" t="s">
        <v>293</v>
      </c>
      <c r="N569" s="6">
        <f t="shared" si="33"/>
        <v>45809</v>
      </c>
      <c r="O569" t="s">
        <v>113</v>
      </c>
      <c r="P569" t="str">
        <f t="shared" si="34"/>
        <v>June 2025</v>
      </c>
      <c r="Q569" t="s">
        <v>28</v>
      </c>
      <c r="R569" s="7">
        <v>17832.7</v>
      </c>
      <c r="S569" s="7">
        <f t="shared" si="35"/>
        <v>789848.7</v>
      </c>
    </row>
    <row r="570" spans="1:19" x14ac:dyDescent="0.3">
      <c r="A570" t="s">
        <v>1006</v>
      </c>
      <c r="B570" s="5" t="s">
        <v>223</v>
      </c>
      <c r="C570" s="6">
        <f t="shared" si="32"/>
        <v>45778</v>
      </c>
      <c r="D570" t="s">
        <v>31</v>
      </c>
      <c r="E570" t="s">
        <v>70</v>
      </c>
      <c r="F570" t="s">
        <v>23</v>
      </c>
      <c r="G570" t="s">
        <v>163</v>
      </c>
      <c r="H570" t="s">
        <v>35</v>
      </c>
      <c r="I570">
        <v>1197</v>
      </c>
      <c r="J570" s="7">
        <v>496.95</v>
      </c>
      <c r="K570" s="7">
        <v>594849.15</v>
      </c>
      <c r="L570">
        <v>205</v>
      </c>
      <c r="M570" t="s">
        <v>336</v>
      </c>
      <c r="N570" s="6">
        <f t="shared" si="33"/>
        <v>45778</v>
      </c>
      <c r="O570" t="s">
        <v>570</v>
      </c>
      <c r="P570" t="str">
        <f t="shared" si="34"/>
        <v>May 2025</v>
      </c>
      <c r="Q570" t="s">
        <v>28</v>
      </c>
      <c r="R570" s="7">
        <v>12560.03</v>
      </c>
      <c r="S570" s="7">
        <f t="shared" si="35"/>
        <v>607409.18000000005</v>
      </c>
    </row>
    <row r="571" spans="1:19" x14ac:dyDescent="0.3">
      <c r="A571" t="s">
        <v>1007</v>
      </c>
      <c r="B571" s="5" t="s">
        <v>1008</v>
      </c>
      <c r="C571" s="6">
        <f t="shared" si="32"/>
        <v>45778</v>
      </c>
      <c r="D571" t="s">
        <v>21</v>
      </c>
      <c r="E571" t="s">
        <v>22</v>
      </c>
      <c r="F571" t="s">
        <v>59</v>
      </c>
      <c r="G571" t="s">
        <v>265</v>
      </c>
      <c r="H571" t="s">
        <v>25</v>
      </c>
      <c r="I571">
        <v>2493</v>
      </c>
      <c r="J571" s="7">
        <v>617.67999999999995</v>
      </c>
      <c r="K571" s="7">
        <v>1539876.24</v>
      </c>
      <c r="L571">
        <v>412</v>
      </c>
      <c r="M571" t="s">
        <v>511</v>
      </c>
      <c r="N571" s="6">
        <f t="shared" si="33"/>
        <v>45778</v>
      </c>
      <c r="O571" t="s">
        <v>920</v>
      </c>
      <c r="P571" t="str">
        <f t="shared" si="34"/>
        <v>May 2025</v>
      </c>
      <c r="Q571" t="s">
        <v>37</v>
      </c>
      <c r="R571" s="7">
        <v>23701.91</v>
      </c>
      <c r="S571" s="7">
        <f t="shared" si="35"/>
        <v>1563578.15</v>
      </c>
    </row>
    <row r="572" spans="1:19" x14ac:dyDescent="0.3">
      <c r="A572" t="s">
        <v>1009</v>
      </c>
      <c r="B572" s="5" t="s">
        <v>482</v>
      </c>
      <c r="C572" s="6">
        <f t="shared" si="32"/>
        <v>45901</v>
      </c>
      <c r="D572" t="s">
        <v>128</v>
      </c>
      <c r="E572" t="s">
        <v>22</v>
      </c>
      <c r="F572" t="s">
        <v>23</v>
      </c>
      <c r="G572" t="s">
        <v>163</v>
      </c>
      <c r="H572" t="s">
        <v>55</v>
      </c>
      <c r="I572">
        <v>1268</v>
      </c>
      <c r="J572" s="7">
        <v>620.6</v>
      </c>
      <c r="K572" s="7">
        <v>786920.8</v>
      </c>
      <c r="L572">
        <v>482</v>
      </c>
      <c r="M572" t="s">
        <v>447</v>
      </c>
      <c r="N572" s="6">
        <f t="shared" si="33"/>
        <v>45931</v>
      </c>
      <c r="O572" t="s">
        <v>154</v>
      </c>
      <c r="P572" t="str">
        <f t="shared" si="34"/>
        <v>September 2025</v>
      </c>
      <c r="Q572" t="s">
        <v>37</v>
      </c>
      <c r="R572" s="7">
        <v>22385.200000000001</v>
      </c>
      <c r="S572" s="7">
        <f t="shared" si="35"/>
        <v>809306</v>
      </c>
    </row>
    <row r="573" spans="1:19" x14ac:dyDescent="0.3">
      <c r="A573" t="s">
        <v>1010</v>
      </c>
      <c r="B573" s="5" t="s">
        <v>338</v>
      </c>
      <c r="C573" s="6">
        <f t="shared" si="32"/>
        <v>45839</v>
      </c>
      <c r="D573" t="s">
        <v>52</v>
      </c>
      <c r="E573" t="s">
        <v>22</v>
      </c>
      <c r="F573" t="s">
        <v>59</v>
      </c>
      <c r="G573" t="s">
        <v>97</v>
      </c>
      <c r="H573" t="s">
        <v>25</v>
      </c>
      <c r="I573">
        <v>1050</v>
      </c>
      <c r="J573" s="7">
        <v>237.2</v>
      </c>
      <c r="K573" s="7">
        <v>249060</v>
      </c>
      <c r="L573">
        <v>292</v>
      </c>
      <c r="M573" t="s">
        <v>147</v>
      </c>
      <c r="N573" s="6">
        <f t="shared" si="33"/>
        <v>45839</v>
      </c>
      <c r="O573" t="s">
        <v>147</v>
      </c>
      <c r="P573" t="str">
        <f t="shared" si="34"/>
        <v>July 2025</v>
      </c>
      <c r="Q573" t="s">
        <v>37</v>
      </c>
      <c r="R573" s="7">
        <v>16765.71</v>
      </c>
      <c r="S573" s="7">
        <f t="shared" si="35"/>
        <v>265825.71000000002</v>
      </c>
    </row>
    <row r="574" spans="1:19" x14ac:dyDescent="0.3">
      <c r="A574" t="s">
        <v>1011</v>
      </c>
      <c r="B574" s="5" t="s">
        <v>591</v>
      </c>
      <c r="C574" s="6">
        <f t="shared" si="32"/>
        <v>45717</v>
      </c>
      <c r="D574" t="s">
        <v>128</v>
      </c>
      <c r="E574" t="s">
        <v>143</v>
      </c>
      <c r="F574" t="s">
        <v>33</v>
      </c>
      <c r="G574" t="s">
        <v>227</v>
      </c>
      <c r="H574" t="s">
        <v>25</v>
      </c>
      <c r="I574">
        <v>323</v>
      </c>
      <c r="J574" s="7">
        <v>538.89</v>
      </c>
      <c r="K574" s="7">
        <v>174061.47</v>
      </c>
      <c r="L574">
        <v>691</v>
      </c>
      <c r="M574" t="s">
        <v>437</v>
      </c>
      <c r="N574" s="6">
        <f t="shared" si="33"/>
        <v>45717</v>
      </c>
      <c r="O574" t="s">
        <v>836</v>
      </c>
      <c r="P574" t="str">
        <f t="shared" si="34"/>
        <v>March 2025</v>
      </c>
      <c r="Q574" t="s">
        <v>28</v>
      </c>
      <c r="R574" s="7">
        <v>36168.35</v>
      </c>
      <c r="S574" s="7">
        <f t="shared" si="35"/>
        <v>210229.82</v>
      </c>
    </row>
    <row r="575" spans="1:19" x14ac:dyDescent="0.3">
      <c r="A575" t="s">
        <v>1012</v>
      </c>
      <c r="B575" s="5" t="s">
        <v>560</v>
      </c>
      <c r="C575" s="6">
        <f t="shared" si="32"/>
        <v>45658</v>
      </c>
      <c r="D575" t="s">
        <v>31</v>
      </c>
      <c r="E575" t="s">
        <v>32</v>
      </c>
      <c r="F575" t="s">
        <v>33</v>
      </c>
      <c r="G575" t="s">
        <v>97</v>
      </c>
      <c r="H575" t="s">
        <v>123</v>
      </c>
      <c r="I575">
        <v>1097</v>
      </c>
      <c r="J575" s="7">
        <v>480.6</v>
      </c>
      <c r="K575" s="7">
        <v>527218.19999999995</v>
      </c>
      <c r="L575">
        <v>152</v>
      </c>
      <c r="M575" t="s">
        <v>320</v>
      </c>
      <c r="N575" s="6">
        <f t="shared" si="33"/>
        <v>45658</v>
      </c>
      <c r="O575" t="s">
        <v>320</v>
      </c>
      <c r="P575" t="str">
        <f t="shared" si="34"/>
        <v>January 2025</v>
      </c>
      <c r="Q575" t="s">
        <v>37</v>
      </c>
      <c r="R575" s="7">
        <v>8053.8</v>
      </c>
      <c r="S575" s="7">
        <f t="shared" si="35"/>
        <v>535272</v>
      </c>
    </row>
    <row r="576" spans="1:19" x14ac:dyDescent="0.3">
      <c r="A576" t="s">
        <v>1013</v>
      </c>
      <c r="B576" s="5" t="s">
        <v>193</v>
      </c>
      <c r="C576" s="6">
        <f t="shared" si="32"/>
        <v>45658</v>
      </c>
      <c r="D576" t="s">
        <v>96</v>
      </c>
      <c r="E576" t="s">
        <v>22</v>
      </c>
      <c r="F576" t="s">
        <v>23</v>
      </c>
      <c r="G576" t="s">
        <v>97</v>
      </c>
      <c r="H576" t="s">
        <v>77</v>
      </c>
      <c r="I576">
        <v>1115</v>
      </c>
      <c r="J576" s="7">
        <v>711.34</v>
      </c>
      <c r="K576" s="7">
        <v>793144.1</v>
      </c>
      <c r="L576">
        <v>528</v>
      </c>
      <c r="M576" t="s">
        <v>798</v>
      </c>
      <c r="N576" s="6">
        <f t="shared" si="33"/>
        <v>45658</v>
      </c>
      <c r="O576" t="s">
        <v>798</v>
      </c>
      <c r="P576" t="str">
        <f t="shared" si="34"/>
        <v>January 2025</v>
      </c>
      <c r="Q576" t="s">
        <v>37</v>
      </c>
      <c r="R576" s="7">
        <v>19125.59</v>
      </c>
      <c r="S576" s="7">
        <f t="shared" si="35"/>
        <v>812269.69</v>
      </c>
    </row>
    <row r="577" spans="1:19" x14ac:dyDescent="0.3">
      <c r="A577" t="s">
        <v>1014</v>
      </c>
      <c r="B577" s="5" t="s">
        <v>215</v>
      </c>
      <c r="C577" s="6">
        <f t="shared" si="32"/>
        <v>45658</v>
      </c>
      <c r="D577" t="s">
        <v>40</v>
      </c>
      <c r="E577" t="s">
        <v>32</v>
      </c>
      <c r="F577" t="s">
        <v>59</v>
      </c>
      <c r="G577" t="s">
        <v>60</v>
      </c>
      <c r="H577" t="s">
        <v>25</v>
      </c>
      <c r="I577">
        <v>1373</v>
      </c>
      <c r="J577" s="7">
        <v>755.4</v>
      </c>
      <c r="K577" s="7">
        <v>1037164.2</v>
      </c>
      <c r="L577">
        <v>545</v>
      </c>
      <c r="M577" t="s">
        <v>560</v>
      </c>
      <c r="N577" s="6">
        <f t="shared" si="33"/>
        <v>45658</v>
      </c>
      <c r="O577" t="s">
        <v>560</v>
      </c>
      <c r="P577" t="str">
        <f t="shared" si="34"/>
        <v>January 2025</v>
      </c>
      <c r="Q577" t="s">
        <v>37</v>
      </c>
      <c r="R577" s="7">
        <v>31781.17</v>
      </c>
      <c r="S577" s="7">
        <f t="shared" si="35"/>
        <v>1068945.3699999999</v>
      </c>
    </row>
    <row r="578" spans="1:19" x14ac:dyDescent="0.3">
      <c r="A578" t="s">
        <v>1015</v>
      </c>
      <c r="B578" s="5" t="s">
        <v>690</v>
      </c>
      <c r="C578" s="6">
        <f t="shared" si="32"/>
        <v>45748</v>
      </c>
      <c r="D578" t="s">
        <v>65</v>
      </c>
      <c r="E578" t="s">
        <v>75</v>
      </c>
      <c r="F578" t="s">
        <v>59</v>
      </c>
      <c r="G578" t="s">
        <v>384</v>
      </c>
      <c r="H578" t="s">
        <v>25</v>
      </c>
      <c r="I578">
        <v>189</v>
      </c>
      <c r="J578" s="7">
        <v>386.34</v>
      </c>
      <c r="K578" s="7">
        <v>73018.259999999995</v>
      </c>
      <c r="L578">
        <v>577</v>
      </c>
      <c r="M578" t="s">
        <v>891</v>
      </c>
      <c r="N578" s="6">
        <f t="shared" si="33"/>
        <v>45748</v>
      </c>
      <c r="O578" t="s">
        <v>298</v>
      </c>
      <c r="P578" t="str">
        <f t="shared" si="34"/>
        <v>April 2025</v>
      </c>
      <c r="Q578" t="s">
        <v>37</v>
      </c>
      <c r="R578" s="7">
        <v>24338.23</v>
      </c>
      <c r="S578" s="7">
        <f t="shared" si="35"/>
        <v>97356.489999999991</v>
      </c>
    </row>
    <row r="579" spans="1:19" x14ac:dyDescent="0.3">
      <c r="A579" t="s">
        <v>1016</v>
      </c>
      <c r="B579" s="5" t="s">
        <v>333</v>
      </c>
      <c r="C579" s="6">
        <f t="shared" ref="C579:C642" si="36">DATE(YEAR(B579), MONTH(B579), 1)</f>
        <v>45992</v>
      </c>
      <c r="D579" t="s">
        <v>21</v>
      </c>
      <c r="E579" t="s">
        <v>70</v>
      </c>
      <c r="F579" t="s">
        <v>45</v>
      </c>
      <c r="G579" t="s">
        <v>110</v>
      </c>
      <c r="H579" t="s">
        <v>55</v>
      </c>
      <c r="I579">
        <v>1520</v>
      </c>
      <c r="J579" s="7">
        <v>174.99</v>
      </c>
      <c r="K579" s="7">
        <v>265984.8</v>
      </c>
      <c r="L579">
        <v>567</v>
      </c>
      <c r="M579" t="s">
        <v>545</v>
      </c>
      <c r="N579" s="6">
        <f t="shared" ref="N579:N642" si="37">DATE(YEAR(M579), MONTH(M579),1)</f>
        <v>45992</v>
      </c>
      <c r="O579" t="s">
        <v>545</v>
      </c>
      <c r="P579" t="str">
        <f t="shared" ref="P579:P642" si="38">TEXT(O579, "mmmm yyyy")</f>
        <v>December 2025</v>
      </c>
      <c r="Q579" t="s">
        <v>37</v>
      </c>
      <c r="R579" s="7">
        <v>23533.33</v>
      </c>
      <c r="S579" s="7">
        <f t="shared" ref="S579:S642" si="39">K579 +R579</f>
        <v>289518.13</v>
      </c>
    </row>
    <row r="580" spans="1:19" x14ac:dyDescent="0.3">
      <c r="A580" t="s">
        <v>1017</v>
      </c>
      <c r="B580" s="5" t="s">
        <v>896</v>
      </c>
      <c r="C580" s="6">
        <f t="shared" si="36"/>
        <v>45658</v>
      </c>
      <c r="D580" t="s">
        <v>65</v>
      </c>
      <c r="E580" t="s">
        <v>53</v>
      </c>
      <c r="F580" t="s">
        <v>59</v>
      </c>
      <c r="G580" t="s">
        <v>46</v>
      </c>
      <c r="H580" t="s">
        <v>155</v>
      </c>
      <c r="I580">
        <v>2067</v>
      </c>
      <c r="J580" s="7">
        <v>384.16</v>
      </c>
      <c r="K580" s="7">
        <v>794058.72</v>
      </c>
      <c r="L580">
        <v>404</v>
      </c>
      <c r="M580" t="s">
        <v>848</v>
      </c>
      <c r="N580" s="6">
        <f t="shared" si="37"/>
        <v>45658</v>
      </c>
      <c r="O580" t="s">
        <v>897</v>
      </c>
      <c r="P580" t="str">
        <f t="shared" si="38"/>
        <v>January 2025</v>
      </c>
      <c r="Q580" t="s">
        <v>37</v>
      </c>
      <c r="R580" s="7">
        <v>18945.04</v>
      </c>
      <c r="S580" s="7">
        <f t="shared" si="39"/>
        <v>813003.76</v>
      </c>
    </row>
    <row r="581" spans="1:19" x14ac:dyDescent="0.3">
      <c r="A581" t="s">
        <v>1018</v>
      </c>
      <c r="B581" s="5" t="s">
        <v>513</v>
      </c>
      <c r="C581" s="6">
        <f t="shared" si="36"/>
        <v>45839</v>
      </c>
      <c r="D581" t="s">
        <v>31</v>
      </c>
      <c r="E581" t="s">
        <v>70</v>
      </c>
      <c r="F581" t="s">
        <v>33</v>
      </c>
      <c r="G581" t="s">
        <v>66</v>
      </c>
      <c r="H581" t="s">
        <v>91</v>
      </c>
      <c r="I581">
        <v>1294</v>
      </c>
      <c r="J581" s="7">
        <v>436.46</v>
      </c>
      <c r="K581" s="7">
        <v>564779.24</v>
      </c>
      <c r="L581">
        <v>430</v>
      </c>
      <c r="M581" t="s">
        <v>99</v>
      </c>
      <c r="N581" s="6">
        <f t="shared" si="37"/>
        <v>45839</v>
      </c>
      <c r="O581" t="s">
        <v>101</v>
      </c>
      <c r="P581" t="str">
        <f t="shared" si="38"/>
        <v>July 2025</v>
      </c>
      <c r="Q581" t="s">
        <v>28</v>
      </c>
      <c r="R581" s="7">
        <v>21816.1</v>
      </c>
      <c r="S581" s="7">
        <f t="shared" si="39"/>
        <v>586595.34</v>
      </c>
    </row>
    <row r="582" spans="1:19" x14ac:dyDescent="0.3">
      <c r="A582" t="s">
        <v>1019</v>
      </c>
      <c r="B582" s="5" t="s">
        <v>1020</v>
      </c>
      <c r="C582" s="6">
        <f t="shared" si="36"/>
        <v>45658</v>
      </c>
      <c r="D582" t="s">
        <v>96</v>
      </c>
      <c r="E582" t="s">
        <v>143</v>
      </c>
      <c r="F582" t="s">
        <v>23</v>
      </c>
      <c r="G582" t="s">
        <v>110</v>
      </c>
      <c r="H582" t="s">
        <v>55</v>
      </c>
      <c r="I582">
        <v>1377</v>
      </c>
      <c r="J582" s="7">
        <v>596.15</v>
      </c>
      <c r="K582" s="7">
        <v>820898.55</v>
      </c>
      <c r="L582">
        <v>18</v>
      </c>
      <c r="M582" t="s">
        <v>193</v>
      </c>
      <c r="N582" s="6">
        <f t="shared" si="37"/>
        <v>45658</v>
      </c>
      <c r="O582" t="s">
        <v>194</v>
      </c>
      <c r="P582" t="str">
        <f t="shared" si="38"/>
        <v>January 2025</v>
      </c>
      <c r="Q582" t="s">
        <v>28</v>
      </c>
      <c r="R582" s="7">
        <v>759.87</v>
      </c>
      <c r="S582" s="7">
        <f t="shared" si="39"/>
        <v>821658.42</v>
      </c>
    </row>
    <row r="583" spans="1:19" x14ac:dyDescent="0.3">
      <c r="A583" t="s">
        <v>1021</v>
      </c>
      <c r="B583" s="5" t="s">
        <v>51</v>
      </c>
      <c r="C583" s="6">
        <f t="shared" si="36"/>
        <v>45717</v>
      </c>
      <c r="D583" t="s">
        <v>31</v>
      </c>
      <c r="E583" t="s">
        <v>75</v>
      </c>
      <c r="F583" t="s">
        <v>59</v>
      </c>
      <c r="G583" t="s">
        <v>384</v>
      </c>
      <c r="H583" t="s">
        <v>35</v>
      </c>
      <c r="I583">
        <v>2262</v>
      </c>
      <c r="J583" s="7">
        <v>770.67</v>
      </c>
      <c r="K583" s="7">
        <v>1743255.54</v>
      </c>
      <c r="L583">
        <v>665</v>
      </c>
      <c r="M583" t="s">
        <v>274</v>
      </c>
      <c r="N583" s="6">
        <f t="shared" si="37"/>
        <v>45717</v>
      </c>
      <c r="O583" t="s">
        <v>56</v>
      </c>
      <c r="P583" t="str">
        <f t="shared" si="38"/>
        <v>March 2025</v>
      </c>
      <c r="Q583" t="s">
        <v>37</v>
      </c>
      <c r="R583" s="7">
        <v>23777.5</v>
      </c>
      <c r="S583" s="7">
        <f t="shared" si="39"/>
        <v>1767033.04</v>
      </c>
    </row>
    <row r="584" spans="1:19" x14ac:dyDescent="0.3">
      <c r="A584" t="s">
        <v>1022</v>
      </c>
      <c r="B584" s="5" t="s">
        <v>261</v>
      </c>
      <c r="C584" s="6">
        <f t="shared" si="36"/>
        <v>45748</v>
      </c>
      <c r="D584" t="s">
        <v>40</v>
      </c>
      <c r="E584" t="s">
        <v>53</v>
      </c>
      <c r="F584" t="s">
        <v>23</v>
      </c>
      <c r="G584" t="s">
        <v>71</v>
      </c>
      <c r="H584" t="s">
        <v>155</v>
      </c>
      <c r="I584">
        <v>902</v>
      </c>
      <c r="J584" s="7">
        <v>528.45000000000005</v>
      </c>
      <c r="K584" s="7">
        <v>476661.9</v>
      </c>
      <c r="L584">
        <v>606</v>
      </c>
      <c r="M584" t="s">
        <v>659</v>
      </c>
      <c r="N584" s="6">
        <f t="shared" si="37"/>
        <v>45748</v>
      </c>
      <c r="O584" t="s">
        <v>659</v>
      </c>
      <c r="P584" t="str">
        <f t="shared" si="38"/>
        <v>April 2025</v>
      </c>
      <c r="Q584" t="s">
        <v>37</v>
      </c>
      <c r="R584" s="7">
        <v>25811.21</v>
      </c>
      <c r="S584" s="7">
        <f t="shared" si="39"/>
        <v>502473.11000000004</v>
      </c>
    </row>
    <row r="585" spans="1:19" x14ac:dyDescent="0.3">
      <c r="A585" t="s">
        <v>1023</v>
      </c>
      <c r="B585" s="5" t="s">
        <v>589</v>
      </c>
      <c r="C585" s="6">
        <f t="shared" si="36"/>
        <v>45809</v>
      </c>
      <c r="D585" t="s">
        <v>109</v>
      </c>
      <c r="E585" t="s">
        <v>70</v>
      </c>
      <c r="F585" t="s">
        <v>59</v>
      </c>
      <c r="G585" t="s">
        <v>159</v>
      </c>
      <c r="H585" t="s">
        <v>61</v>
      </c>
      <c r="I585">
        <v>1605</v>
      </c>
      <c r="J585" s="7">
        <v>48.3</v>
      </c>
      <c r="K585" s="7">
        <v>77521.5</v>
      </c>
      <c r="L585">
        <v>605</v>
      </c>
      <c r="M585" t="s">
        <v>526</v>
      </c>
      <c r="N585" s="6">
        <f t="shared" si="37"/>
        <v>45809</v>
      </c>
      <c r="O585" t="s">
        <v>331</v>
      </c>
      <c r="P585" t="str">
        <f t="shared" si="38"/>
        <v>June 2025</v>
      </c>
      <c r="Q585" t="s">
        <v>28</v>
      </c>
      <c r="R585" s="7">
        <v>32469.31</v>
      </c>
      <c r="S585" s="7">
        <f t="shared" si="39"/>
        <v>109990.81</v>
      </c>
    </row>
    <row r="586" spans="1:19" x14ac:dyDescent="0.3">
      <c r="A586" t="s">
        <v>1024</v>
      </c>
      <c r="B586" s="5" t="s">
        <v>113</v>
      </c>
      <c r="C586" s="6">
        <f t="shared" si="36"/>
        <v>45809</v>
      </c>
      <c r="D586" t="s">
        <v>96</v>
      </c>
      <c r="E586" t="s">
        <v>143</v>
      </c>
      <c r="F586" t="s">
        <v>45</v>
      </c>
      <c r="G586" t="s">
        <v>110</v>
      </c>
      <c r="H586" t="s">
        <v>132</v>
      </c>
      <c r="I586">
        <v>177</v>
      </c>
      <c r="J586" s="7">
        <v>124.2</v>
      </c>
      <c r="K586" s="7">
        <v>21983.4</v>
      </c>
      <c r="L586">
        <v>571</v>
      </c>
      <c r="M586" t="s">
        <v>115</v>
      </c>
      <c r="N586" s="6">
        <f t="shared" si="37"/>
        <v>45809</v>
      </c>
      <c r="O586" t="s">
        <v>197</v>
      </c>
      <c r="P586" t="str">
        <f t="shared" si="38"/>
        <v>June 2025</v>
      </c>
      <c r="Q586" t="s">
        <v>28</v>
      </c>
      <c r="R586" s="7">
        <v>26577.4</v>
      </c>
      <c r="S586" s="7">
        <f t="shared" si="39"/>
        <v>48560.800000000003</v>
      </c>
    </row>
    <row r="587" spans="1:19" x14ac:dyDescent="0.3">
      <c r="A587" t="s">
        <v>1025</v>
      </c>
      <c r="B587" s="5" t="s">
        <v>445</v>
      </c>
      <c r="C587" s="6">
        <f t="shared" si="36"/>
        <v>45809</v>
      </c>
      <c r="D587" t="s">
        <v>40</v>
      </c>
      <c r="E587" t="s">
        <v>32</v>
      </c>
      <c r="F587" t="s">
        <v>45</v>
      </c>
      <c r="G587" t="s">
        <v>97</v>
      </c>
      <c r="H587" t="s">
        <v>61</v>
      </c>
      <c r="I587">
        <v>541</v>
      </c>
      <c r="J587" s="7">
        <v>791.96</v>
      </c>
      <c r="K587" s="7">
        <v>428450.36</v>
      </c>
      <c r="L587">
        <v>482</v>
      </c>
      <c r="M587" t="s">
        <v>741</v>
      </c>
      <c r="N587" s="6">
        <f t="shared" si="37"/>
        <v>45809</v>
      </c>
      <c r="O587" t="s">
        <v>704</v>
      </c>
      <c r="P587" t="str">
        <f t="shared" si="38"/>
        <v>June 2025</v>
      </c>
      <c r="Q587" t="s">
        <v>28</v>
      </c>
      <c r="R587" s="7">
        <v>20704.650000000001</v>
      </c>
      <c r="S587" s="7">
        <f t="shared" si="39"/>
        <v>449155.01</v>
      </c>
    </row>
    <row r="588" spans="1:19" x14ac:dyDescent="0.3">
      <c r="A588" t="s">
        <v>1026</v>
      </c>
      <c r="B588" s="5" t="s">
        <v>217</v>
      </c>
      <c r="C588" s="6">
        <f t="shared" si="36"/>
        <v>45809</v>
      </c>
      <c r="D588" t="s">
        <v>31</v>
      </c>
      <c r="E588" t="s">
        <v>75</v>
      </c>
      <c r="F588" t="s">
        <v>59</v>
      </c>
      <c r="G588" t="s">
        <v>34</v>
      </c>
      <c r="H588" t="s">
        <v>77</v>
      </c>
      <c r="I588">
        <v>1287</v>
      </c>
      <c r="J588" s="7">
        <v>235.66</v>
      </c>
      <c r="K588" s="7">
        <v>303294.42</v>
      </c>
      <c r="L588">
        <v>195</v>
      </c>
      <c r="M588" t="s">
        <v>280</v>
      </c>
      <c r="N588" s="6">
        <f t="shared" si="37"/>
        <v>45809</v>
      </c>
      <c r="O588" t="s">
        <v>701</v>
      </c>
      <c r="P588" t="str">
        <f t="shared" si="38"/>
        <v>June 2025</v>
      </c>
      <c r="Q588" t="s">
        <v>28</v>
      </c>
      <c r="R588" s="7">
        <v>11282.42</v>
      </c>
      <c r="S588" s="7">
        <f t="shared" si="39"/>
        <v>314576.83999999997</v>
      </c>
    </row>
    <row r="589" spans="1:19" x14ac:dyDescent="0.3">
      <c r="A589" t="s">
        <v>1027</v>
      </c>
      <c r="B589" s="5" t="s">
        <v>212</v>
      </c>
      <c r="C589" s="6">
        <f t="shared" si="36"/>
        <v>45901</v>
      </c>
      <c r="D589" t="s">
        <v>109</v>
      </c>
      <c r="E589" t="s">
        <v>70</v>
      </c>
      <c r="F589" t="s">
        <v>23</v>
      </c>
      <c r="G589" t="s">
        <v>202</v>
      </c>
      <c r="H589" t="s">
        <v>155</v>
      </c>
      <c r="I589">
        <v>1375</v>
      </c>
      <c r="J589" s="7">
        <v>249.38</v>
      </c>
      <c r="K589" s="7">
        <v>342897.5</v>
      </c>
      <c r="L589">
        <v>270</v>
      </c>
      <c r="M589" t="s">
        <v>162</v>
      </c>
      <c r="N589" s="6">
        <f t="shared" si="37"/>
        <v>45901</v>
      </c>
      <c r="O589" t="s">
        <v>162</v>
      </c>
      <c r="P589" t="str">
        <f t="shared" si="38"/>
        <v>September 2025</v>
      </c>
      <c r="Q589" t="s">
        <v>37</v>
      </c>
      <c r="R589" s="7">
        <v>12456.61</v>
      </c>
      <c r="S589" s="7">
        <f t="shared" si="39"/>
        <v>355354.11</v>
      </c>
    </row>
    <row r="590" spans="1:19" x14ac:dyDescent="0.3">
      <c r="A590" t="s">
        <v>1028</v>
      </c>
      <c r="B590" s="5" t="s">
        <v>423</v>
      </c>
      <c r="C590" s="6">
        <f t="shared" si="36"/>
        <v>45962</v>
      </c>
      <c r="D590" t="s">
        <v>40</v>
      </c>
      <c r="E590" t="s">
        <v>75</v>
      </c>
      <c r="F590" t="s">
        <v>45</v>
      </c>
      <c r="G590" t="s">
        <v>202</v>
      </c>
      <c r="H590" t="s">
        <v>61</v>
      </c>
      <c r="I590">
        <v>1605</v>
      </c>
      <c r="J590" s="7">
        <v>673.71</v>
      </c>
      <c r="K590" s="7">
        <v>1081304.55</v>
      </c>
      <c r="L590">
        <v>54</v>
      </c>
      <c r="M590" t="s">
        <v>106</v>
      </c>
      <c r="N590" s="6">
        <f t="shared" si="37"/>
        <v>45962</v>
      </c>
      <c r="O590" t="s">
        <v>106</v>
      </c>
      <c r="P590" t="str">
        <f t="shared" si="38"/>
        <v>November 2025</v>
      </c>
      <c r="Q590" t="s">
        <v>37</v>
      </c>
      <c r="R590" s="7">
        <v>0</v>
      </c>
      <c r="S590" s="7">
        <f t="shared" si="39"/>
        <v>1081304.55</v>
      </c>
    </row>
    <row r="591" spans="1:19" x14ac:dyDescent="0.3">
      <c r="A591" t="s">
        <v>1029</v>
      </c>
      <c r="B591" s="5" t="s">
        <v>125</v>
      </c>
      <c r="C591" s="6">
        <f t="shared" si="36"/>
        <v>45992</v>
      </c>
      <c r="D591" t="s">
        <v>109</v>
      </c>
      <c r="E591" t="s">
        <v>143</v>
      </c>
      <c r="F591" t="s">
        <v>33</v>
      </c>
      <c r="G591" t="s">
        <v>494</v>
      </c>
      <c r="H591" t="s">
        <v>155</v>
      </c>
      <c r="I591">
        <v>528</v>
      </c>
      <c r="J591" s="7">
        <v>732.57</v>
      </c>
      <c r="K591" s="7">
        <v>386796.96</v>
      </c>
      <c r="L591">
        <v>636</v>
      </c>
      <c r="M591" t="s">
        <v>612</v>
      </c>
      <c r="N591" s="6">
        <f t="shared" si="37"/>
        <v>45992</v>
      </c>
      <c r="O591" t="s">
        <v>612</v>
      </c>
      <c r="P591" t="str">
        <f t="shared" si="38"/>
        <v>December 2025</v>
      </c>
      <c r="Q591" t="s">
        <v>37</v>
      </c>
      <c r="R591" s="7">
        <v>34041.56</v>
      </c>
      <c r="S591" s="7">
        <f t="shared" si="39"/>
        <v>420838.52</v>
      </c>
    </row>
    <row r="592" spans="1:19" x14ac:dyDescent="0.3">
      <c r="A592" t="s">
        <v>1030</v>
      </c>
      <c r="B592" s="5" t="s">
        <v>374</v>
      </c>
      <c r="C592" s="6">
        <f t="shared" si="36"/>
        <v>45839</v>
      </c>
      <c r="D592" t="s">
        <v>65</v>
      </c>
      <c r="E592" t="s">
        <v>143</v>
      </c>
      <c r="F592" t="s">
        <v>59</v>
      </c>
      <c r="G592" t="s">
        <v>159</v>
      </c>
      <c r="H592" t="s">
        <v>25</v>
      </c>
      <c r="I592">
        <v>1964</v>
      </c>
      <c r="J592" s="7">
        <v>335.21</v>
      </c>
      <c r="K592" s="7">
        <v>658352.43999999994</v>
      </c>
      <c r="L592">
        <v>222</v>
      </c>
      <c r="M592" t="s">
        <v>316</v>
      </c>
      <c r="N592" s="6">
        <f t="shared" si="37"/>
        <v>45839</v>
      </c>
      <c r="O592" t="s">
        <v>316</v>
      </c>
      <c r="P592" t="str">
        <f t="shared" si="38"/>
        <v>July 2025</v>
      </c>
      <c r="Q592" t="s">
        <v>37</v>
      </c>
      <c r="R592" s="7">
        <v>11299.19</v>
      </c>
      <c r="S592" s="7">
        <f t="shared" si="39"/>
        <v>669651.62999999989</v>
      </c>
    </row>
    <row r="593" spans="1:19" x14ac:dyDescent="0.3">
      <c r="A593" t="s">
        <v>1031</v>
      </c>
      <c r="B593" s="5" t="s">
        <v>541</v>
      </c>
      <c r="C593" s="6">
        <f t="shared" si="36"/>
        <v>45901</v>
      </c>
      <c r="D593" t="s">
        <v>40</v>
      </c>
      <c r="E593" t="s">
        <v>22</v>
      </c>
      <c r="F593" t="s">
        <v>59</v>
      </c>
      <c r="G593" t="s">
        <v>241</v>
      </c>
      <c r="H593" t="s">
        <v>55</v>
      </c>
      <c r="I593">
        <v>1769</v>
      </c>
      <c r="J593" s="7">
        <v>259.33</v>
      </c>
      <c r="K593" s="7">
        <v>458754.77</v>
      </c>
      <c r="L593">
        <v>584</v>
      </c>
      <c r="M593" t="s">
        <v>165</v>
      </c>
      <c r="N593" s="6">
        <f t="shared" si="37"/>
        <v>45901</v>
      </c>
      <c r="O593" t="s">
        <v>520</v>
      </c>
      <c r="P593" t="str">
        <f t="shared" si="38"/>
        <v>September 2025</v>
      </c>
      <c r="Q593" t="s">
        <v>28</v>
      </c>
      <c r="R593" s="7">
        <v>30836.28</v>
      </c>
      <c r="S593" s="7">
        <f t="shared" si="39"/>
        <v>489591.05000000005</v>
      </c>
    </row>
    <row r="594" spans="1:19" x14ac:dyDescent="0.3">
      <c r="A594" t="s">
        <v>1032</v>
      </c>
      <c r="B594" s="5" t="s">
        <v>642</v>
      </c>
      <c r="C594" s="6">
        <f t="shared" si="36"/>
        <v>45778</v>
      </c>
      <c r="D594" t="s">
        <v>96</v>
      </c>
      <c r="E594" t="s">
        <v>53</v>
      </c>
      <c r="F594" t="s">
        <v>59</v>
      </c>
      <c r="G594" t="s">
        <v>86</v>
      </c>
      <c r="H594" t="s">
        <v>123</v>
      </c>
      <c r="I594">
        <v>2434</v>
      </c>
      <c r="J594" s="7">
        <v>434.62</v>
      </c>
      <c r="K594" s="7">
        <v>1057865.08</v>
      </c>
      <c r="L594">
        <v>514</v>
      </c>
      <c r="M594" t="s">
        <v>978</v>
      </c>
      <c r="N594" s="6">
        <f t="shared" si="37"/>
        <v>45778</v>
      </c>
      <c r="O594" t="s">
        <v>978</v>
      </c>
      <c r="P594" t="str">
        <f t="shared" si="38"/>
        <v>May 2025</v>
      </c>
      <c r="Q594" t="s">
        <v>37</v>
      </c>
      <c r="R594" s="7">
        <v>21502.02</v>
      </c>
      <c r="S594" s="7">
        <f t="shared" si="39"/>
        <v>1079367.1000000001</v>
      </c>
    </row>
    <row r="595" spans="1:19" x14ac:dyDescent="0.3">
      <c r="A595" t="s">
        <v>1033</v>
      </c>
      <c r="B595" s="5" t="s">
        <v>342</v>
      </c>
      <c r="C595" s="6">
        <f t="shared" si="36"/>
        <v>45839</v>
      </c>
      <c r="D595" t="s">
        <v>96</v>
      </c>
      <c r="E595" t="s">
        <v>53</v>
      </c>
      <c r="F595" t="s">
        <v>59</v>
      </c>
      <c r="G595" t="s">
        <v>202</v>
      </c>
      <c r="H595" t="s">
        <v>123</v>
      </c>
      <c r="I595">
        <v>2471</v>
      </c>
      <c r="J595" s="7">
        <v>221.86</v>
      </c>
      <c r="K595" s="7">
        <v>548216.06000000006</v>
      </c>
      <c r="L595">
        <v>664</v>
      </c>
      <c r="M595" t="s">
        <v>103</v>
      </c>
      <c r="N595" s="6">
        <f t="shared" si="37"/>
        <v>45839</v>
      </c>
      <c r="O595" t="s">
        <v>409</v>
      </c>
      <c r="P595" t="str">
        <f t="shared" si="38"/>
        <v>August 2025</v>
      </c>
      <c r="Q595" t="s">
        <v>28</v>
      </c>
      <c r="R595" s="7">
        <v>26569.74</v>
      </c>
      <c r="S595" s="7">
        <f t="shared" si="39"/>
        <v>574785.80000000005</v>
      </c>
    </row>
    <row r="596" spans="1:19" x14ac:dyDescent="0.3">
      <c r="A596" t="s">
        <v>1034</v>
      </c>
      <c r="B596" s="5" t="s">
        <v>152</v>
      </c>
      <c r="C596" s="6">
        <f t="shared" si="36"/>
        <v>45689</v>
      </c>
      <c r="D596" t="s">
        <v>128</v>
      </c>
      <c r="E596" t="s">
        <v>70</v>
      </c>
      <c r="F596" t="s">
        <v>33</v>
      </c>
      <c r="G596" t="s">
        <v>34</v>
      </c>
      <c r="H596" t="s">
        <v>91</v>
      </c>
      <c r="I596">
        <v>2420</v>
      </c>
      <c r="J596" s="7">
        <v>631.52</v>
      </c>
      <c r="K596" s="7">
        <v>1528278.4</v>
      </c>
      <c r="L596">
        <v>269</v>
      </c>
      <c r="M596" t="s">
        <v>324</v>
      </c>
      <c r="N596" s="6">
        <f t="shared" si="37"/>
        <v>45689</v>
      </c>
      <c r="O596" t="s">
        <v>509</v>
      </c>
      <c r="P596" t="str">
        <f t="shared" si="38"/>
        <v>March 2025</v>
      </c>
      <c r="Q596" t="s">
        <v>28</v>
      </c>
      <c r="R596" s="7">
        <v>11866.6</v>
      </c>
      <c r="S596" s="7">
        <f t="shared" si="39"/>
        <v>1540145</v>
      </c>
    </row>
    <row r="597" spans="1:19" x14ac:dyDescent="0.3">
      <c r="A597" t="s">
        <v>1035</v>
      </c>
      <c r="B597" s="5" t="s">
        <v>690</v>
      </c>
      <c r="C597" s="6">
        <f t="shared" si="36"/>
        <v>45748</v>
      </c>
      <c r="D597" t="s">
        <v>109</v>
      </c>
      <c r="E597" t="s">
        <v>70</v>
      </c>
      <c r="F597" t="s">
        <v>45</v>
      </c>
      <c r="G597" t="s">
        <v>54</v>
      </c>
      <c r="H597" t="s">
        <v>155</v>
      </c>
      <c r="I597">
        <v>689</v>
      </c>
      <c r="J597" s="7">
        <v>659.54</v>
      </c>
      <c r="K597" s="7">
        <v>454423.06</v>
      </c>
      <c r="L597">
        <v>252</v>
      </c>
      <c r="M597" t="s">
        <v>298</v>
      </c>
      <c r="N597" s="6">
        <f t="shared" si="37"/>
        <v>45748</v>
      </c>
      <c r="O597" t="s">
        <v>708</v>
      </c>
      <c r="P597" t="str">
        <f t="shared" si="38"/>
        <v>April 2025</v>
      </c>
      <c r="Q597" t="s">
        <v>28</v>
      </c>
      <c r="R597" s="7">
        <v>10649.1</v>
      </c>
      <c r="S597" s="7">
        <f t="shared" si="39"/>
        <v>465072.16</v>
      </c>
    </row>
    <row r="598" spans="1:19" x14ac:dyDescent="0.3">
      <c r="A598" t="s">
        <v>1036</v>
      </c>
      <c r="B598" s="5" t="s">
        <v>289</v>
      </c>
      <c r="C598" s="6">
        <f t="shared" si="36"/>
        <v>45901</v>
      </c>
      <c r="D598" t="s">
        <v>40</v>
      </c>
      <c r="E598" t="s">
        <v>53</v>
      </c>
      <c r="F598" t="s">
        <v>45</v>
      </c>
      <c r="G598" t="s">
        <v>24</v>
      </c>
      <c r="H598" t="s">
        <v>35</v>
      </c>
      <c r="I598">
        <v>221</v>
      </c>
      <c r="J598" s="7">
        <v>557.89</v>
      </c>
      <c r="K598" s="7">
        <v>123293.69</v>
      </c>
      <c r="L598">
        <v>491</v>
      </c>
      <c r="M598" t="s">
        <v>255</v>
      </c>
      <c r="N598" s="6">
        <f t="shared" si="37"/>
        <v>45901</v>
      </c>
      <c r="O598" t="s">
        <v>672</v>
      </c>
      <c r="P598" t="str">
        <f t="shared" si="38"/>
        <v>September 2025</v>
      </c>
      <c r="Q598" t="s">
        <v>28</v>
      </c>
      <c r="R598" s="7">
        <v>20981.27</v>
      </c>
      <c r="S598" s="7">
        <f t="shared" si="39"/>
        <v>144274.96</v>
      </c>
    </row>
    <row r="599" spans="1:19" x14ac:dyDescent="0.3">
      <c r="A599" t="s">
        <v>1037</v>
      </c>
      <c r="B599" s="5" t="s">
        <v>741</v>
      </c>
      <c r="C599" s="6">
        <f t="shared" si="36"/>
        <v>45809</v>
      </c>
      <c r="D599" t="s">
        <v>128</v>
      </c>
      <c r="E599" t="s">
        <v>22</v>
      </c>
      <c r="F599" t="s">
        <v>59</v>
      </c>
      <c r="G599" t="s">
        <v>97</v>
      </c>
      <c r="H599" t="s">
        <v>155</v>
      </c>
      <c r="I599">
        <v>576</v>
      </c>
      <c r="J599" s="7">
        <v>646.22</v>
      </c>
      <c r="K599" s="7">
        <v>372222.71999999997</v>
      </c>
      <c r="L599">
        <v>195</v>
      </c>
      <c r="M599" t="s">
        <v>158</v>
      </c>
      <c r="N599" s="6">
        <f t="shared" si="37"/>
        <v>45809</v>
      </c>
      <c r="O599" t="s">
        <v>160</v>
      </c>
      <c r="P599" t="str">
        <f t="shared" si="38"/>
        <v>June 2025</v>
      </c>
      <c r="Q599" t="s">
        <v>28</v>
      </c>
      <c r="R599" s="7">
        <v>9370.35</v>
      </c>
      <c r="S599" s="7">
        <f t="shared" si="39"/>
        <v>381593.06999999995</v>
      </c>
    </row>
    <row r="600" spans="1:19" x14ac:dyDescent="0.3">
      <c r="A600" t="s">
        <v>1038</v>
      </c>
      <c r="B600" s="5" t="s">
        <v>44</v>
      </c>
      <c r="C600" s="6">
        <f t="shared" si="36"/>
        <v>45658</v>
      </c>
      <c r="D600" t="s">
        <v>40</v>
      </c>
      <c r="E600" t="s">
        <v>32</v>
      </c>
      <c r="F600" t="s">
        <v>45</v>
      </c>
      <c r="G600" t="s">
        <v>241</v>
      </c>
      <c r="H600" t="s">
        <v>25</v>
      </c>
      <c r="I600">
        <v>690</v>
      </c>
      <c r="J600" s="7">
        <v>722.22</v>
      </c>
      <c r="K600" s="7">
        <v>498331.8</v>
      </c>
      <c r="L600">
        <v>236</v>
      </c>
      <c r="M600" t="s">
        <v>580</v>
      </c>
      <c r="N600" s="6">
        <f t="shared" si="37"/>
        <v>45658</v>
      </c>
      <c r="O600" t="s">
        <v>327</v>
      </c>
      <c r="P600" t="str">
        <f t="shared" si="38"/>
        <v>January 2025</v>
      </c>
      <c r="Q600" t="s">
        <v>28</v>
      </c>
      <c r="R600" s="7">
        <v>12982.88</v>
      </c>
      <c r="S600" s="7">
        <f t="shared" si="39"/>
        <v>511314.68</v>
      </c>
    </row>
    <row r="601" spans="1:19" x14ac:dyDescent="0.3">
      <c r="A601" t="s">
        <v>1039</v>
      </c>
      <c r="B601" s="5" t="s">
        <v>156</v>
      </c>
      <c r="C601" s="6">
        <f t="shared" si="36"/>
        <v>45931</v>
      </c>
      <c r="D601" t="s">
        <v>31</v>
      </c>
      <c r="E601" t="s">
        <v>143</v>
      </c>
      <c r="F601" t="s">
        <v>33</v>
      </c>
      <c r="G601" t="s">
        <v>227</v>
      </c>
      <c r="H601" t="s">
        <v>77</v>
      </c>
      <c r="I601">
        <v>1552</v>
      </c>
      <c r="J601" s="7">
        <v>78.28</v>
      </c>
      <c r="K601" s="7">
        <v>121490.56</v>
      </c>
      <c r="L601">
        <v>508</v>
      </c>
      <c r="M601" t="s">
        <v>645</v>
      </c>
      <c r="N601" s="6">
        <f t="shared" si="37"/>
        <v>45931</v>
      </c>
      <c r="O601" t="s">
        <v>834</v>
      </c>
      <c r="P601" t="str">
        <f t="shared" si="38"/>
        <v>October 2025</v>
      </c>
      <c r="Q601" t="s">
        <v>28</v>
      </c>
      <c r="R601" s="7">
        <v>24145.61</v>
      </c>
      <c r="S601" s="7">
        <f t="shared" si="39"/>
        <v>145636.16999999998</v>
      </c>
    </row>
    <row r="602" spans="1:19" x14ac:dyDescent="0.3">
      <c r="A602" t="s">
        <v>1040</v>
      </c>
      <c r="B602" s="5" t="s">
        <v>429</v>
      </c>
      <c r="C602" s="6">
        <f t="shared" si="36"/>
        <v>45748</v>
      </c>
      <c r="D602" t="s">
        <v>40</v>
      </c>
      <c r="E602" t="s">
        <v>22</v>
      </c>
      <c r="F602" t="s">
        <v>23</v>
      </c>
      <c r="G602" t="s">
        <v>118</v>
      </c>
      <c r="H602" t="s">
        <v>91</v>
      </c>
      <c r="I602">
        <v>92</v>
      </c>
      <c r="J602" s="7">
        <v>202.55</v>
      </c>
      <c r="K602" s="7">
        <v>18634.599999999999</v>
      </c>
      <c r="L602">
        <v>609</v>
      </c>
      <c r="M602" t="s">
        <v>507</v>
      </c>
      <c r="N602" s="6">
        <f t="shared" si="37"/>
        <v>45748</v>
      </c>
      <c r="O602" t="s">
        <v>173</v>
      </c>
      <c r="P602" t="str">
        <f t="shared" si="38"/>
        <v>April 2025</v>
      </c>
      <c r="Q602" t="s">
        <v>37</v>
      </c>
      <c r="R602" s="7">
        <v>22027.5</v>
      </c>
      <c r="S602" s="7">
        <f t="shared" si="39"/>
        <v>40662.1</v>
      </c>
    </row>
    <row r="603" spans="1:19" x14ac:dyDescent="0.3">
      <c r="A603" t="s">
        <v>1041</v>
      </c>
      <c r="B603" s="5" t="s">
        <v>350</v>
      </c>
      <c r="C603" s="6">
        <f t="shared" si="36"/>
        <v>45992</v>
      </c>
      <c r="D603" t="s">
        <v>21</v>
      </c>
      <c r="E603" t="s">
        <v>70</v>
      </c>
      <c r="F603" t="s">
        <v>45</v>
      </c>
      <c r="G603" t="s">
        <v>351</v>
      </c>
      <c r="H603" t="s">
        <v>132</v>
      </c>
      <c r="I603">
        <v>690</v>
      </c>
      <c r="J603" s="7">
        <v>116.39</v>
      </c>
      <c r="K603" s="7">
        <v>80309.100000000006</v>
      </c>
      <c r="L603">
        <v>339</v>
      </c>
      <c r="M603" t="s">
        <v>352</v>
      </c>
      <c r="N603" s="6">
        <f t="shared" si="37"/>
        <v>46023</v>
      </c>
      <c r="O603" t="s">
        <v>353</v>
      </c>
      <c r="P603" t="str">
        <f t="shared" si="38"/>
        <v>January 2026</v>
      </c>
      <c r="Q603" t="s">
        <v>28</v>
      </c>
      <c r="R603" s="7">
        <v>18978.939999999999</v>
      </c>
      <c r="S603" s="7">
        <f t="shared" si="39"/>
        <v>99288.040000000008</v>
      </c>
    </row>
    <row r="604" spans="1:19" x14ac:dyDescent="0.3">
      <c r="A604" t="s">
        <v>1042</v>
      </c>
      <c r="B604" s="5" t="s">
        <v>287</v>
      </c>
      <c r="C604" s="6">
        <f t="shared" si="36"/>
        <v>45658</v>
      </c>
      <c r="D604" t="s">
        <v>31</v>
      </c>
      <c r="E604" t="s">
        <v>32</v>
      </c>
      <c r="F604" t="s">
        <v>23</v>
      </c>
      <c r="G604" t="s">
        <v>118</v>
      </c>
      <c r="H604" t="s">
        <v>132</v>
      </c>
      <c r="I604">
        <v>2428</v>
      </c>
      <c r="J604" s="7">
        <v>855.89</v>
      </c>
      <c r="K604" s="7">
        <v>2078100.92</v>
      </c>
      <c r="L604">
        <v>104</v>
      </c>
      <c r="M604" t="s">
        <v>44</v>
      </c>
      <c r="N604" s="6">
        <f t="shared" si="37"/>
        <v>45658</v>
      </c>
      <c r="O604" t="s">
        <v>44</v>
      </c>
      <c r="P604" t="str">
        <f t="shared" si="38"/>
        <v>January 2025</v>
      </c>
      <c r="Q604" t="s">
        <v>37</v>
      </c>
      <c r="R604" s="7">
        <v>5629.41</v>
      </c>
      <c r="S604" s="7">
        <f t="shared" si="39"/>
        <v>2083730.3299999998</v>
      </c>
    </row>
    <row r="605" spans="1:19" x14ac:dyDescent="0.3">
      <c r="A605" t="s">
        <v>1043</v>
      </c>
      <c r="B605" s="5" t="s">
        <v>347</v>
      </c>
      <c r="C605" s="6">
        <f t="shared" si="36"/>
        <v>45689</v>
      </c>
      <c r="D605" t="s">
        <v>40</v>
      </c>
      <c r="E605" t="s">
        <v>32</v>
      </c>
      <c r="F605" t="s">
        <v>45</v>
      </c>
      <c r="G605" t="s">
        <v>168</v>
      </c>
      <c r="H605" t="s">
        <v>132</v>
      </c>
      <c r="I605">
        <v>196</v>
      </c>
      <c r="J605" s="7">
        <v>352.55</v>
      </c>
      <c r="K605" s="7">
        <v>69099.8</v>
      </c>
      <c r="L605">
        <v>573</v>
      </c>
      <c r="M605" t="s">
        <v>496</v>
      </c>
      <c r="N605" s="6">
        <f t="shared" si="37"/>
        <v>45689</v>
      </c>
      <c r="O605" t="s">
        <v>180</v>
      </c>
      <c r="P605" t="str">
        <f t="shared" si="38"/>
        <v>February 2025</v>
      </c>
      <c r="Q605" t="s">
        <v>28</v>
      </c>
      <c r="R605" s="7">
        <v>30251.89</v>
      </c>
      <c r="S605" s="7">
        <f t="shared" si="39"/>
        <v>99351.69</v>
      </c>
    </row>
    <row r="606" spans="1:19" x14ac:dyDescent="0.3">
      <c r="A606" t="s">
        <v>1044</v>
      </c>
      <c r="B606" s="5" t="s">
        <v>664</v>
      </c>
      <c r="C606" s="6">
        <f t="shared" si="36"/>
        <v>45658</v>
      </c>
      <c r="D606" t="s">
        <v>31</v>
      </c>
      <c r="E606" t="s">
        <v>22</v>
      </c>
      <c r="F606" t="s">
        <v>23</v>
      </c>
      <c r="G606" t="s">
        <v>190</v>
      </c>
      <c r="H606" t="s">
        <v>77</v>
      </c>
      <c r="I606">
        <v>1362</v>
      </c>
      <c r="J606" s="7">
        <v>823.71</v>
      </c>
      <c r="K606" s="7">
        <v>1121893.02</v>
      </c>
      <c r="L606">
        <v>313</v>
      </c>
      <c r="M606" t="s">
        <v>345</v>
      </c>
      <c r="N606" s="6">
        <f t="shared" si="37"/>
        <v>45658</v>
      </c>
      <c r="O606" t="s">
        <v>345</v>
      </c>
      <c r="P606" t="str">
        <f t="shared" si="38"/>
        <v>January 2025</v>
      </c>
      <c r="Q606" t="s">
        <v>37</v>
      </c>
      <c r="R606" s="7">
        <v>16497.86</v>
      </c>
      <c r="S606" s="7">
        <f t="shared" si="39"/>
        <v>1138390.8800000001</v>
      </c>
    </row>
    <row r="607" spans="1:19" x14ac:dyDescent="0.3">
      <c r="A607" t="s">
        <v>1045</v>
      </c>
      <c r="B607" s="5" t="s">
        <v>543</v>
      </c>
      <c r="C607" s="6">
        <f t="shared" si="36"/>
        <v>45809</v>
      </c>
      <c r="D607" t="s">
        <v>31</v>
      </c>
      <c r="E607" t="s">
        <v>70</v>
      </c>
      <c r="F607" t="s">
        <v>59</v>
      </c>
      <c r="G607" t="s">
        <v>97</v>
      </c>
      <c r="H607" t="s">
        <v>132</v>
      </c>
      <c r="I607">
        <v>1481</v>
      </c>
      <c r="J607" s="7">
        <v>108.31</v>
      </c>
      <c r="K607" s="7">
        <v>160407.10999999999</v>
      </c>
      <c r="L607">
        <v>555</v>
      </c>
      <c r="M607" t="s">
        <v>300</v>
      </c>
      <c r="N607" s="6">
        <f t="shared" si="37"/>
        <v>45809</v>
      </c>
      <c r="O607" t="s">
        <v>300</v>
      </c>
      <c r="P607" t="str">
        <f t="shared" si="38"/>
        <v>June 2025</v>
      </c>
      <c r="Q607" t="s">
        <v>37</v>
      </c>
      <c r="R607" s="7">
        <v>28770.09</v>
      </c>
      <c r="S607" s="7">
        <f t="shared" si="39"/>
        <v>189177.19999999998</v>
      </c>
    </row>
    <row r="608" spans="1:19" x14ac:dyDescent="0.3">
      <c r="A608" t="s">
        <v>1046</v>
      </c>
      <c r="B608" s="5" t="s">
        <v>90</v>
      </c>
      <c r="C608" s="6">
        <f t="shared" si="36"/>
        <v>45931</v>
      </c>
      <c r="D608" t="s">
        <v>52</v>
      </c>
      <c r="E608" t="s">
        <v>32</v>
      </c>
      <c r="F608" t="s">
        <v>45</v>
      </c>
      <c r="G608" t="s">
        <v>172</v>
      </c>
      <c r="H608" t="s">
        <v>91</v>
      </c>
      <c r="I608">
        <v>2366</v>
      </c>
      <c r="J608" s="7">
        <v>611.6</v>
      </c>
      <c r="K608" s="7">
        <v>1447045.6</v>
      </c>
      <c r="L608">
        <v>367</v>
      </c>
      <c r="M608" t="s">
        <v>92</v>
      </c>
      <c r="N608" s="6">
        <f t="shared" si="37"/>
        <v>45931</v>
      </c>
      <c r="O608" t="s">
        <v>93</v>
      </c>
      <c r="P608" t="str">
        <f t="shared" si="38"/>
        <v>October 2025</v>
      </c>
      <c r="Q608" t="s">
        <v>28</v>
      </c>
      <c r="R608" s="7">
        <v>21058.36</v>
      </c>
      <c r="S608" s="7">
        <f t="shared" si="39"/>
        <v>1468103.9600000002</v>
      </c>
    </row>
    <row r="609" spans="1:19" x14ac:dyDescent="0.3">
      <c r="A609" t="s">
        <v>1047</v>
      </c>
      <c r="B609" s="5" t="s">
        <v>478</v>
      </c>
      <c r="C609" s="6">
        <f t="shared" si="36"/>
        <v>45658</v>
      </c>
      <c r="D609" t="s">
        <v>109</v>
      </c>
      <c r="E609" t="s">
        <v>70</v>
      </c>
      <c r="F609" t="s">
        <v>33</v>
      </c>
      <c r="G609" t="s">
        <v>88</v>
      </c>
      <c r="H609" t="s">
        <v>155</v>
      </c>
      <c r="I609">
        <v>1297</v>
      </c>
      <c r="J609" s="7">
        <v>354.66</v>
      </c>
      <c r="K609" s="7">
        <v>459994.02</v>
      </c>
      <c r="L609">
        <v>680</v>
      </c>
      <c r="M609" t="s">
        <v>195</v>
      </c>
      <c r="N609" s="6">
        <f t="shared" si="37"/>
        <v>45658</v>
      </c>
      <c r="O609" t="s">
        <v>195</v>
      </c>
      <c r="P609" t="str">
        <f t="shared" si="38"/>
        <v>January 2025</v>
      </c>
      <c r="Q609" t="s">
        <v>37</v>
      </c>
      <c r="R609" s="7">
        <v>39835.14</v>
      </c>
      <c r="S609" s="7">
        <f t="shared" si="39"/>
        <v>499829.16000000003</v>
      </c>
    </row>
    <row r="610" spans="1:19" x14ac:dyDescent="0.3">
      <c r="A610" t="s">
        <v>1048</v>
      </c>
      <c r="B610" s="5" t="s">
        <v>333</v>
      </c>
      <c r="C610" s="6">
        <f t="shared" si="36"/>
        <v>45992</v>
      </c>
      <c r="D610" t="s">
        <v>96</v>
      </c>
      <c r="E610" t="s">
        <v>75</v>
      </c>
      <c r="F610" t="s">
        <v>45</v>
      </c>
      <c r="G610" t="s">
        <v>163</v>
      </c>
      <c r="H610" t="s">
        <v>123</v>
      </c>
      <c r="I610">
        <v>2257</v>
      </c>
      <c r="J610" s="7">
        <v>883.23</v>
      </c>
      <c r="K610" s="7">
        <v>1993450.11</v>
      </c>
      <c r="L610">
        <v>522</v>
      </c>
      <c r="M610" t="s">
        <v>545</v>
      </c>
      <c r="N610" s="6">
        <f t="shared" si="37"/>
        <v>45992</v>
      </c>
      <c r="O610" t="s">
        <v>111</v>
      </c>
      <c r="P610" t="str">
        <f t="shared" si="38"/>
        <v>December 2025</v>
      </c>
      <c r="Q610" t="s">
        <v>28</v>
      </c>
      <c r="R610" s="7">
        <v>24304.59</v>
      </c>
      <c r="S610" s="7">
        <f t="shared" si="39"/>
        <v>2017754.7000000002</v>
      </c>
    </row>
    <row r="611" spans="1:19" x14ac:dyDescent="0.3">
      <c r="A611" t="s">
        <v>1049</v>
      </c>
      <c r="B611" s="5" t="s">
        <v>765</v>
      </c>
      <c r="C611" s="6">
        <f t="shared" si="36"/>
        <v>45839</v>
      </c>
      <c r="D611" t="s">
        <v>52</v>
      </c>
      <c r="E611" t="s">
        <v>32</v>
      </c>
      <c r="F611" t="s">
        <v>23</v>
      </c>
      <c r="G611" t="s">
        <v>283</v>
      </c>
      <c r="H611" t="s">
        <v>77</v>
      </c>
      <c r="I611">
        <v>1647</v>
      </c>
      <c r="J611" s="7">
        <v>382.11</v>
      </c>
      <c r="K611" s="7">
        <v>629335.17000000004</v>
      </c>
      <c r="L611">
        <v>617</v>
      </c>
      <c r="M611" t="s">
        <v>343</v>
      </c>
      <c r="N611" s="6">
        <f t="shared" si="37"/>
        <v>45839</v>
      </c>
      <c r="O611" t="s">
        <v>402</v>
      </c>
      <c r="P611" t="str">
        <f t="shared" si="38"/>
        <v>August 2025</v>
      </c>
      <c r="Q611" t="s">
        <v>28</v>
      </c>
      <c r="R611" s="7">
        <v>24823.040000000001</v>
      </c>
      <c r="S611" s="7">
        <f t="shared" si="39"/>
        <v>654158.21000000008</v>
      </c>
    </row>
    <row r="612" spans="1:19" x14ac:dyDescent="0.3">
      <c r="A612" t="s">
        <v>1050</v>
      </c>
      <c r="B612" s="5" t="s">
        <v>262</v>
      </c>
      <c r="C612" s="6">
        <f t="shared" si="36"/>
        <v>45748</v>
      </c>
      <c r="D612" t="s">
        <v>128</v>
      </c>
      <c r="E612" t="s">
        <v>53</v>
      </c>
      <c r="F612" t="s">
        <v>23</v>
      </c>
      <c r="G612" t="s">
        <v>66</v>
      </c>
      <c r="H612" t="s">
        <v>123</v>
      </c>
      <c r="I612">
        <v>503</v>
      </c>
      <c r="J612" s="7">
        <v>421.52</v>
      </c>
      <c r="K612" s="7">
        <v>212024.56</v>
      </c>
      <c r="L612">
        <v>169</v>
      </c>
      <c r="M612" t="s">
        <v>261</v>
      </c>
      <c r="N612" s="6">
        <f t="shared" si="37"/>
        <v>45748</v>
      </c>
      <c r="O612" t="s">
        <v>261</v>
      </c>
      <c r="P612" t="str">
        <f t="shared" si="38"/>
        <v>April 2025</v>
      </c>
      <c r="Q612" t="s">
        <v>37</v>
      </c>
      <c r="R612" s="7">
        <v>8457.9599999999991</v>
      </c>
      <c r="S612" s="7">
        <f t="shared" si="39"/>
        <v>220482.52</v>
      </c>
    </row>
    <row r="613" spans="1:19" x14ac:dyDescent="0.3">
      <c r="A613" t="s">
        <v>1051</v>
      </c>
      <c r="B613" s="5" t="s">
        <v>763</v>
      </c>
      <c r="C613" s="6">
        <f t="shared" si="36"/>
        <v>45931</v>
      </c>
      <c r="D613" t="s">
        <v>40</v>
      </c>
      <c r="E613" t="s">
        <v>75</v>
      </c>
      <c r="F613" t="s">
        <v>59</v>
      </c>
      <c r="G613" t="s">
        <v>54</v>
      </c>
      <c r="H613" t="s">
        <v>47</v>
      </c>
      <c r="I613">
        <v>221</v>
      </c>
      <c r="J613" s="7">
        <v>190.9</v>
      </c>
      <c r="K613" s="7">
        <v>42188.9</v>
      </c>
      <c r="L613">
        <v>196</v>
      </c>
      <c r="M613" t="s">
        <v>191</v>
      </c>
      <c r="N613" s="6">
        <f t="shared" si="37"/>
        <v>45931</v>
      </c>
      <c r="O613" t="s">
        <v>191</v>
      </c>
      <c r="P613" t="str">
        <f t="shared" si="38"/>
        <v>October 2025</v>
      </c>
      <c r="Q613" t="s">
        <v>37</v>
      </c>
      <c r="R613" s="7">
        <v>8071.06</v>
      </c>
      <c r="S613" s="7">
        <f t="shared" si="39"/>
        <v>50259.96</v>
      </c>
    </row>
    <row r="614" spans="1:19" x14ac:dyDescent="0.3">
      <c r="A614" t="s">
        <v>1052</v>
      </c>
      <c r="B614" s="5" t="s">
        <v>580</v>
      </c>
      <c r="C614" s="6">
        <f t="shared" si="36"/>
        <v>45658</v>
      </c>
      <c r="D614" t="s">
        <v>96</v>
      </c>
      <c r="E614" t="s">
        <v>32</v>
      </c>
      <c r="F614" t="s">
        <v>33</v>
      </c>
      <c r="G614" t="s">
        <v>168</v>
      </c>
      <c r="H614" t="s">
        <v>55</v>
      </c>
      <c r="I614">
        <v>576</v>
      </c>
      <c r="J614" s="7">
        <v>577.54</v>
      </c>
      <c r="K614" s="7">
        <v>332663.03999999998</v>
      </c>
      <c r="L614">
        <v>700</v>
      </c>
      <c r="M614" t="s">
        <v>327</v>
      </c>
      <c r="N614" s="6">
        <f t="shared" si="37"/>
        <v>45658</v>
      </c>
      <c r="O614" t="s">
        <v>49</v>
      </c>
      <c r="P614" t="str">
        <f t="shared" si="38"/>
        <v>January 2025</v>
      </c>
      <c r="Q614" t="s">
        <v>28</v>
      </c>
      <c r="R614" s="7">
        <v>34208.379999999997</v>
      </c>
      <c r="S614" s="7">
        <f t="shared" si="39"/>
        <v>366871.42</v>
      </c>
    </row>
    <row r="615" spans="1:19" x14ac:dyDescent="0.3">
      <c r="A615" t="s">
        <v>1053</v>
      </c>
      <c r="B615" s="5" t="s">
        <v>129</v>
      </c>
      <c r="C615" s="6">
        <f t="shared" si="36"/>
        <v>45839</v>
      </c>
      <c r="D615" t="s">
        <v>31</v>
      </c>
      <c r="E615" t="s">
        <v>22</v>
      </c>
      <c r="F615" t="s">
        <v>33</v>
      </c>
      <c r="G615" t="s">
        <v>222</v>
      </c>
      <c r="H615" t="s">
        <v>91</v>
      </c>
      <c r="I615">
        <v>1513</v>
      </c>
      <c r="J615" s="7">
        <v>259.52999999999997</v>
      </c>
      <c r="K615" s="7">
        <v>392668.89</v>
      </c>
      <c r="L615">
        <v>534</v>
      </c>
      <c r="M615" t="s">
        <v>147</v>
      </c>
      <c r="N615" s="6">
        <f t="shared" si="37"/>
        <v>45839</v>
      </c>
      <c r="O615" t="s">
        <v>147</v>
      </c>
      <c r="P615" t="str">
        <f t="shared" si="38"/>
        <v>July 2025</v>
      </c>
      <c r="Q615" t="s">
        <v>37</v>
      </c>
      <c r="R615" s="7">
        <v>31728.57</v>
      </c>
      <c r="S615" s="7">
        <f t="shared" si="39"/>
        <v>424397.46</v>
      </c>
    </row>
    <row r="616" spans="1:19" x14ac:dyDescent="0.3">
      <c r="A616" t="s">
        <v>1054</v>
      </c>
      <c r="B616" s="5" t="s">
        <v>125</v>
      </c>
      <c r="C616" s="6">
        <f t="shared" si="36"/>
        <v>45992</v>
      </c>
      <c r="D616" t="s">
        <v>31</v>
      </c>
      <c r="E616" t="s">
        <v>32</v>
      </c>
      <c r="F616" t="s">
        <v>23</v>
      </c>
      <c r="G616" t="s">
        <v>202</v>
      </c>
      <c r="H616" t="s">
        <v>25</v>
      </c>
      <c r="I616">
        <v>1656</v>
      </c>
      <c r="J616" s="7">
        <v>569.91999999999996</v>
      </c>
      <c r="K616" s="7">
        <v>943787.52000000002</v>
      </c>
      <c r="L616">
        <v>214</v>
      </c>
      <c r="M616" t="s">
        <v>685</v>
      </c>
      <c r="N616" s="6">
        <f t="shared" si="37"/>
        <v>45992</v>
      </c>
      <c r="O616" t="s">
        <v>355</v>
      </c>
      <c r="P616" t="str">
        <f t="shared" si="38"/>
        <v>December 2025</v>
      </c>
      <c r="Q616" t="s">
        <v>28</v>
      </c>
      <c r="R616" s="7">
        <v>11406.7</v>
      </c>
      <c r="S616" s="7">
        <f t="shared" si="39"/>
        <v>955194.22</v>
      </c>
    </row>
    <row r="617" spans="1:19" x14ac:dyDescent="0.3">
      <c r="A617" t="s">
        <v>1055</v>
      </c>
      <c r="B617" s="5" t="s">
        <v>439</v>
      </c>
      <c r="C617" s="6">
        <f t="shared" si="36"/>
        <v>45778</v>
      </c>
      <c r="D617" t="s">
        <v>109</v>
      </c>
      <c r="E617" t="s">
        <v>70</v>
      </c>
      <c r="F617" t="s">
        <v>33</v>
      </c>
      <c r="G617" t="s">
        <v>265</v>
      </c>
      <c r="H617" t="s">
        <v>123</v>
      </c>
      <c r="I617">
        <v>932</v>
      </c>
      <c r="J617" s="7">
        <v>264.18</v>
      </c>
      <c r="K617" s="7">
        <v>246215.76</v>
      </c>
      <c r="L617">
        <v>310</v>
      </c>
      <c r="M617" t="s">
        <v>440</v>
      </c>
      <c r="N617" s="6">
        <f t="shared" si="37"/>
        <v>45778</v>
      </c>
      <c r="O617" t="s">
        <v>440</v>
      </c>
      <c r="P617" t="str">
        <f t="shared" si="38"/>
        <v>May 2025</v>
      </c>
      <c r="Q617" t="s">
        <v>37</v>
      </c>
      <c r="R617" s="7">
        <v>13021.5</v>
      </c>
      <c r="S617" s="7">
        <f t="shared" si="39"/>
        <v>259237.26</v>
      </c>
    </row>
    <row r="618" spans="1:19" x14ac:dyDescent="0.3">
      <c r="A618" t="s">
        <v>1056</v>
      </c>
      <c r="B618" s="5" t="s">
        <v>74</v>
      </c>
      <c r="C618" s="6">
        <f t="shared" si="36"/>
        <v>45748</v>
      </c>
      <c r="D618" t="s">
        <v>40</v>
      </c>
      <c r="E618" t="s">
        <v>143</v>
      </c>
      <c r="F618" t="s">
        <v>23</v>
      </c>
      <c r="G618" t="s">
        <v>76</v>
      </c>
      <c r="H618" t="s">
        <v>61</v>
      </c>
      <c r="I618">
        <v>1743</v>
      </c>
      <c r="J618" s="7">
        <v>652.17999999999995</v>
      </c>
      <c r="K618" s="7">
        <v>1136749.74</v>
      </c>
      <c r="L618">
        <v>359</v>
      </c>
      <c r="M618" t="s">
        <v>262</v>
      </c>
      <c r="N618" s="6">
        <f t="shared" si="37"/>
        <v>45748</v>
      </c>
      <c r="O618" t="s">
        <v>261</v>
      </c>
      <c r="P618" t="str">
        <f t="shared" si="38"/>
        <v>April 2025</v>
      </c>
      <c r="Q618" t="s">
        <v>28</v>
      </c>
      <c r="R618" s="7">
        <v>20789.09</v>
      </c>
      <c r="S618" s="7">
        <f t="shared" si="39"/>
        <v>1157538.83</v>
      </c>
    </row>
    <row r="619" spans="1:19" x14ac:dyDescent="0.3">
      <c r="A619" t="s">
        <v>1057</v>
      </c>
      <c r="B619" s="5" t="s">
        <v>259</v>
      </c>
      <c r="C619" s="6">
        <f t="shared" si="36"/>
        <v>45931</v>
      </c>
      <c r="D619" t="s">
        <v>96</v>
      </c>
      <c r="E619" t="s">
        <v>75</v>
      </c>
      <c r="F619" t="s">
        <v>45</v>
      </c>
      <c r="G619" t="s">
        <v>71</v>
      </c>
      <c r="H619" t="s">
        <v>61</v>
      </c>
      <c r="I619">
        <v>263</v>
      </c>
      <c r="J619" s="7">
        <v>81.62</v>
      </c>
      <c r="K619" s="7">
        <v>21466.06</v>
      </c>
      <c r="L619">
        <v>286</v>
      </c>
      <c r="M619" t="s">
        <v>576</v>
      </c>
      <c r="N619" s="6">
        <f t="shared" si="37"/>
        <v>45931</v>
      </c>
      <c r="O619" t="s">
        <v>622</v>
      </c>
      <c r="P619" t="str">
        <f t="shared" si="38"/>
        <v>October 2025</v>
      </c>
      <c r="Q619" t="s">
        <v>28</v>
      </c>
      <c r="R619" s="7">
        <v>10118.950000000001</v>
      </c>
      <c r="S619" s="7">
        <f t="shared" si="39"/>
        <v>31585.010000000002</v>
      </c>
    </row>
    <row r="620" spans="1:19" x14ac:dyDescent="0.3">
      <c r="A620" t="s">
        <v>1058</v>
      </c>
      <c r="B620" s="5" t="s">
        <v>387</v>
      </c>
      <c r="C620" s="6">
        <f t="shared" si="36"/>
        <v>45748</v>
      </c>
      <c r="D620" t="s">
        <v>40</v>
      </c>
      <c r="E620" t="s">
        <v>22</v>
      </c>
      <c r="F620" t="s">
        <v>33</v>
      </c>
      <c r="G620" t="s">
        <v>46</v>
      </c>
      <c r="H620" t="s">
        <v>35</v>
      </c>
      <c r="I620">
        <v>1961</v>
      </c>
      <c r="J620" s="7">
        <v>814.1</v>
      </c>
      <c r="K620" s="7">
        <v>1596450.1</v>
      </c>
      <c r="L620">
        <v>589</v>
      </c>
      <c r="M620" t="s">
        <v>388</v>
      </c>
      <c r="N620" s="6">
        <f t="shared" si="37"/>
        <v>45748</v>
      </c>
      <c r="O620" t="s">
        <v>131</v>
      </c>
      <c r="P620" t="str">
        <f t="shared" si="38"/>
        <v>April 2025</v>
      </c>
      <c r="Q620" t="s">
        <v>28</v>
      </c>
      <c r="R620" s="7">
        <v>27676.22</v>
      </c>
      <c r="S620" s="7">
        <f t="shared" si="39"/>
        <v>1624126.32</v>
      </c>
    </row>
    <row r="621" spans="1:19" x14ac:dyDescent="0.3">
      <c r="A621" t="s">
        <v>1059</v>
      </c>
      <c r="B621" s="5" t="s">
        <v>164</v>
      </c>
      <c r="C621" s="6">
        <f t="shared" si="36"/>
        <v>45901</v>
      </c>
      <c r="D621" t="s">
        <v>21</v>
      </c>
      <c r="E621" t="s">
        <v>75</v>
      </c>
      <c r="F621" t="s">
        <v>45</v>
      </c>
      <c r="G621" t="s">
        <v>34</v>
      </c>
      <c r="H621" t="s">
        <v>77</v>
      </c>
      <c r="I621">
        <v>1026</v>
      </c>
      <c r="J621" s="7">
        <v>811.24</v>
      </c>
      <c r="K621" s="7">
        <v>832332.24</v>
      </c>
      <c r="L621">
        <v>334</v>
      </c>
      <c r="M621" t="s">
        <v>541</v>
      </c>
      <c r="N621" s="6">
        <f t="shared" si="37"/>
        <v>45901</v>
      </c>
      <c r="O621" t="s">
        <v>520</v>
      </c>
      <c r="P621" t="str">
        <f t="shared" si="38"/>
        <v>September 2025</v>
      </c>
      <c r="Q621" t="s">
        <v>28</v>
      </c>
      <c r="R621" s="7">
        <v>13511.54</v>
      </c>
      <c r="S621" s="7">
        <f t="shared" si="39"/>
        <v>845843.78</v>
      </c>
    </row>
    <row r="622" spans="1:19" x14ac:dyDescent="0.3">
      <c r="A622" t="s">
        <v>1060</v>
      </c>
      <c r="B622" s="5" t="s">
        <v>259</v>
      </c>
      <c r="C622" s="6">
        <f t="shared" si="36"/>
        <v>45931</v>
      </c>
      <c r="D622" t="s">
        <v>109</v>
      </c>
      <c r="E622" t="s">
        <v>53</v>
      </c>
      <c r="F622" t="s">
        <v>59</v>
      </c>
      <c r="G622" t="s">
        <v>351</v>
      </c>
      <c r="H622" t="s">
        <v>61</v>
      </c>
      <c r="I622">
        <v>2366</v>
      </c>
      <c r="J622" s="7">
        <v>854.81</v>
      </c>
      <c r="K622" s="7">
        <v>2022480.46</v>
      </c>
      <c r="L622">
        <v>611</v>
      </c>
      <c r="M622" t="s">
        <v>622</v>
      </c>
      <c r="N622" s="6">
        <f t="shared" si="37"/>
        <v>45931</v>
      </c>
      <c r="O622" t="s">
        <v>653</v>
      </c>
      <c r="P622" t="str">
        <f t="shared" si="38"/>
        <v>October 2025</v>
      </c>
      <c r="Q622" t="s">
        <v>28</v>
      </c>
      <c r="R622" s="7">
        <v>36960.26</v>
      </c>
      <c r="S622" s="7">
        <f t="shared" si="39"/>
        <v>2059440.72</v>
      </c>
    </row>
    <row r="623" spans="1:19" x14ac:dyDescent="0.3">
      <c r="A623" t="s">
        <v>1061</v>
      </c>
      <c r="B623" s="5" t="s">
        <v>133</v>
      </c>
      <c r="C623" s="6">
        <f t="shared" si="36"/>
        <v>45748</v>
      </c>
      <c r="D623" t="s">
        <v>109</v>
      </c>
      <c r="E623" t="s">
        <v>32</v>
      </c>
      <c r="F623" t="s">
        <v>33</v>
      </c>
      <c r="G623" t="s">
        <v>138</v>
      </c>
      <c r="H623" t="s">
        <v>35</v>
      </c>
      <c r="I623">
        <v>280</v>
      </c>
      <c r="J623" s="7">
        <v>783.69</v>
      </c>
      <c r="K623" s="7">
        <v>219433.2</v>
      </c>
      <c r="L623">
        <v>384</v>
      </c>
      <c r="M623" t="s">
        <v>417</v>
      </c>
      <c r="N623" s="6">
        <f t="shared" si="37"/>
        <v>45748</v>
      </c>
      <c r="O623" t="s">
        <v>417</v>
      </c>
      <c r="P623" t="str">
        <f t="shared" si="38"/>
        <v>April 2025</v>
      </c>
      <c r="Q623" t="s">
        <v>37</v>
      </c>
      <c r="R623" s="7">
        <v>18407.669999999998</v>
      </c>
      <c r="S623" s="7">
        <f t="shared" si="39"/>
        <v>237840.87</v>
      </c>
    </row>
    <row r="624" spans="1:19" x14ac:dyDescent="0.3">
      <c r="A624" t="s">
        <v>1062</v>
      </c>
      <c r="B624" s="5" t="s">
        <v>56</v>
      </c>
      <c r="C624" s="6">
        <f t="shared" si="36"/>
        <v>45717</v>
      </c>
      <c r="D624" t="s">
        <v>21</v>
      </c>
      <c r="E624" t="s">
        <v>53</v>
      </c>
      <c r="F624" t="s">
        <v>59</v>
      </c>
      <c r="G624" t="s">
        <v>110</v>
      </c>
      <c r="H624" t="s">
        <v>155</v>
      </c>
      <c r="I624">
        <v>619</v>
      </c>
      <c r="J624" s="7">
        <v>859.02</v>
      </c>
      <c r="K624" s="7">
        <v>531733.38</v>
      </c>
      <c r="L624">
        <v>717</v>
      </c>
      <c r="M624" t="s">
        <v>57</v>
      </c>
      <c r="N624" s="6">
        <f t="shared" si="37"/>
        <v>45717</v>
      </c>
      <c r="O624" t="s">
        <v>57</v>
      </c>
      <c r="P624" t="str">
        <f t="shared" si="38"/>
        <v>March 2025</v>
      </c>
      <c r="Q624" t="s">
        <v>37</v>
      </c>
      <c r="R624" s="7">
        <v>25597.9</v>
      </c>
      <c r="S624" s="7">
        <f t="shared" si="39"/>
        <v>557331.28</v>
      </c>
    </row>
    <row r="625" spans="1:19" x14ac:dyDescent="0.3">
      <c r="A625" t="s">
        <v>1063</v>
      </c>
      <c r="B625" s="5" t="s">
        <v>92</v>
      </c>
      <c r="C625" s="6">
        <f t="shared" si="36"/>
        <v>45931</v>
      </c>
      <c r="D625" t="s">
        <v>96</v>
      </c>
      <c r="E625" t="s">
        <v>22</v>
      </c>
      <c r="F625" t="s">
        <v>45</v>
      </c>
      <c r="G625" t="s">
        <v>46</v>
      </c>
      <c r="H625" t="s">
        <v>155</v>
      </c>
      <c r="I625">
        <v>1951</v>
      </c>
      <c r="J625" s="7">
        <v>645.53</v>
      </c>
      <c r="K625" s="7">
        <v>1259429.03</v>
      </c>
      <c r="L625">
        <v>305</v>
      </c>
      <c r="M625" t="s">
        <v>93</v>
      </c>
      <c r="N625" s="6">
        <f t="shared" si="37"/>
        <v>45931</v>
      </c>
      <c r="O625" t="s">
        <v>459</v>
      </c>
      <c r="P625" t="str">
        <f t="shared" si="38"/>
        <v>October 2025</v>
      </c>
      <c r="Q625" t="s">
        <v>28</v>
      </c>
      <c r="R625" s="7">
        <v>15516.38</v>
      </c>
      <c r="S625" s="7">
        <f t="shared" si="39"/>
        <v>1274945.4099999999</v>
      </c>
    </row>
    <row r="626" spans="1:19" x14ac:dyDescent="0.3">
      <c r="A626" t="s">
        <v>1064</v>
      </c>
      <c r="B626" s="5" t="s">
        <v>429</v>
      </c>
      <c r="C626" s="6">
        <f t="shared" si="36"/>
        <v>45748</v>
      </c>
      <c r="D626" t="s">
        <v>96</v>
      </c>
      <c r="E626" t="s">
        <v>32</v>
      </c>
      <c r="F626" t="s">
        <v>33</v>
      </c>
      <c r="G626" t="s">
        <v>159</v>
      </c>
      <c r="H626" t="s">
        <v>77</v>
      </c>
      <c r="I626">
        <v>2417</v>
      </c>
      <c r="J626" s="7">
        <v>660.35</v>
      </c>
      <c r="K626" s="7">
        <v>1596065.95</v>
      </c>
      <c r="L626">
        <v>75</v>
      </c>
      <c r="M626" t="s">
        <v>173</v>
      </c>
      <c r="N626" s="6">
        <f t="shared" si="37"/>
        <v>45748</v>
      </c>
      <c r="O626" t="s">
        <v>429</v>
      </c>
      <c r="P626" t="str">
        <f t="shared" si="38"/>
        <v>April 2025</v>
      </c>
      <c r="Q626" t="s">
        <v>37</v>
      </c>
      <c r="R626" s="7">
        <v>3112.91</v>
      </c>
      <c r="S626" s="7">
        <f t="shared" si="39"/>
        <v>1599178.8599999999</v>
      </c>
    </row>
    <row r="627" spans="1:19" x14ac:dyDescent="0.3">
      <c r="A627" t="s">
        <v>1065</v>
      </c>
      <c r="B627" s="5" t="s">
        <v>147</v>
      </c>
      <c r="C627" s="6">
        <f t="shared" si="36"/>
        <v>45839</v>
      </c>
      <c r="D627" t="s">
        <v>109</v>
      </c>
      <c r="E627" t="s">
        <v>75</v>
      </c>
      <c r="F627" t="s">
        <v>23</v>
      </c>
      <c r="G627" t="s">
        <v>351</v>
      </c>
      <c r="H627" t="s">
        <v>61</v>
      </c>
      <c r="I627">
        <v>1922</v>
      </c>
      <c r="J627" s="7">
        <v>651.94000000000005</v>
      </c>
      <c r="K627" s="7">
        <v>1253028.68</v>
      </c>
      <c r="L627">
        <v>224</v>
      </c>
      <c r="M627" t="s">
        <v>148</v>
      </c>
      <c r="N627" s="6">
        <f t="shared" si="37"/>
        <v>45839</v>
      </c>
      <c r="O627" t="s">
        <v>148</v>
      </c>
      <c r="P627" t="str">
        <f t="shared" si="38"/>
        <v>July 2025</v>
      </c>
      <c r="Q627" t="s">
        <v>37</v>
      </c>
      <c r="R627" s="7">
        <v>9434.42</v>
      </c>
      <c r="S627" s="7">
        <f t="shared" si="39"/>
        <v>1262463.0999999999</v>
      </c>
    </row>
    <row r="628" spans="1:19" x14ac:dyDescent="0.3">
      <c r="A628" t="s">
        <v>1066</v>
      </c>
      <c r="B628" s="5" t="s">
        <v>264</v>
      </c>
      <c r="C628" s="6">
        <f t="shared" si="36"/>
        <v>45748</v>
      </c>
      <c r="D628" t="s">
        <v>52</v>
      </c>
      <c r="E628" t="s">
        <v>75</v>
      </c>
      <c r="F628" t="s">
        <v>59</v>
      </c>
      <c r="G628" t="s">
        <v>86</v>
      </c>
      <c r="H628" t="s">
        <v>77</v>
      </c>
      <c r="I628">
        <v>2372</v>
      </c>
      <c r="J628" s="7">
        <v>398.27</v>
      </c>
      <c r="K628" s="7">
        <v>944696.44</v>
      </c>
      <c r="L628">
        <v>324</v>
      </c>
      <c r="M628" t="s">
        <v>74</v>
      </c>
      <c r="N628" s="6">
        <f t="shared" si="37"/>
        <v>45748</v>
      </c>
      <c r="O628" t="s">
        <v>74</v>
      </c>
      <c r="P628" t="str">
        <f t="shared" si="38"/>
        <v>April 2025</v>
      </c>
      <c r="Q628" t="s">
        <v>37</v>
      </c>
      <c r="R628" s="7">
        <v>17721.919999999998</v>
      </c>
      <c r="S628" s="7">
        <f t="shared" si="39"/>
        <v>962418.36</v>
      </c>
    </row>
    <row r="629" spans="1:19" x14ac:dyDescent="0.3">
      <c r="A629" t="s">
        <v>1067</v>
      </c>
      <c r="B629" s="5" t="s">
        <v>135</v>
      </c>
      <c r="C629" s="6">
        <f t="shared" si="36"/>
        <v>45778</v>
      </c>
      <c r="D629" t="s">
        <v>31</v>
      </c>
      <c r="E629" t="s">
        <v>22</v>
      </c>
      <c r="F629" t="s">
        <v>33</v>
      </c>
      <c r="G629" t="s">
        <v>82</v>
      </c>
      <c r="H629" t="s">
        <v>61</v>
      </c>
      <c r="I629">
        <v>2408</v>
      </c>
      <c r="J629" s="7">
        <v>550.94000000000005</v>
      </c>
      <c r="K629" s="7">
        <v>1326663.52</v>
      </c>
      <c r="L629">
        <v>26</v>
      </c>
      <c r="M629" t="s">
        <v>27</v>
      </c>
      <c r="N629" s="6">
        <f t="shared" si="37"/>
        <v>45778</v>
      </c>
      <c r="O629" t="s">
        <v>136</v>
      </c>
      <c r="P629" t="str">
        <f t="shared" si="38"/>
        <v>May 2025</v>
      </c>
      <c r="Q629" t="s">
        <v>28</v>
      </c>
      <c r="R629" s="7">
        <v>1134.17</v>
      </c>
      <c r="S629" s="7">
        <f t="shared" si="39"/>
        <v>1327797.69</v>
      </c>
    </row>
    <row r="630" spans="1:19" x14ac:dyDescent="0.3">
      <c r="A630" t="s">
        <v>1068</v>
      </c>
      <c r="B630" s="5" t="s">
        <v>158</v>
      </c>
      <c r="C630" s="6">
        <f t="shared" si="36"/>
        <v>45809</v>
      </c>
      <c r="D630" t="s">
        <v>109</v>
      </c>
      <c r="E630" t="s">
        <v>32</v>
      </c>
      <c r="F630" t="s">
        <v>33</v>
      </c>
      <c r="G630" t="s">
        <v>118</v>
      </c>
      <c r="H630" t="s">
        <v>123</v>
      </c>
      <c r="I630">
        <v>52</v>
      </c>
      <c r="J630" s="7">
        <v>785.51</v>
      </c>
      <c r="K630" s="7">
        <v>40846.519999999997</v>
      </c>
      <c r="L630">
        <v>562</v>
      </c>
      <c r="M630" t="s">
        <v>704</v>
      </c>
      <c r="N630" s="6">
        <f t="shared" si="37"/>
        <v>45809</v>
      </c>
      <c r="O630" t="s">
        <v>160</v>
      </c>
      <c r="P630" t="str">
        <f t="shared" si="38"/>
        <v>June 2025</v>
      </c>
      <c r="Q630" t="s">
        <v>37</v>
      </c>
      <c r="R630" s="7">
        <v>32372.31</v>
      </c>
      <c r="S630" s="7">
        <f t="shared" si="39"/>
        <v>73218.83</v>
      </c>
    </row>
    <row r="631" spans="1:19" x14ac:dyDescent="0.3">
      <c r="A631" t="s">
        <v>1069</v>
      </c>
      <c r="B631" s="5" t="s">
        <v>342</v>
      </c>
      <c r="C631" s="6">
        <f t="shared" si="36"/>
        <v>45839</v>
      </c>
      <c r="D631" t="s">
        <v>96</v>
      </c>
      <c r="E631" t="s">
        <v>143</v>
      </c>
      <c r="F631" t="s">
        <v>45</v>
      </c>
      <c r="G631" t="s">
        <v>82</v>
      </c>
      <c r="H631" t="s">
        <v>91</v>
      </c>
      <c r="I631">
        <v>467</v>
      </c>
      <c r="J631" s="7">
        <v>396.08</v>
      </c>
      <c r="K631" s="7">
        <v>184969.36</v>
      </c>
      <c r="L631">
        <v>434</v>
      </c>
      <c r="M631" t="s">
        <v>103</v>
      </c>
      <c r="N631" s="6">
        <f t="shared" si="37"/>
        <v>45839</v>
      </c>
      <c r="O631" t="s">
        <v>402</v>
      </c>
      <c r="P631" t="str">
        <f t="shared" si="38"/>
        <v>August 2025</v>
      </c>
      <c r="Q631" t="s">
        <v>28</v>
      </c>
      <c r="R631" s="7">
        <v>17642.75</v>
      </c>
      <c r="S631" s="7">
        <f t="shared" si="39"/>
        <v>202612.11</v>
      </c>
    </row>
    <row r="632" spans="1:19" x14ac:dyDescent="0.3">
      <c r="A632" t="s">
        <v>1070</v>
      </c>
      <c r="B632" s="5" t="s">
        <v>212</v>
      </c>
      <c r="C632" s="6">
        <f t="shared" si="36"/>
        <v>45901</v>
      </c>
      <c r="D632" t="s">
        <v>52</v>
      </c>
      <c r="E632" t="s">
        <v>143</v>
      </c>
      <c r="F632" t="s">
        <v>59</v>
      </c>
      <c r="G632" t="s">
        <v>168</v>
      </c>
      <c r="H632" t="s">
        <v>61</v>
      </c>
      <c r="I632">
        <v>1803</v>
      </c>
      <c r="J632" s="7">
        <v>881.19</v>
      </c>
      <c r="K632" s="7">
        <v>1588785.57</v>
      </c>
      <c r="L632">
        <v>224</v>
      </c>
      <c r="M632" t="s">
        <v>162</v>
      </c>
      <c r="N632" s="6">
        <f t="shared" si="37"/>
        <v>45901</v>
      </c>
      <c r="O632" t="s">
        <v>162</v>
      </c>
      <c r="P632" t="str">
        <f t="shared" si="38"/>
        <v>September 2025</v>
      </c>
      <c r="Q632" t="s">
        <v>37</v>
      </c>
      <c r="R632" s="7">
        <v>12384.09</v>
      </c>
      <c r="S632" s="7">
        <f t="shared" si="39"/>
        <v>1601169.6600000001</v>
      </c>
    </row>
    <row r="633" spans="1:19" x14ac:dyDescent="0.3">
      <c r="A633" t="s">
        <v>1071</v>
      </c>
      <c r="B633" s="5" t="s">
        <v>746</v>
      </c>
      <c r="C633" s="6">
        <f t="shared" si="36"/>
        <v>45992</v>
      </c>
      <c r="D633" t="s">
        <v>65</v>
      </c>
      <c r="E633" t="s">
        <v>143</v>
      </c>
      <c r="F633" t="s">
        <v>33</v>
      </c>
      <c r="G633" t="s">
        <v>138</v>
      </c>
      <c r="H633" t="s">
        <v>132</v>
      </c>
      <c r="I633">
        <v>2277</v>
      </c>
      <c r="J633" s="7">
        <v>646.11</v>
      </c>
      <c r="K633" s="7">
        <v>1471192.47</v>
      </c>
      <c r="L633">
        <v>556</v>
      </c>
      <c r="M633" t="s">
        <v>122</v>
      </c>
      <c r="N633" s="6">
        <f t="shared" si="37"/>
        <v>45992</v>
      </c>
      <c r="O633" t="s">
        <v>124</v>
      </c>
      <c r="P633" t="str">
        <f t="shared" si="38"/>
        <v>December 2025</v>
      </c>
      <c r="Q633" t="s">
        <v>28</v>
      </c>
      <c r="R633" s="7">
        <v>24033.07</v>
      </c>
      <c r="S633" s="7">
        <f t="shared" si="39"/>
        <v>1495225.54</v>
      </c>
    </row>
    <row r="634" spans="1:19" x14ac:dyDescent="0.3">
      <c r="A634" t="s">
        <v>1072</v>
      </c>
      <c r="B634" s="5" t="s">
        <v>362</v>
      </c>
      <c r="C634" s="6">
        <f t="shared" si="36"/>
        <v>45962</v>
      </c>
      <c r="D634" t="s">
        <v>31</v>
      </c>
      <c r="E634" t="s">
        <v>22</v>
      </c>
      <c r="F634" t="s">
        <v>33</v>
      </c>
      <c r="G634" t="s">
        <v>202</v>
      </c>
      <c r="H634" t="s">
        <v>91</v>
      </c>
      <c r="I634">
        <v>1789</v>
      </c>
      <c r="J634" s="7">
        <v>799.07</v>
      </c>
      <c r="K634" s="7">
        <v>1429536.23</v>
      </c>
      <c r="L634">
        <v>84</v>
      </c>
      <c r="M634" t="s">
        <v>385</v>
      </c>
      <c r="N634" s="6">
        <f t="shared" si="37"/>
        <v>45962</v>
      </c>
      <c r="O634" t="s">
        <v>39</v>
      </c>
      <c r="P634" t="str">
        <f t="shared" si="38"/>
        <v>November 2025</v>
      </c>
      <c r="Q634" t="s">
        <v>28</v>
      </c>
      <c r="R634" s="7">
        <v>4654.47</v>
      </c>
      <c r="S634" s="7">
        <f t="shared" si="39"/>
        <v>1434190.7</v>
      </c>
    </row>
    <row r="635" spans="1:19" x14ac:dyDescent="0.3">
      <c r="A635" t="s">
        <v>1073</v>
      </c>
      <c r="B635" s="5" t="s">
        <v>113</v>
      </c>
      <c r="C635" s="6">
        <f t="shared" si="36"/>
        <v>45809</v>
      </c>
      <c r="D635" t="s">
        <v>65</v>
      </c>
      <c r="E635" t="s">
        <v>53</v>
      </c>
      <c r="F635" t="s">
        <v>23</v>
      </c>
      <c r="G635" t="s">
        <v>86</v>
      </c>
      <c r="H635" t="s">
        <v>91</v>
      </c>
      <c r="I635">
        <v>2352</v>
      </c>
      <c r="J635" s="7">
        <v>178.89</v>
      </c>
      <c r="K635" s="7">
        <v>420749.28</v>
      </c>
      <c r="L635">
        <v>40</v>
      </c>
      <c r="M635" t="s">
        <v>114</v>
      </c>
      <c r="N635" s="6">
        <f t="shared" si="37"/>
        <v>45809</v>
      </c>
      <c r="O635" t="s">
        <v>114</v>
      </c>
      <c r="P635" t="str">
        <f t="shared" si="38"/>
        <v>June 2025</v>
      </c>
      <c r="Q635" t="s">
        <v>37</v>
      </c>
      <c r="R635" s="7">
        <v>2458.86</v>
      </c>
      <c r="S635" s="7">
        <f t="shared" si="39"/>
        <v>423208.14</v>
      </c>
    </row>
    <row r="636" spans="1:19" x14ac:dyDescent="0.3">
      <c r="A636" t="s">
        <v>1074</v>
      </c>
      <c r="B636" s="5" t="s">
        <v>319</v>
      </c>
      <c r="C636" s="6">
        <f t="shared" si="36"/>
        <v>45658</v>
      </c>
      <c r="D636" t="s">
        <v>31</v>
      </c>
      <c r="E636" t="s">
        <v>75</v>
      </c>
      <c r="F636" t="s">
        <v>59</v>
      </c>
      <c r="G636" t="s">
        <v>88</v>
      </c>
      <c r="H636" t="s">
        <v>155</v>
      </c>
      <c r="I636">
        <v>1089</v>
      </c>
      <c r="J636" s="7">
        <v>501.24</v>
      </c>
      <c r="K636" s="7">
        <v>545850.36</v>
      </c>
      <c r="L636">
        <v>701</v>
      </c>
      <c r="M636" t="s">
        <v>287</v>
      </c>
      <c r="N636" s="6">
        <f t="shared" si="37"/>
        <v>45658</v>
      </c>
      <c r="O636" t="s">
        <v>328</v>
      </c>
      <c r="P636" t="str">
        <f t="shared" si="38"/>
        <v>January 2025</v>
      </c>
      <c r="Q636" t="s">
        <v>28</v>
      </c>
      <c r="R636" s="7">
        <v>33784.379999999997</v>
      </c>
      <c r="S636" s="7">
        <f t="shared" si="39"/>
        <v>579634.74</v>
      </c>
    </row>
    <row r="637" spans="1:19" x14ac:dyDescent="0.3">
      <c r="A637" t="s">
        <v>1075</v>
      </c>
      <c r="B637" s="5" t="s">
        <v>156</v>
      </c>
      <c r="C637" s="6">
        <f t="shared" si="36"/>
        <v>45931</v>
      </c>
      <c r="D637" t="s">
        <v>128</v>
      </c>
      <c r="E637" t="s">
        <v>75</v>
      </c>
      <c r="F637" t="s">
        <v>33</v>
      </c>
      <c r="G637" t="s">
        <v>159</v>
      </c>
      <c r="H637" t="s">
        <v>91</v>
      </c>
      <c r="I637">
        <v>71</v>
      </c>
      <c r="J637" s="7">
        <v>252.36</v>
      </c>
      <c r="K637" s="7">
        <v>17917.560000000001</v>
      </c>
      <c r="L637">
        <v>380</v>
      </c>
      <c r="M637" t="s">
        <v>645</v>
      </c>
      <c r="N637" s="6">
        <f t="shared" si="37"/>
        <v>45931</v>
      </c>
      <c r="O637" t="s">
        <v>645</v>
      </c>
      <c r="P637" t="str">
        <f t="shared" si="38"/>
        <v>October 2025</v>
      </c>
      <c r="Q637" t="s">
        <v>37</v>
      </c>
      <c r="R637" s="7">
        <v>19612.61</v>
      </c>
      <c r="S637" s="7">
        <f t="shared" si="39"/>
        <v>37530.17</v>
      </c>
    </row>
    <row r="638" spans="1:19" x14ac:dyDescent="0.3">
      <c r="A638" t="s">
        <v>1076</v>
      </c>
      <c r="B638" s="5" t="s">
        <v>429</v>
      </c>
      <c r="C638" s="6">
        <f t="shared" si="36"/>
        <v>45748</v>
      </c>
      <c r="D638" t="s">
        <v>52</v>
      </c>
      <c r="E638" t="s">
        <v>32</v>
      </c>
      <c r="F638" t="s">
        <v>23</v>
      </c>
      <c r="G638" t="s">
        <v>283</v>
      </c>
      <c r="H638" t="s">
        <v>77</v>
      </c>
      <c r="I638">
        <v>238</v>
      </c>
      <c r="J638" s="7">
        <v>538.71</v>
      </c>
      <c r="K638" s="7">
        <v>128212.98</v>
      </c>
      <c r="L638">
        <v>560</v>
      </c>
      <c r="M638" t="s">
        <v>507</v>
      </c>
      <c r="N638" s="6">
        <f t="shared" si="37"/>
        <v>45748</v>
      </c>
      <c r="O638" t="s">
        <v>376</v>
      </c>
      <c r="P638" t="str">
        <f t="shared" si="38"/>
        <v>April 2025</v>
      </c>
      <c r="Q638" t="s">
        <v>28</v>
      </c>
      <c r="R638" s="7">
        <v>22215.56</v>
      </c>
      <c r="S638" s="7">
        <f t="shared" si="39"/>
        <v>150428.54</v>
      </c>
    </row>
    <row r="639" spans="1:19" x14ac:dyDescent="0.3">
      <c r="A639" t="s">
        <v>1077</v>
      </c>
      <c r="B639" s="5" t="s">
        <v>343</v>
      </c>
      <c r="C639" s="6">
        <f t="shared" si="36"/>
        <v>45839</v>
      </c>
      <c r="D639" t="s">
        <v>128</v>
      </c>
      <c r="E639" t="s">
        <v>143</v>
      </c>
      <c r="F639" t="s">
        <v>33</v>
      </c>
      <c r="G639" t="s">
        <v>222</v>
      </c>
      <c r="H639" t="s">
        <v>61</v>
      </c>
      <c r="I639">
        <v>1184</v>
      </c>
      <c r="J639" s="7">
        <v>132.25</v>
      </c>
      <c r="K639" s="7">
        <v>156584</v>
      </c>
      <c r="L639">
        <v>116</v>
      </c>
      <c r="M639" t="s">
        <v>401</v>
      </c>
      <c r="N639" s="6">
        <f t="shared" si="37"/>
        <v>45839</v>
      </c>
      <c r="O639" t="s">
        <v>401</v>
      </c>
      <c r="P639" t="str">
        <f t="shared" si="38"/>
        <v>July 2025</v>
      </c>
      <c r="Q639" t="s">
        <v>37</v>
      </c>
      <c r="R639" s="7">
        <v>7161.38</v>
      </c>
      <c r="S639" s="7">
        <f t="shared" si="39"/>
        <v>163745.38</v>
      </c>
    </row>
    <row r="640" spans="1:19" x14ac:dyDescent="0.3">
      <c r="A640" t="s">
        <v>1078</v>
      </c>
      <c r="B640" s="5" t="s">
        <v>113</v>
      </c>
      <c r="C640" s="6">
        <f t="shared" si="36"/>
        <v>45809</v>
      </c>
      <c r="D640" t="s">
        <v>109</v>
      </c>
      <c r="E640" t="s">
        <v>53</v>
      </c>
      <c r="F640" t="s">
        <v>33</v>
      </c>
      <c r="G640" t="s">
        <v>265</v>
      </c>
      <c r="H640" t="s">
        <v>123</v>
      </c>
      <c r="I640">
        <v>159</v>
      </c>
      <c r="J640" s="7">
        <v>779.42</v>
      </c>
      <c r="K640" s="7">
        <v>123927.78</v>
      </c>
      <c r="L640">
        <v>328</v>
      </c>
      <c r="M640" t="s">
        <v>114</v>
      </c>
      <c r="N640" s="6">
        <f t="shared" si="37"/>
        <v>45809</v>
      </c>
      <c r="O640" t="s">
        <v>114</v>
      </c>
      <c r="P640" t="str">
        <f t="shared" si="38"/>
        <v>June 2025</v>
      </c>
      <c r="Q640" t="s">
        <v>37</v>
      </c>
      <c r="R640" s="7">
        <v>19729.849999999999</v>
      </c>
      <c r="S640" s="7">
        <f t="shared" si="39"/>
        <v>143657.63</v>
      </c>
    </row>
    <row r="641" spans="1:19" x14ac:dyDescent="0.3">
      <c r="A641" t="s">
        <v>1079</v>
      </c>
      <c r="B641" s="5" t="s">
        <v>607</v>
      </c>
      <c r="C641" s="6">
        <f t="shared" si="36"/>
        <v>45931</v>
      </c>
      <c r="D641" t="s">
        <v>96</v>
      </c>
      <c r="E641" t="s">
        <v>22</v>
      </c>
      <c r="F641" t="s">
        <v>33</v>
      </c>
      <c r="G641" t="s">
        <v>351</v>
      </c>
      <c r="H641" t="s">
        <v>47</v>
      </c>
      <c r="I641">
        <v>537</v>
      </c>
      <c r="J641" s="7">
        <v>198.63</v>
      </c>
      <c r="K641" s="7">
        <v>106664.31</v>
      </c>
      <c r="L641">
        <v>334</v>
      </c>
      <c r="M641" t="s">
        <v>140</v>
      </c>
      <c r="N641" s="6">
        <f t="shared" si="37"/>
        <v>45931</v>
      </c>
      <c r="O641" t="s">
        <v>90</v>
      </c>
      <c r="P641" t="str">
        <f t="shared" si="38"/>
        <v>October 2025</v>
      </c>
      <c r="Q641" t="s">
        <v>28</v>
      </c>
      <c r="R641" s="7">
        <v>11925.61</v>
      </c>
      <c r="S641" s="7">
        <f t="shared" si="39"/>
        <v>118589.92</v>
      </c>
    </row>
    <row r="642" spans="1:19" x14ac:dyDescent="0.3">
      <c r="A642" t="s">
        <v>1080</v>
      </c>
      <c r="B642" s="5" t="s">
        <v>834</v>
      </c>
      <c r="C642" s="6">
        <f t="shared" si="36"/>
        <v>45931</v>
      </c>
      <c r="D642" t="s">
        <v>109</v>
      </c>
      <c r="E642" t="s">
        <v>32</v>
      </c>
      <c r="F642" t="s">
        <v>45</v>
      </c>
      <c r="G642" t="s">
        <v>66</v>
      </c>
      <c r="H642" t="s">
        <v>132</v>
      </c>
      <c r="I642">
        <v>687</v>
      </c>
      <c r="J642" s="7">
        <v>763.11</v>
      </c>
      <c r="K642" s="7">
        <v>524256.57</v>
      </c>
      <c r="L642">
        <v>150</v>
      </c>
      <c r="M642" t="s">
        <v>189</v>
      </c>
      <c r="N642" s="6">
        <f t="shared" si="37"/>
        <v>45931</v>
      </c>
      <c r="O642" t="s">
        <v>189</v>
      </c>
      <c r="P642" t="str">
        <f t="shared" si="38"/>
        <v>October 2025</v>
      </c>
      <c r="Q642" t="s">
        <v>37</v>
      </c>
      <c r="R642" s="7">
        <v>6303.7</v>
      </c>
      <c r="S642" s="7">
        <f t="shared" si="39"/>
        <v>530560.27</v>
      </c>
    </row>
    <row r="643" spans="1:19" x14ac:dyDescent="0.3">
      <c r="A643" t="s">
        <v>1081</v>
      </c>
      <c r="B643" s="5" t="s">
        <v>631</v>
      </c>
      <c r="C643" s="6">
        <f t="shared" ref="C643:C706" si="40">DATE(YEAR(B643), MONTH(B643), 1)</f>
        <v>45962</v>
      </c>
      <c r="D643" t="s">
        <v>40</v>
      </c>
      <c r="E643" t="s">
        <v>143</v>
      </c>
      <c r="F643" t="s">
        <v>23</v>
      </c>
      <c r="G643" t="s">
        <v>163</v>
      </c>
      <c r="H643" t="s">
        <v>35</v>
      </c>
      <c r="I643">
        <v>2370</v>
      </c>
      <c r="J643" s="7">
        <v>667.23</v>
      </c>
      <c r="K643" s="7">
        <v>1581335.1</v>
      </c>
      <c r="L643">
        <v>670</v>
      </c>
      <c r="M643" t="s">
        <v>1082</v>
      </c>
      <c r="N643" s="6">
        <f t="shared" ref="N643:N706" si="41">DATE(YEAR(M643), MONTH(M643),1)</f>
        <v>45962</v>
      </c>
      <c r="O643" t="s">
        <v>563</v>
      </c>
      <c r="P643" t="str">
        <f t="shared" ref="P643:P706" si="42">TEXT(O643, "mmmm yyyy")</f>
        <v>December 2025</v>
      </c>
      <c r="Q643" t="s">
        <v>28</v>
      </c>
      <c r="R643" s="7">
        <v>29480.53</v>
      </c>
      <c r="S643" s="7">
        <f t="shared" ref="S643:S706" si="43">K643 +R643</f>
        <v>1610815.6300000001</v>
      </c>
    </row>
    <row r="644" spans="1:19" x14ac:dyDescent="0.3">
      <c r="A644" t="s">
        <v>1083</v>
      </c>
      <c r="B644" s="5" t="s">
        <v>295</v>
      </c>
      <c r="C644" s="6">
        <f t="shared" si="40"/>
        <v>45717</v>
      </c>
      <c r="D644" t="s">
        <v>65</v>
      </c>
      <c r="E644" t="s">
        <v>143</v>
      </c>
      <c r="F644" t="s">
        <v>23</v>
      </c>
      <c r="G644" t="s">
        <v>71</v>
      </c>
      <c r="H644" t="s">
        <v>35</v>
      </c>
      <c r="I644">
        <v>1023</v>
      </c>
      <c r="J644" s="7">
        <v>665.22</v>
      </c>
      <c r="K644" s="7">
        <v>680520.06</v>
      </c>
      <c r="L644">
        <v>276</v>
      </c>
      <c r="M644" t="s">
        <v>739</v>
      </c>
      <c r="N644" s="6">
        <f t="shared" si="41"/>
        <v>45717</v>
      </c>
      <c r="O644" t="s">
        <v>454</v>
      </c>
      <c r="P644" t="str">
        <f t="shared" si="42"/>
        <v>March 2025</v>
      </c>
      <c r="Q644" t="s">
        <v>28</v>
      </c>
      <c r="R644" s="7">
        <v>11115.93</v>
      </c>
      <c r="S644" s="7">
        <f t="shared" si="43"/>
        <v>691635.99000000011</v>
      </c>
    </row>
    <row r="645" spans="1:19" x14ac:dyDescent="0.3">
      <c r="A645" t="s">
        <v>1084</v>
      </c>
      <c r="B645" s="5" t="s">
        <v>111</v>
      </c>
      <c r="C645" s="6">
        <f t="shared" si="40"/>
        <v>45992</v>
      </c>
      <c r="D645" t="s">
        <v>128</v>
      </c>
      <c r="E645" t="s">
        <v>70</v>
      </c>
      <c r="F645" t="s">
        <v>59</v>
      </c>
      <c r="G645" t="s">
        <v>202</v>
      </c>
      <c r="H645" t="s">
        <v>47</v>
      </c>
      <c r="I645">
        <v>2364</v>
      </c>
      <c r="J645" s="7">
        <v>349.53</v>
      </c>
      <c r="K645" s="7">
        <v>826288.92</v>
      </c>
      <c r="L645">
        <v>306</v>
      </c>
      <c r="M645" t="s">
        <v>117</v>
      </c>
      <c r="N645" s="6">
        <f t="shared" si="41"/>
        <v>45992</v>
      </c>
      <c r="O645" t="s">
        <v>119</v>
      </c>
      <c r="P645" t="str">
        <f t="shared" si="42"/>
        <v>December 2025</v>
      </c>
      <c r="Q645" t="s">
        <v>28</v>
      </c>
      <c r="R645" s="7">
        <v>14346.27</v>
      </c>
      <c r="S645" s="7">
        <f t="shared" si="43"/>
        <v>840635.19000000006</v>
      </c>
    </row>
    <row r="646" spans="1:19" x14ac:dyDescent="0.3">
      <c r="A646" t="s">
        <v>1085</v>
      </c>
      <c r="B646" s="5" t="s">
        <v>545</v>
      </c>
      <c r="C646" s="6">
        <f t="shared" si="40"/>
        <v>45992</v>
      </c>
      <c r="D646" t="s">
        <v>21</v>
      </c>
      <c r="E646" t="s">
        <v>32</v>
      </c>
      <c r="F646" t="s">
        <v>23</v>
      </c>
      <c r="G646" t="s">
        <v>494</v>
      </c>
      <c r="H646" t="s">
        <v>155</v>
      </c>
      <c r="I646">
        <v>1642</v>
      </c>
      <c r="J646" s="7">
        <v>816.92</v>
      </c>
      <c r="K646" s="7">
        <v>1341382.6399999999</v>
      </c>
      <c r="L646">
        <v>26</v>
      </c>
      <c r="M646" t="s">
        <v>108</v>
      </c>
      <c r="N646" s="6">
        <f t="shared" si="41"/>
        <v>45992</v>
      </c>
      <c r="O646" t="s">
        <v>108</v>
      </c>
      <c r="P646" t="str">
        <f t="shared" si="42"/>
        <v>December 2025</v>
      </c>
      <c r="Q646" t="s">
        <v>37</v>
      </c>
      <c r="R646" s="7">
        <v>1204.42</v>
      </c>
      <c r="S646" s="7">
        <f t="shared" si="43"/>
        <v>1342587.0599999998</v>
      </c>
    </row>
    <row r="647" spans="1:19" x14ac:dyDescent="0.3">
      <c r="A647" t="s">
        <v>1086</v>
      </c>
      <c r="B647" s="5" t="s">
        <v>660</v>
      </c>
      <c r="C647" s="6">
        <f t="shared" si="40"/>
        <v>45748</v>
      </c>
      <c r="D647" t="s">
        <v>31</v>
      </c>
      <c r="E647" t="s">
        <v>22</v>
      </c>
      <c r="F647" t="s">
        <v>45</v>
      </c>
      <c r="G647" t="s">
        <v>76</v>
      </c>
      <c r="H647" t="s">
        <v>35</v>
      </c>
      <c r="I647">
        <v>1407</v>
      </c>
      <c r="J647" s="7">
        <v>82.78</v>
      </c>
      <c r="K647" s="7">
        <v>116471.46</v>
      </c>
      <c r="L647">
        <v>323</v>
      </c>
      <c r="M647" t="s">
        <v>922</v>
      </c>
      <c r="N647" s="6">
        <f t="shared" si="41"/>
        <v>45748</v>
      </c>
      <c r="O647" t="s">
        <v>922</v>
      </c>
      <c r="P647" t="str">
        <f t="shared" si="42"/>
        <v>April 2025</v>
      </c>
      <c r="Q647" t="s">
        <v>37</v>
      </c>
      <c r="R647" s="7">
        <v>13566.29</v>
      </c>
      <c r="S647" s="7">
        <f t="shared" si="43"/>
        <v>130037.75</v>
      </c>
    </row>
    <row r="648" spans="1:19" x14ac:dyDescent="0.3">
      <c r="A648" t="s">
        <v>1087</v>
      </c>
      <c r="B648" s="5" t="s">
        <v>221</v>
      </c>
      <c r="C648" s="6">
        <f t="shared" si="40"/>
        <v>45778</v>
      </c>
      <c r="D648" t="s">
        <v>52</v>
      </c>
      <c r="E648" t="s">
        <v>70</v>
      </c>
      <c r="F648" t="s">
        <v>45</v>
      </c>
      <c r="G648" t="s">
        <v>54</v>
      </c>
      <c r="H648" t="s">
        <v>25</v>
      </c>
      <c r="I648">
        <v>744</v>
      </c>
      <c r="J648" s="7">
        <v>334</v>
      </c>
      <c r="K648" s="7">
        <v>248496</v>
      </c>
      <c r="L648">
        <v>547</v>
      </c>
      <c r="M648" t="s">
        <v>223</v>
      </c>
      <c r="N648" s="6">
        <f t="shared" si="41"/>
        <v>45778</v>
      </c>
      <c r="O648" t="s">
        <v>223</v>
      </c>
      <c r="P648" t="str">
        <f t="shared" si="42"/>
        <v>May 2025</v>
      </c>
      <c r="Q648" t="s">
        <v>37</v>
      </c>
      <c r="R648" s="7">
        <v>22193.68</v>
      </c>
      <c r="S648" s="7">
        <f t="shared" si="43"/>
        <v>270689.68</v>
      </c>
    </row>
    <row r="649" spans="1:19" x14ac:dyDescent="0.3">
      <c r="A649" t="s">
        <v>1088</v>
      </c>
      <c r="B649" s="5" t="s">
        <v>500</v>
      </c>
      <c r="C649" s="6">
        <f t="shared" si="40"/>
        <v>45689</v>
      </c>
      <c r="D649" t="s">
        <v>52</v>
      </c>
      <c r="E649" t="s">
        <v>22</v>
      </c>
      <c r="F649" t="s">
        <v>59</v>
      </c>
      <c r="G649" t="s">
        <v>159</v>
      </c>
      <c r="H649" t="s">
        <v>61</v>
      </c>
      <c r="I649">
        <v>2075</v>
      </c>
      <c r="J649" s="7">
        <v>124.28</v>
      </c>
      <c r="K649" s="7">
        <v>257881</v>
      </c>
      <c r="L649">
        <v>437</v>
      </c>
      <c r="M649" t="s">
        <v>150</v>
      </c>
      <c r="N649" s="6">
        <f t="shared" si="41"/>
        <v>45689</v>
      </c>
      <c r="O649" t="s">
        <v>912</v>
      </c>
      <c r="P649" t="str">
        <f t="shared" si="42"/>
        <v>February 2025</v>
      </c>
      <c r="Q649" t="s">
        <v>28</v>
      </c>
      <c r="R649" s="7">
        <v>25744.79</v>
      </c>
      <c r="S649" s="7">
        <f t="shared" si="43"/>
        <v>283625.78999999998</v>
      </c>
    </row>
    <row r="650" spans="1:19" x14ac:dyDescent="0.3">
      <c r="A650" t="s">
        <v>1089</v>
      </c>
      <c r="B650" s="5" t="s">
        <v>960</v>
      </c>
      <c r="C650" s="6">
        <f t="shared" si="40"/>
        <v>45717</v>
      </c>
      <c r="D650" t="s">
        <v>31</v>
      </c>
      <c r="E650" t="s">
        <v>143</v>
      </c>
      <c r="F650" t="s">
        <v>45</v>
      </c>
      <c r="G650" t="s">
        <v>82</v>
      </c>
      <c r="H650" t="s">
        <v>132</v>
      </c>
      <c r="I650">
        <v>1579</v>
      </c>
      <c r="J650" s="7">
        <v>877.46</v>
      </c>
      <c r="K650" s="7">
        <v>1385509.34</v>
      </c>
      <c r="L650">
        <v>192</v>
      </c>
      <c r="M650" t="s">
        <v>679</v>
      </c>
      <c r="N650" s="6">
        <f t="shared" si="41"/>
        <v>45717</v>
      </c>
      <c r="O650" t="s">
        <v>679</v>
      </c>
      <c r="P650" t="str">
        <f t="shared" si="42"/>
        <v>March 2025</v>
      </c>
      <c r="Q650" t="s">
        <v>37</v>
      </c>
      <c r="R650" s="7">
        <v>8507.31</v>
      </c>
      <c r="S650" s="7">
        <f t="shared" si="43"/>
        <v>1394016.6500000001</v>
      </c>
    </row>
    <row r="651" spans="1:19" x14ac:dyDescent="0.3">
      <c r="A651" t="s">
        <v>1090</v>
      </c>
      <c r="B651" s="5" t="s">
        <v>212</v>
      </c>
      <c r="C651" s="6">
        <f t="shared" si="40"/>
        <v>45901</v>
      </c>
      <c r="D651" t="s">
        <v>21</v>
      </c>
      <c r="E651" t="s">
        <v>53</v>
      </c>
      <c r="F651" t="s">
        <v>23</v>
      </c>
      <c r="G651" t="s">
        <v>168</v>
      </c>
      <c r="H651" t="s">
        <v>123</v>
      </c>
      <c r="I651">
        <v>1009</v>
      </c>
      <c r="J651" s="7">
        <v>517.80999999999995</v>
      </c>
      <c r="K651" s="7">
        <v>522470.29</v>
      </c>
      <c r="L651">
        <v>153</v>
      </c>
      <c r="M651" t="s">
        <v>162</v>
      </c>
      <c r="N651" s="6">
        <f t="shared" si="41"/>
        <v>45901</v>
      </c>
      <c r="O651" t="s">
        <v>162</v>
      </c>
      <c r="P651" t="str">
        <f t="shared" si="42"/>
        <v>September 2025</v>
      </c>
      <c r="Q651" t="s">
        <v>37</v>
      </c>
      <c r="R651" s="7">
        <v>8131.13</v>
      </c>
      <c r="S651" s="7">
        <f t="shared" si="43"/>
        <v>530601.41999999993</v>
      </c>
    </row>
    <row r="652" spans="1:19" x14ac:dyDescent="0.3">
      <c r="A652" t="s">
        <v>1091</v>
      </c>
      <c r="B652" s="5" t="s">
        <v>607</v>
      </c>
      <c r="C652" s="6">
        <f t="shared" si="40"/>
        <v>45931</v>
      </c>
      <c r="D652" t="s">
        <v>109</v>
      </c>
      <c r="E652" t="s">
        <v>143</v>
      </c>
      <c r="F652" t="s">
        <v>59</v>
      </c>
      <c r="G652" t="s">
        <v>222</v>
      </c>
      <c r="H652" t="s">
        <v>77</v>
      </c>
      <c r="I652">
        <v>1736</v>
      </c>
      <c r="J652" s="7">
        <v>879.58</v>
      </c>
      <c r="K652" s="7">
        <v>1526950.88</v>
      </c>
      <c r="L652">
        <v>649</v>
      </c>
      <c r="M652" t="s">
        <v>199</v>
      </c>
      <c r="N652" s="6">
        <f t="shared" si="41"/>
        <v>45931</v>
      </c>
      <c r="O652" t="s">
        <v>93</v>
      </c>
      <c r="P652" t="str">
        <f t="shared" si="42"/>
        <v>October 2025</v>
      </c>
      <c r="Q652" t="s">
        <v>28</v>
      </c>
      <c r="R652" s="7">
        <v>0</v>
      </c>
      <c r="S652" s="7">
        <f t="shared" si="43"/>
        <v>1526950.88</v>
      </c>
    </row>
    <row r="653" spans="1:19" x14ac:dyDescent="0.3">
      <c r="A653" t="s">
        <v>1092</v>
      </c>
      <c r="B653" s="5" t="s">
        <v>680</v>
      </c>
      <c r="C653" s="6">
        <f t="shared" si="40"/>
        <v>45717</v>
      </c>
      <c r="D653" t="s">
        <v>128</v>
      </c>
      <c r="E653" t="s">
        <v>22</v>
      </c>
      <c r="F653" t="s">
        <v>45</v>
      </c>
      <c r="G653" t="s">
        <v>60</v>
      </c>
      <c r="H653" t="s">
        <v>132</v>
      </c>
      <c r="I653">
        <v>1501</v>
      </c>
      <c r="J653" s="7">
        <v>506.4</v>
      </c>
      <c r="K653" s="7">
        <v>760106.4</v>
      </c>
      <c r="L653">
        <v>151</v>
      </c>
      <c r="M653" t="s">
        <v>295</v>
      </c>
      <c r="N653" s="6">
        <f t="shared" si="41"/>
        <v>45717</v>
      </c>
      <c r="O653" t="s">
        <v>296</v>
      </c>
      <c r="P653" t="str">
        <f t="shared" si="42"/>
        <v>March 2025</v>
      </c>
      <c r="Q653" t="s">
        <v>28</v>
      </c>
      <c r="R653" s="7">
        <v>7615.69</v>
      </c>
      <c r="S653" s="7">
        <f t="shared" si="43"/>
        <v>767722.09</v>
      </c>
    </row>
    <row r="654" spans="1:19" x14ac:dyDescent="0.3">
      <c r="A654" t="s">
        <v>1093</v>
      </c>
      <c r="B654" s="5" t="s">
        <v>447</v>
      </c>
      <c r="C654" s="6">
        <f t="shared" si="40"/>
        <v>45931</v>
      </c>
      <c r="D654" t="s">
        <v>65</v>
      </c>
      <c r="E654" t="s">
        <v>32</v>
      </c>
      <c r="F654" t="s">
        <v>33</v>
      </c>
      <c r="G654" t="s">
        <v>227</v>
      </c>
      <c r="H654" t="s">
        <v>61</v>
      </c>
      <c r="I654">
        <v>1372</v>
      </c>
      <c r="J654" s="7">
        <v>380.09</v>
      </c>
      <c r="K654" s="7">
        <v>521483.48</v>
      </c>
      <c r="L654">
        <v>607</v>
      </c>
      <c r="M654" t="s">
        <v>448</v>
      </c>
      <c r="N654" s="6">
        <f t="shared" si="41"/>
        <v>45931</v>
      </c>
      <c r="O654" t="s">
        <v>645</v>
      </c>
      <c r="P654" t="str">
        <f t="shared" si="42"/>
        <v>October 2025</v>
      </c>
      <c r="Q654" t="s">
        <v>28</v>
      </c>
      <c r="R654" s="7">
        <v>21801.23</v>
      </c>
      <c r="S654" s="7">
        <f t="shared" si="43"/>
        <v>543284.71</v>
      </c>
    </row>
    <row r="655" spans="1:19" x14ac:dyDescent="0.3">
      <c r="A655" t="s">
        <v>1094</v>
      </c>
      <c r="B655" s="5" t="s">
        <v>425</v>
      </c>
      <c r="C655" s="6">
        <f t="shared" si="40"/>
        <v>45839</v>
      </c>
      <c r="D655" t="s">
        <v>96</v>
      </c>
      <c r="E655" t="s">
        <v>32</v>
      </c>
      <c r="F655" t="s">
        <v>23</v>
      </c>
      <c r="G655" t="s">
        <v>168</v>
      </c>
      <c r="H655" t="s">
        <v>155</v>
      </c>
      <c r="I655">
        <v>1028</v>
      </c>
      <c r="J655" s="7">
        <v>838.96</v>
      </c>
      <c r="K655" s="7">
        <v>862450.88</v>
      </c>
      <c r="L655">
        <v>699</v>
      </c>
      <c r="M655" t="s">
        <v>505</v>
      </c>
      <c r="N655" s="6">
        <f t="shared" si="41"/>
        <v>45839</v>
      </c>
      <c r="O655" t="s">
        <v>513</v>
      </c>
      <c r="P655" t="str">
        <f t="shared" si="42"/>
        <v>July 2025</v>
      </c>
      <c r="Q655" t="s">
        <v>28</v>
      </c>
      <c r="R655" s="7">
        <v>39595.01</v>
      </c>
      <c r="S655" s="7">
        <f t="shared" si="43"/>
        <v>902045.89</v>
      </c>
    </row>
    <row r="656" spans="1:19" x14ac:dyDescent="0.3">
      <c r="A656" t="s">
        <v>1095</v>
      </c>
      <c r="B656" s="5" t="s">
        <v>791</v>
      </c>
      <c r="C656" s="6">
        <f t="shared" si="40"/>
        <v>45717</v>
      </c>
      <c r="D656" t="s">
        <v>40</v>
      </c>
      <c r="E656" t="s">
        <v>143</v>
      </c>
      <c r="F656" t="s">
        <v>59</v>
      </c>
      <c r="G656" t="s">
        <v>283</v>
      </c>
      <c r="H656" t="s">
        <v>61</v>
      </c>
      <c r="I656">
        <v>1688</v>
      </c>
      <c r="J656" s="7">
        <v>771.8</v>
      </c>
      <c r="K656" s="7">
        <v>1302798.3999999999</v>
      </c>
      <c r="L656">
        <v>47</v>
      </c>
      <c r="M656" t="s">
        <v>67</v>
      </c>
      <c r="N656" s="6">
        <f t="shared" si="41"/>
        <v>45717</v>
      </c>
      <c r="O656" t="s">
        <v>275</v>
      </c>
      <c r="P656" t="str">
        <f t="shared" si="42"/>
        <v>March 2025</v>
      </c>
      <c r="Q656" t="s">
        <v>28</v>
      </c>
      <c r="R656" s="7">
        <v>2303.8000000000002</v>
      </c>
      <c r="S656" s="7">
        <f t="shared" si="43"/>
        <v>1305102.2</v>
      </c>
    </row>
    <row r="657" spans="1:19" x14ac:dyDescent="0.3">
      <c r="A657" t="s">
        <v>1096</v>
      </c>
      <c r="B657" s="5" t="s">
        <v>672</v>
      </c>
      <c r="C657" s="6">
        <f t="shared" si="40"/>
        <v>45901</v>
      </c>
      <c r="D657" t="s">
        <v>52</v>
      </c>
      <c r="E657" t="s">
        <v>75</v>
      </c>
      <c r="F657" t="s">
        <v>23</v>
      </c>
      <c r="G657" t="s">
        <v>24</v>
      </c>
      <c r="H657" t="s">
        <v>77</v>
      </c>
      <c r="I657">
        <v>1581</v>
      </c>
      <c r="J657" s="7">
        <v>226.96</v>
      </c>
      <c r="K657" s="7">
        <v>358823.76</v>
      </c>
      <c r="L657">
        <v>337</v>
      </c>
      <c r="M657" t="s">
        <v>256</v>
      </c>
      <c r="N657" s="6">
        <f t="shared" si="41"/>
        <v>45901</v>
      </c>
      <c r="O657" t="s">
        <v>672</v>
      </c>
      <c r="P657" t="str">
        <f t="shared" si="42"/>
        <v>September 2025</v>
      </c>
      <c r="Q657" t="s">
        <v>37</v>
      </c>
      <c r="R657" s="7">
        <v>20720.240000000002</v>
      </c>
      <c r="S657" s="7">
        <f t="shared" si="43"/>
        <v>379544</v>
      </c>
    </row>
    <row r="658" spans="1:19" x14ac:dyDescent="0.3">
      <c r="A658" t="s">
        <v>1097</v>
      </c>
      <c r="B658" s="5" t="s">
        <v>239</v>
      </c>
      <c r="C658" s="6">
        <f t="shared" si="40"/>
        <v>45962</v>
      </c>
      <c r="D658" t="s">
        <v>21</v>
      </c>
      <c r="E658" t="s">
        <v>22</v>
      </c>
      <c r="F658" t="s">
        <v>59</v>
      </c>
      <c r="G658" t="s">
        <v>82</v>
      </c>
      <c r="H658" t="s">
        <v>55</v>
      </c>
      <c r="I658">
        <v>685</v>
      </c>
      <c r="J658" s="7">
        <v>552.11</v>
      </c>
      <c r="K658" s="7">
        <v>378195.35</v>
      </c>
      <c r="L658">
        <v>654</v>
      </c>
      <c r="M658" t="s">
        <v>304</v>
      </c>
      <c r="N658" s="6">
        <f t="shared" si="41"/>
        <v>45962</v>
      </c>
      <c r="O658" t="s">
        <v>304</v>
      </c>
      <c r="P658" t="str">
        <f t="shared" si="42"/>
        <v>November 2025</v>
      </c>
      <c r="Q658" t="s">
        <v>37</v>
      </c>
      <c r="R658" s="7">
        <v>28806.26</v>
      </c>
      <c r="S658" s="7">
        <f t="shared" si="43"/>
        <v>407001.61</v>
      </c>
    </row>
    <row r="659" spans="1:19" x14ac:dyDescent="0.3">
      <c r="A659" t="s">
        <v>1098</v>
      </c>
      <c r="B659" s="5" t="s">
        <v>639</v>
      </c>
      <c r="C659" s="6">
        <f t="shared" si="40"/>
        <v>45962</v>
      </c>
      <c r="D659" t="s">
        <v>40</v>
      </c>
      <c r="E659" t="s">
        <v>143</v>
      </c>
      <c r="F659" t="s">
        <v>23</v>
      </c>
      <c r="G659" t="s">
        <v>168</v>
      </c>
      <c r="H659" t="s">
        <v>155</v>
      </c>
      <c r="I659">
        <v>1612</v>
      </c>
      <c r="J659" s="7">
        <v>866.6</v>
      </c>
      <c r="K659" s="7">
        <v>1396959.2</v>
      </c>
      <c r="L659">
        <v>514</v>
      </c>
      <c r="M659" t="s">
        <v>239</v>
      </c>
      <c r="N659" s="6">
        <f t="shared" si="41"/>
        <v>45962</v>
      </c>
      <c r="O659" t="s">
        <v>304</v>
      </c>
      <c r="P659" t="str">
        <f t="shared" si="42"/>
        <v>November 2025</v>
      </c>
      <c r="Q659" t="s">
        <v>28</v>
      </c>
      <c r="R659" s="7">
        <v>26415.84</v>
      </c>
      <c r="S659" s="7">
        <f t="shared" si="43"/>
        <v>1423375.04</v>
      </c>
    </row>
    <row r="660" spans="1:19" x14ac:dyDescent="0.3">
      <c r="A660" t="s">
        <v>1099</v>
      </c>
      <c r="B660" s="5" t="s">
        <v>453</v>
      </c>
      <c r="C660" s="6">
        <f t="shared" si="40"/>
        <v>45717</v>
      </c>
      <c r="D660" t="s">
        <v>128</v>
      </c>
      <c r="E660" t="s">
        <v>143</v>
      </c>
      <c r="F660" t="s">
        <v>45</v>
      </c>
      <c r="G660" t="s">
        <v>159</v>
      </c>
      <c r="H660" t="s">
        <v>132</v>
      </c>
      <c r="I660">
        <v>631</v>
      </c>
      <c r="J660" s="7">
        <v>98.8</v>
      </c>
      <c r="K660" s="7">
        <v>62342.8</v>
      </c>
      <c r="L660">
        <v>528</v>
      </c>
      <c r="M660" t="s">
        <v>295</v>
      </c>
      <c r="N660" s="6">
        <f t="shared" si="41"/>
        <v>45717</v>
      </c>
      <c r="O660" t="s">
        <v>295</v>
      </c>
      <c r="P660" t="str">
        <f t="shared" si="42"/>
        <v>March 2025</v>
      </c>
      <c r="Q660" t="s">
        <v>37</v>
      </c>
      <c r="R660" s="7">
        <v>30055.41</v>
      </c>
      <c r="S660" s="7">
        <f t="shared" si="43"/>
        <v>92398.21</v>
      </c>
    </row>
    <row r="661" spans="1:19" x14ac:dyDescent="0.3">
      <c r="A661" t="s">
        <v>1100</v>
      </c>
      <c r="B661" s="5" t="s">
        <v>420</v>
      </c>
      <c r="C661" s="6">
        <f t="shared" si="40"/>
        <v>45992</v>
      </c>
      <c r="D661" t="s">
        <v>65</v>
      </c>
      <c r="E661" t="s">
        <v>143</v>
      </c>
      <c r="F661" t="s">
        <v>59</v>
      </c>
      <c r="G661" t="s">
        <v>494</v>
      </c>
      <c r="H661" t="s">
        <v>55</v>
      </c>
      <c r="I661">
        <v>811</v>
      </c>
      <c r="J661" s="7">
        <v>714.99</v>
      </c>
      <c r="K661" s="7">
        <v>579856.89</v>
      </c>
      <c r="L661">
        <v>253</v>
      </c>
      <c r="M661" t="s">
        <v>746</v>
      </c>
      <c r="N661" s="6">
        <f t="shared" si="41"/>
        <v>45992</v>
      </c>
      <c r="O661" t="s">
        <v>746</v>
      </c>
      <c r="P661" t="str">
        <f t="shared" si="42"/>
        <v>December 2025</v>
      </c>
      <c r="Q661" t="s">
        <v>37</v>
      </c>
      <c r="R661" s="7">
        <v>9794.6299999999992</v>
      </c>
      <c r="S661" s="7">
        <f t="shared" si="43"/>
        <v>589651.52</v>
      </c>
    </row>
    <row r="662" spans="1:19" x14ac:dyDescent="0.3">
      <c r="A662" t="s">
        <v>1101</v>
      </c>
      <c r="B662" s="5" t="s">
        <v>369</v>
      </c>
      <c r="C662" s="6">
        <f t="shared" si="40"/>
        <v>45931</v>
      </c>
      <c r="D662" t="s">
        <v>65</v>
      </c>
      <c r="E662" t="s">
        <v>22</v>
      </c>
      <c r="F662" t="s">
        <v>59</v>
      </c>
      <c r="G662" t="s">
        <v>172</v>
      </c>
      <c r="H662" t="s">
        <v>91</v>
      </c>
      <c r="I662">
        <v>1761</v>
      </c>
      <c r="J662" s="7">
        <v>184.23</v>
      </c>
      <c r="K662" s="7">
        <v>324429.03000000003</v>
      </c>
      <c r="L662">
        <v>30</v>
      </c>
      <c r="M662" t="s">
        <v>258</v>
      </c>
      <c r="N662" s="6">
        <f t="shared" si="41"/>
        <v>45931</v>
      </c>
      <c r="O662" t="s">
        <v>258</v>
      </c>
      <c r="P662" t="str">
        <f t="shared" si="42"/>
        <v>October 2025</v>
      </c>
      <c r="Q662" t="s">
        <v>37</v>
      </c>
      <c r="R662" s="7">
        <v>1219.1400000000001</v>
      </c>
      <c r="S662" s="7">
        <f t="shared" si="43"/>
        <v>325648.17000000004</v>
      </c>
    </row>
    <row r="663" spans="1:19" x14ac:dyDescent="0.3">
      <c r="A663" t="s">
        <v>1102</v>
      </c>
      <c r="B663" s="5" t="s">
        <v>565</v>
      </c>
      <c r="C663" s="6">
        <f t="shared" si="40"/>
        <v>45870</v>
      </c>
      <c r="D663" t="s">
        <v>40</v>
      </c>
      <c r="E663" t="s">
        <v>70</v>
      </c>
      <c r="F663" t="s">
        <v>45</v>
      </c>
      <c r="G663" t="s">
        <v>76</v>
      </c>
      <c r="H663" t="s">
        <v>61</v>
      </c>
      <c r="I663">
        <v>2314</v>
      </c>
      <c r="J663" s="7">
        <v>564.72</v>
      </c>
      <c r="K663" s="7">
        <v>1306762.08</v>
      </c>
      <c r="L663">
        <v>660</v>
      </c>
      <c r="M663" t="s">
        <v>204</v>
      </c>
      <c r="N663" s="6">
        <f t="shared" si="41"/>
        <v>45870</v>
      </c>
      <c r="O663" t="s">
        <v>267</v>
      </c>
      <c r="P663" t="str">
        <f t="shared" si="42"/>
        <v>August 2025</v>
      </c>
      <c r="Q663" t="s">
        <v>28</v>
      </c>
      <c r="R663" s="7">
        <v>32367.279999999999</v>
      </c>
      <c r="S663" s="7">
        <f t="shared" si="43"/>
        <v>1339129.3600000001</v>
      </c>
    </row>
    <row r="664" spans="1:19" x14ac:dyDescent="0.3">
      <c r="A664" t="s">
        <v>1103</v>
      </c>
      <c r="B664" s="5" t="s">
        <v>103</v>
      </c>
      <c r="C664" s="6">
        <f t="shared" si="40"/>
        <v>45839</v>
      </c>
      <c r="D664" t="s">
        <v>96</v>
      </c>
      <c r="E664" t="s">
        <v>143</v>
      </c>
      <c r="F664" t="s">
        <v>23</v>
      </c>
      <c r="G664" t="s">
        <v>222</v>
      </c>
      <c r="H664" t="s">
        <v>91</v>
      </c>
      <c r="I664">
        <v>1688</v>
      </c>
      <c r="J664" s="7">
        <v>363.81</v>
      </c>
      <c r="K664" s="7">
        <v>614111.28</v>
      </c>
      <c r="L664">
        <v>642</v>
      </c>
      <c r="M664" t="s">
        <v>401</v>
      </c>
      <c r="N664" s="6">
        <f t="shared" si="41"/>
        <v>45839</v>
      </c>
      <c r="O664" t="s">
        <v>81</v>
      </c>
      <c r="P664" t="str">
        <f t="shared" si="42"/>
        <v>August 2025</v>
      </c>
      <c r="Q664" t="s">
        <v>28</v>
      </c>
      <c r="R664" s="7">
        <v>28789.06</v>
      </c>
      <c r="S664" s="7">
        <f t="shared" si="43"/>
        <v>642900.34000000008</v>
      </c>
    </row>
    <row r="665" spans="1:19" x14ac:dyDescent="0.3">
      <c r="A665" t="s">
        <v>1104</v>
      </c>
      <c r="B665" s="5" t="s">
        <v>319</v>
      </c>
      <c r="C665" s="6">
        <f t="shared" si="40"/>
        <v>45658</v>
      </c>
      <c r="D665" t="s">
        <v>96</v>
      </c>
      <c r="E665" t="s">
        <v>53</v>
      </c>
      <c r="F665" t="s">
        <v>45</v>
      </c>
      <c r="G665" t="s">
        <v>351</v>
      </c>
      <c r="H665" t="s">
        <v>25</v>
      </c>
      <c r="I665">
        <v>2363</v>
      </c>
      <c r="J665" s="7">
        <v>188.41</v>
      </c>
      <c r="K665" s="7">
        <v>445212.83</v>
      </c>
      <c r="L665">
        <v>355</v>
      </c>
      <c r="M665" t="s">
        <v>320</v>
      </c>
      <c r="N665" s="6">
        <f t="shared" si="41"/>
        <v>45658</v>
      </c>
      <c r="O665" t="s">
        <v>320</v>
      </c>
      <c r="P665" t="str">
        <f t="shared" si="42"/>
        <v>January 2025</v>
      </c>
      <c r="Q665" t="s">
        <v>37</v>
      </c>
      <c r="R665" s="7">
        <v>12926.32</v>
      </c>
      <c r="S665" s="7">
        <f t="shared" si="43"/>
        <v>458139.15</v>
      </c>
    </row>
    <row r="666" spans="1:19" x14ac:dyDescent="0.3">
      <c r="A666" t="s">
        <v>1105</v>
      </c>
      <c r="B666" s="5" t="s">
        <v>339</v>
      </c>
      <c r="C666" s="6">
        <f t="shared" si="40"/>
        <v>45839</v>
      </c>
      <c r="D666" t="s">
        <v>109</v>
      </c>
      <c r="E666" t="s">
        <v>53</v>
      </c>
      <c r="F666" t="s">
        <v>45</v>
      </c>
      <c r="G666" t="s">
        <v>118</v>
      </c>
      <c r="H666" t="s">
        <v>55</v>
      </c>
      <c r="I666">
        <v>1017</v>
      </c>
      <c r="J666" s="7">
        <v>163.32</v>
      </c>
      <c r="K666" s="7">
        <v>166096.44</v>
      </c>
      <c r="L666">
        <v>582</v>
      </c>
      <c r="M666" t="s">
        <v>316</v>
      </c>
      <c r="N666" s="6">
        <f t="shared" si="41"/>
        <v>45839</v>
      </c>
      <c r="O666" t="s">
        <v>463</v>
      </c>
      <c r="P666" t="str">
        <f t="shared" si="42"/>
        <v>July 2025</v>
      </c>
      <c r="Q666" t="s">
        <v>28</v>
      </c>
      <c r="R666" s="7">
        <v>23520.57</v>
      </c>
      <c r="S666" s="7">
        <f t="shared" si="43"/>
        <v>189617.01</v>
      </c>
    </row>
    <row r="667" spans="1:19" x14ac:dyDescent="0.3">
      <c r="A667" t="s">
        <v>1106</v>
      </c>
      <c r="B667" s="5" t="s">
        <v>425</v>
      </c>
      <c r="C667" s="6">
        <f t="shared" si="40"/>
        <v>45839</v>
      </c>
      <c r="D667" t="s">
        <v>109</v>
      </c>
      <c r="E667" t="s">
        <v>32</v>
      </c>
      <c r="F667" t="s">
        <v>45</v>
      </c>
      <c r="G667" t="s">
        <v>24</v>
      </c>
      <c r="H667" t="s">
        <v>55</v>
      </c>
      <c r="I667">
        <v>1929</v>
      </c>
      <c r="J667" s="7">
        <v>258.32</v>
      </c>
      <c r="K667" s="7">
        <v>498299.28</v>
      </c>
      <c r="L667">
        <v>483</v>
      </c>
      <c r="M667" t="s">
        <v>505</v>
      </c>
      <c r="N667" s="6">
        <f t="shared" si="41"/>
        <v>45839</v>
      </c>
      <c r="O667" t="s">
        <v>505</v>
      </c>
      <c r="P667" t="str">
        <f t="shared" si="42"/>
        <v>July 2025</v>
      </c>
      <c r="Q667" t="s">
        <v>37</v>
      </c>
      <c r="R667" s="7">
        <v>17993.82</v>
      </c>
      <c r="S667" s="7">
        <f t="shared" si="43"/>
        <v>516293.10000000003</v>
      </c>
    </row>
    <row r="668" spans="1:19" x14ac:dyDescent="0.3">
      <c r="A668" t="s">
        <v>1107</v>
      </c>
      <c r="B668" s="5" t="s">
        <v>447</v>
      </c>
      <c r="C668" s="6">
        <f t="shared" si="40"/>
        <v>45931</v>
      </c>
      <c r="D668" t="s">
        <v>52</v>
      </c>
      <c r="E668" t="s">
        <v>32</v>
      </c>
      <c r="F668" t="s">
        <v>45</v>
      </c>
      <c r="G668" t="s">
        <v>172</v>
      </c>
      <c r="H668" t="s">
        <v>35</v>
      </c>
      <c r="I668">
        <v>2078</v>
      </c>
      <c r="J668" s="7">
        <v>848.4</v>
      </c>
      <c r="K668" s="7">
        <v>1762975.2</v>
      </c>
      <c r="L668">
        <v>669</v>
      </c>
      <c r="M668" t="s">
        <v>448</v>
      </c>
      <c r="N668" s="6">
        <f t="shared" si="41"/>
        <v>45931</v>
      </c>
      <c r="O668" t="s">
        <v>189</v>
      </c>
      <c r="P668" t="str">
        <f t="shared" si="42"/>
        <v>October 2025</v>
      </c>
      <c r="Q668" t="s">
        <v>28</v>
      </c>
      <c r="R668" s="7">
        <v>26930.21</v>
      </c>
      <c r="S668" s="7">
        <f t="shared" si="43"/>
        <v>1789905.41</v>
      </c>
    </row>
    <row r="669" spans="1:19" x14ac:dyDescent="0.3">
      <c r="A669" t="s">
        <v>1108</v>
      </c>
      <c r="B669" s="5" t="s">
        <v>395</v>
      </c>
      <c r="C669" s="6">
        <f t="shared" si="40"/>
        <v>45870</v>
      </c>
      <c r="D669" t="s">
        <v>65</v>
      </c>
      <c r="E669" t="s">
        <v>22</v>
      </c>
      <c r="F669" t="s">
        <v>23</v>
      </c>
      <c r="G669" t="s">
        <v>118</v>
      </c>
      <c r="H669" t="s">
        <v>77</v>
      </c>
      <c r="I669">
        <v>1842</v>
      </c>
      <c r="J669" s="7">
        <v>343.66</v>
      </c>
      <c r="K669" s="7">
        <v>633021.72</v>
      </c>
      <c r="L669">
        <v>622</v>
      </c>
      <c r="M669" t="s">
        <v>175</v>
      </c>
      <c r="N669" s="6">
        <f t="shared" si="41"/>
        <v>45901</v>
      </c>
      <c r="O669" t="s">
        <v>242</v>
      </c>
      <c r="P669" t="str">
        <f t="shared" si="42"/>
        <v>September 2025</v>
      </c>
      <c r="Q669" t="s">
        <v>28</v>
      </c>
      <c r="R669" s="7">
        <v>33964.75</v>
      </c>
      <c r="S669" s="7">
        <f t="shared" si="43"/>
        <v>666986.47</v>
      </c>
    </row>
    <row r="670" spans="1:19" x14ac:dyDescent="0.3">
      <c r="A670" t="s">
        <v>1109</v>
      </c>
      <c r="B670" s="5" t="s">
        <v>385</v>
      </c>
      <c r="C670" s="6">
        <f t="shared" si="40"/>
        <v>45962</v>
      </c>
      <c r="D670" t="s">
        <v>21</v>
      </c>
      <c r="E670" t="s">
        <v>32</v>
      </c>
      <c r="F670" t="s">
        <v>59</v>
      </c>
      <c r="G670" t="s">
        <v>71</v>
      </c>
      <c r="H670" t="s">
        <v>155</v>
      </c>
      <c r="I670">
        <v>704</v>
      </c>
      <c r="J670" s="7">
        <v>362.61</v>
      </c>
      <c r="K670" s="7">
        <v>255277.44</v>
      </c>
      <c r="L670">
        <v>612</v>
      </c>
      <c r="M670" t="s">
        <v>1110</v>
      </c>
      <c r="N670" s="6">
        <f t="shared" si="41"/>
        <v>45962</v>
      </c>
      <c r="O670" t="s">
        <v>632</v>
      </c>
      <c r="P670" t="str">
        <f t="shared" si="42"/>
        <v>November 2025</v>
      </c>
      <c r="Q670" t="s">
        <v>28</v>
      </c>
      <c r="R670" s="7">
        <v>26731.48</v>
      </c>
      <c r="S670" s="7">
        <f t="shared" si="43"/>
        <v>282008.92</v>
      </c>
    </row>
    <row r="671" spans="1:19" x14ac:dyDescent="0.3">
      <c r="A671" t="s">
        <v>1111</v>
      </c>
      <c r="B671" s="5" t="s">
        <v>374</v>
      </c>
      <c r="C671" s="6">
        <f t="shared" si="40"/>
        <v>45839</v>
      </c>
      <c r="D671" t="s">
        <v>65</v>
      </c>
      <c r="E671" t="s">
        <v>75</v>
      </c>
      <c r="F671" t="s">
        <v>59</v>
      </c>
      <c r="G671" t="s">
        <v>60</v>
      </c>
      <c r="H671" t="s">
        <v>25</v>
      </c>
      <c r="I671">
        <v>1208</v>
      </c>
      <c r="J671" s="7">
        <v>552.19000000000005</v>
      </c>
      <c r="K671" s="7">
        <v>667045.52</v>
      </c>
      <c r="L671">
        <v>323</v>
      </c>
      <c r="M671" t="s">
        <v>316</v>
      </c>
      <c r="N671" s="6">
        <f t="shared" si="41"/>
        <v>45839</v>
      </c>
      <c r="O671" t="s">
        <v>374</v>
      </c>
      <c r="P671" t="str">
        <f t="shared" si="42"/>
        <v>July 2025</v>
      </c>
      <c r="Q671" t="s">
        <v>37</v>
      </c>
      <c r="R671" s="7">
        <v>12767.29</v>
      </c>
      <c r="S671" s="7">
        <f t="shared" si="43"/>
        <v>679812.81</v>
      </c>
    </row>
    <row r="672" spans="1:19" x14ac:dyDescent="0.3">
      <c r="A672" t="s">
        <v>1112</v>
      </c>
      <c r="B672" s="5" t="s">
        <v>150</v>
      </c>
      <c r="C672" s="6">
        <f t="shared" si="40"/>
        <v>45689</v>
      </c>
      <c r="D672" t="s">
        <v>52</v>
      </c>
      <c r="E672" t="s">
        <v>22</v>
      </c>
      <c r="F672" t="s">
        <v>23</v>
      </c>
      <c r="G672" t="s">
        <v>54</v>
      </c>
      <c r="H672" t="s">
        <v>61</v>
      </c>
      <c r="I672">
        <v>1033</v>
      </c>
      <c r="J672" s="7">
        <v>827.27</v>
      </c>
      <c r="K672" s="7">
        <v>854569.91</v>
      </c>
      <c r="L672">
        <v>62</v>
      </c>
      <c r="M672" t="s">
        <v>912</v>
      </c>
      <c r="N672" s="6">
        <f t="shared" si="41"/>
        <v>45689</v>
      </c>
      <c r="O672" t="s">
        <v>629</v>
      </c>
      <c r="P672" t="str">
        <f t="shared" si="42"/>
        <v>February 2025</v>
      </c>
      <c r="Q672" t="s">
        <v>28</v>
      </c>
      <c r="R672" s="7">
        <v>3758.84</v>
      </c>
      <c r="S672" s="7">
        <f t="shared" si="43"/>
        <v>858328.75</v>
      </c>
    </row>
    <row r="673" spans="1:19" x14ac:dyDescent="0.3">
      <c r="A673" t="s">
        <v>1113</v>
      </c>
      <c r="B673" s="5" t="s">
        <v>413</v>
      </c>
      <c r="C673" s="6">
        <f t="shared" si="40"/>
        <v>45689</v>
      </c>
      <c r="D673" t="s">
        <v>128</v>
      </c>
      <c r="E673" t="s">
        <v>32</v>
      </c>
      <c r="F673" t="s">
        <v>45</v>
      </c>
      <c r="G673" t="s">
        <v>86</v>
      </c>
      <c r="H673" t="s">
        <v>47</v>
      </c>
      <c r="I673">
        <v>1175</v>
      </c>
      <c r="J673" s="7">
        <v>52.36</v>
      </c>
      <c r="K673" s="7">
        <v>61523</v>
      </c>
      <c r="L673">
        <v>333</v>
      </c>
      <c r="M673" t="s">
        <v>1114</v>
      </c>
      <c r="N673" s="6">
        <f t="shared" si="41"/>
        <v>45689</v>
      </c>
      <c r="O673" t="s">
        <v>450</v>
      </c>
      <c r="P673" t="str">
        <f t="shared" si="42"/>
        <v>February 2025</v>
      </c>
      <c r="Q673" t="s">
        <v>28</v>
      </c>
      <c r="R673" s="7">
        <v>14151.95</v>
      </c>
      <c r="S673" s="7">
        <f t="shared" si="43"/>
        <v>75674.95</v>
      </c>
    </row>
    <row r="674" spans="1:19" x14ac:dyDescent="0.3">
      <c r="A674" t="s">
        <v>1115</v>
      </c>
      <c r="B674" s="5" t="s">
        <v>111</v>
      </c>
      <c r="C674" s="6">
        <f t="shared" si="40"/>
        <v>45992</v>
      </c>
      <c r="D674" t="s">
        <v>65</v>
      </c>
      <c r="E674" t="s">
        <v>143</v>
      </c>
      <c r="F674" t="s">
        <v>23</v>
      </c>
      <c r="G674" t="s">
        <v>76</v>
      </c>
      <c r="H674" t="s">
        <v>47</v>
      </c>
      <c r="I674">
        <v>55</v>
      </c>
      <c r="J674" s="7">
        <v>339.54</v>
      </c>
      <c r="K674" s="7">
        <v>18674.7</v>
      </c>
      <c r="L674">
        <v>715</v>
      </c>
      <c r="M674" t="s">
        <v>490</v>
      </c>
      <c r="N674" s="6">
        <f t="shared" si="41"/>
        <v>45992</v>
      </c>
      <c r="O674" t="s">
        <v>490</v>
      </c>
      <c r="P674" t="str">
        <f t="shared" si="42"/>
        <v>December 2025</v>
      </c>
      <c r="Q674" t="s">
        <v>37</v>
      </c>
      <c r="R674" s="7">
        <v>33982.65</v>
      </c>
      <c r="S674" s="7">
        <f t="shared" si="43"/>
        <v>52657.350000000006</v>
      </c>
    </row>
    <row r="675" spans="1:19" x14ac:dyDescent="0.3">
      <c r="A675" t="s">
        <v>1116</v>
      </c>
      <c r="B675" s="5" t="s">
        <v>306</v>
      </c>
      <c r="C675" s="6">
        <f t="shared" si="40"/>
        <v>45931</v>
      </c>
      <c r="D675" t="s">
        <v>96</v>
      </c>
      <c r="E675" t="s">
        <v>53</v>
      </c>
      <c r="F675" t="s">
        <v>59</v>
      </c>
      <c r="G675" t="s">
        <v>24</v>
      </c>
      <c r="H675" t="s">
        <v>61</v>
      </c>
      <c r="I675">
        <v>1894</v>
      </c>
      <c r="J675" s="7">
        <v>147.12</v>
      </c>
      <c r="K675" s="7">
        <v>278645.28000000003</v>
      </c>
      <c r="L675">
        <v>334</v>
      </c>
      <c r="M675" t="s">
        <v>834</v>
      </c>
      <c r="N675" s="6">
        <f t="shared" si="41"/>
        <v>45931</v>
      </c>
      <c r="O675" t="s">
        <v>834</v>
      </c>
      <c r="P675" t="str">
        <f t="shared" si="42"/>
        <v>October 2025</v>
      </c>
      <c r="Q675" t="s">
        <v>37</v>
      </c>
      <c r="R675" s="7">
        <v>20440.490000000002</v>
      </c>
      <c r="S675" s="7">
        <f t="shared" si="43"/>
        <v>299085.77</v>
      </c>
    </row>
    <row r="676" spans="1:19" x14ac:dyDescent="0.3">
      <c r="A676" t="s">
        <v>1117</v>
      </c>
      <c r="B676" s="5" t="s">
        <v>233</v>
      </c>
      <c r="C676" s="6">
        <f t="shared" si="40"/>
        <v>45931</v>
      </c>
      <c r="D676" t="s">
        <v>31</v>
      </c>
      <c r="E676" t="s">
        <v>32</v>
      </c>
      <c r="F676" t="s">
        <v>45</v>
      </c>
      <c r="G676" t="s">
        <v>76</v>
      </c>
      <c r="H676" t="s">
        <v>61</v>
      </c>
      <c r="I676">
        <v>2242</v>
      </c>
      <c r="J676" s="7">
        <v>315.32</v>
      </c>
      <c r="K676" s="7">
        <v>706947.44</v>
      </c>
      <c r="L676">
        <v>243</v>
      </c>
      <c r="M676" t="s">
        <v>234</v>
      </c>
      <c r="N676" s="6">
        <f t="shared" si="41"/>
        <v>45931</v>
      </c>
      <c r="O676" t="s">
        <v>234</v>
      </c>
      <c r="P676" t="str">
        <f t="shared" si="42"/>
        <v>October 2025</v>
      </c>
      <c r="Q676" t="s">
        <v>37</v>
      </c>
      <c r="R676" s="7">
        <v>12095.52</v>
      </c>
      <c r="S676" s="7">
        <f t="shared" si="43"/>
        <v>719042.96</v>
      </c>
    </row>
    <row r="677" spans="1:19" x14ac:dyDescent="0.3">
      <c r="A677" t="s">
        <v>1118</v>
      </c>
      <c r="B677" s="5" t="s">
        <v>796</v>
      </c>
      <c r="C677" s="6">
        <f t="shared" si="40"/>
        <v>45778</v>
      </c>
      <c r="D677" t="s">
        <v>128</v>
      </c>
      <c r="E677" t="s">
        <v>70</v>
      </c>
      <c r="F677" t="s">
        <v>23</v>
      </c>
      <c r="G677" t="s">
        <v>46</v>
      </c>
      <c r="H677" t="s">
        <v>47</v>
      </c>
      <c r="I677">
        <v>2301</v>
      </c>
      <c r="J677" s="7">
        <v>789.14</v>
      </c>
      <c r="K677" s="7">
        <v>1815811.14</v>
      </c>
      <c r="L677">
        <v>539</v>
      </c>
      <c r="M677" t="s">
        <v>642</v>
      </c>
      <c r="N677" s="6">
        <f t="shared" si="41"/>
        <v>45778</v>
      </c>
      <c r="O677" t="s">
        <v>570</v>
      </c>
      <c r="P677" t="str">
        <f t="shared" si="42"/>
        <v>May 2025</v>
      </c>
      <c r="Q677" t="s">
        <v>37</v>
      </c>
      <c r="R677" s="7">
        <v>26784.21</v>
      </c>
      <c r="S677" s="7">
        <f t="shared" si="43"/>
        <v>1842595.3499999999</v>
      </c>
    </row>
    <row r="678" spans="1:19" x14ac:dyDescent="0.3">
      <c r="A678" t="s">
        <v>1119</v>
      </c>
      <c r="B678" s="5" t="s">
        <v>108</v>
      </c>
      <c r="C678" s="6">
        <f t="shared" si="40"/>
        <v>45992</v>
      </c>
      <c r="D678" t="s">
        <v>31</v>
      </c>
      <c r="E678" t="s">
        <v>32</v>
      </c>
      <c r="F678" t="s">
        <v>59</v>
      </c>
      <c r="G678" t="s">
        <v>351</v>
      </c>
      <c r="H678" t="s">
        <v>25</v>
      </c>
      <c r="I678">
        <v>205</v>
      </c>
      <c r="J678" s="7">
        <v>847.51</v>
      </c>
      <c r="K678" s="7">
        <v>173739.55</v>
      </c>
      <c r="L678">
        <v>357</v>
      </c>
      <c r="M678" t="s">
        <v>399</v>
      </c>
      <c r="N678" s="6">
        <f t="shared" si="41"/>
        <v>45992</v>
      </c>
      <c r="O678" t="s">
        <v>117</v>
      </c>
      <c r="P678" t="str">
        <f t="shared" si="42"/>
        <v>December 2025</v>
      </c>
      <c r="Q678" t="s">
        <v>28</v>
      </c>
      <c r="R678" s="7">
        <v>17970.150000000001</v>
      </c>
      <c r="S678" s="7">
        <f t="shared" si="43"/>
        <v>191709.69999999998</v>
      </c>
    </row>
    <row r="679" spans="1:19" x14ac:dyDescent="0.3">
      <c r="A679" t="s">
        <v>1120</v>
      </c>
      <c r="B679" s="5" t="s">
        <v>252</v>
      </c>
      <c r="C679" s="6">
        <f t="shared" si="40"/>
        <v>45870</v>
      </c>
      <c r="D679" t="s">
        <v>52</v>
      </c>
      <c r="E679" t="s">
        <v>143</v>
      </c>
      <c r="F679" t="s">
        <v>45</v>
      </c>
      <c r="G679" t="s">
        <v>76</v>
      </c>
      <c r="H679" t="s">
        <v>35</v>
      </c>
      <c r="I679">
        <v>2014</v>
      </c>
      <c r="J679" s="7">
        <v>451.68</v>
      </c>
      <c r="K679" s="7">
        <v>909683.52</v>
      </c>
      <c r="L679">
        <v>225</v>
      </c>
      <c r="M679" t="s">
        <v>824</v>
      </c>
      <c r="N679" s="6">
        <f t="shared" si="41"/>
        <v>45870</v>
      </c>
      <c r="O679" t="s">
        <v>252</v>
      </c>
      <c r="P679" t="str">
        <f t="shared" si="42"/>
        <v>August 2025</v>
      </c>
      <c r="Q679" t="s">
        <v>37</v>
      </c>
      <c r="R679" s="7">
        <v>11426.37</v>
      </c>
      <c r="S679" s="7">
        <f t="shared" si="43"/>
        <v>921109.89</v>
      </c>
    </row>
    <row r="680" spans="1:19" x14ac:dyDescent="0.3">
      <c r="A680" t="s">
        <v>1121</v>
      </c>
      <c r="B680" s="5" t="s">
        <v>269</v>
      </c>
      <c r="C680" s="6">
        <f t="shared" si="40"/>
        <v>45717</v>
      </c>
      <c r="D680" t="s">
        <v>52</v>
      </c>
      <c r="E680" t="s">
        <v>70</v>
      </c>
      <c r="F680" t="s">
        <v>33</v>
      </c>
      <c r="G680" t="s">
        <v>241</v>
      </c>
      <c r="H680" t="s">
        <v>35</v>
      </c>
      <c r="I680">
        <v>571</v>
      </c>
      <c r="J680" s="7">
        <v>630.62</v>
      </c>
      <c r="K680" s="7">
        <v>360084.02</v>
      </c>
      <c r="L680">
        <v>225</v>
      </c>
      <c r="M680" t="s">
        <v>604</v>
      </c>
      <c r="N680" s="6">
        <f t="shared" si="41"/>
        <v>45717</v>
      </c>
      <c r="O680" t="s">
        <v>604</v>
      </c>
      <c r="P680" t="str">
        <f t="shared" si="42"/>
        <v>March 2025</v>
      </c>
      <c r="Q680" t="s">
        <v>37</v>
      </c>
      <c r="R680" s="7">
        <v>12331.14</v>
      </c>
      <c r="S680" s="7">
        <f t="shared" si="43"/>
        <v>372415.16000000003</v>
      </c>
    </row>
    <row r="681" spans="1:19" x14ac:dyDescent="0.3">
      <c r="A681" t="s">
        <v>1122</v>
      </c>
      <c r="B681" s="5" t="s">
        <v>589</v>
      </c>
      <c r="C681" s="6">
        <f t="shared" si="40"/>
        <v>45809</v>
      </c>
      <c r="D681" t="s">
        <v>52</v>
      </c>
      <c r="E681" t="s">
        <v>53</v>
      </c>
      <c r="F681" t="s">
        <v>45</v>
      </c>
      <c r="G681" t="s">
        <v>283</v>
      </c>
      <c r="H681" t="s">
        <v>77</v>
      </c>
      <c r="I681">
        <v>451</v>
      </c>
      <c r="J681" s="7">
        <v>529.38</v>
      </c>
      <c r="K681" s="7">
        <v>238750.38</v>
      </c>
      <c r="L681">
        <v>250</v>
      </c>
      <c r="M681" t="s">
        <v>525</v>
      </c>
      <c r="N681" s="6">
        <f t="shared" si="41"/>
        <v>45809</v>
      </c>
      <c r="O681" t="s">
        <v>330</v>
      </c>
      <c r="P681" t="str">
        <f t="shared" si="42"/>
        <v>June 2025</v>
      </c>
      <c r="Q681" t="s">
        <v>28</v>
      </c>
      <c r="R681" s="7">
        <v>12196.94</v>
      </c>
      <c r="S681" s="7">
        <f t="shared" si="43"/>
        <v>250947.32</v>
      </c>
    </row>
    <row r="682" spans="1:19" x14ac:dyDescent="0.3">
      <c r="A682" t="s">
        <v>1123</v>
      </c>
      <c r="B682" s="5" t="s">
        <v>922</v>
      </c>
      <c r="C682" s="6">
        <f t="shared" si="40"/>
        <v>45748</v>
      </c>
      <c r="D682" t="s">
        <v>128</v>
      </c>
      <c r="E682" t="s">
        <v>75</v>
      </c>
      <c r="F682" t="s">
        <v>23</v>
      </c>
      <c r="G682" t="s">
        <v>82</v>
      </c>
      <c r="H682" t="s">
        <v>123</v>
      </c>
      <c r="I682">
        <v>1586</v>
      </c>
      <c r="J682" s="7">
        <v>165.45</v>
      </c>
      <c r="K682" s="7">
        <v>262403.7</v>
      </c>
      <c r="L682">
        <v>147</v>
      </c>
      <c r="M682" t="s">
        <v>171</v>
      </c>
      <c r="N682" s="6">
        <f t="shared" si="41"/>
        <v>45748</v>
      </c>
      <c r="O682" t="s">
        <v>20</v>
      </c>
      <c r="P682" t="str">
        <f t="shared" si="42"/>
        <v>April 2025</v>
      </c>
      <c r="Q682" t="s">
        <v>28</v>
      </c>
      <c r="R682" s="7">
        <v>8648.2099999999991</v>
      </c>
      <c r="S682" s="7">
        <f t="shared" si="43"/>
        <v>271051.91000000003</v>
      </c>
    </row>
    <row r="683" spans="1:19" x14ac:dyDescent="0.3">
      <c r="A683" t="s">
        <v>1124</v>
      </c>
      <c r="B683" s="5" t="s">
        <v>290</v>
      </c>
      <c r="C683" s="6">
        <f t="shared" si="40"/>
        <v>45901</v>
      </c>
      <c r="D683" t="s">
        <v>40</v>
      </c>
      <c r="E683" t="s">
        <v>70</v>
      </c>
      <c r="F683" t="s">
        <v>45</v>
      </c>
      <c r="G683" t="s">
        <v>97</v>
      </c>
      <c r="H683" t="s">
        <v>55</v>
      </c>
      <c r="I683">
        <v>2029</v>
      </c>
      <c r="J683" s="7">
        <v>215.67</v>
      </c>
      <c r="K683" s="7">
        <v>437594.43</v>
      </c>
      <c r="L683">
        <v>383</v>
      </c>
      <c r="M683" t="s">
        <v>550</v>
      </c>
      <c r="N683" s="6">
        <f t="shared" si="41"/>
        <v>45901</v>
      </c>
      <c r="O683" t="s">
        <v>585</v>
      </c>
      <c r="P683" t="str">
        <f t="shared" si="42"/>
        <v>September 2025</v>
      </c>
      <c r="Q683" t="s">
        <v>28</v>
      </c>
      <c r="R683" s="7">
        <v>14599.6</v>
      </c>
      <c r="S683" s="7">
        <f t="shared" si="43"/>
        <v>452194.02999999997</v>
      </c>
    </row>
    <row r="684" spans="1:19" x14ac:dyDescent="0.3">
      <c r="A684" t="s">
        <v>1125</v>
      </c>
      <c r="B684" s="5" t="s">
        <v>217</v>
      </c>
      <c r="C684" s="6">
        <f t="shared" si="40"/>
        <v>45809</v>
      </c>
      <c r="D684" t="s">
        <v>96</v>
      </c>
      <c r="E684" t="s">
        <v>75</v>
      </c>
      <c r="F684" t="s">
        <v>59</v>
      </c>
      <c r="G684" t="s">
        <v>60</v>
      </c>
      <c r="H684" t="s">
        <v>91</v>
      </c>
      <c r="I684">
        <v>2244</v>
      </c>
      <c r="J684" s="7">
        <v>182.38</v>
      </c>
      <c r="K684" s="7">
        <v>409260.72</v>
      </c>
      <c r="L684">
        <v>581</v>
      </c>
      <c r="M684" t="s">
        <v>278</v>
      </c>
      <c r="N684" s="6">
        <f t="shared" si="41"/>
        <v>45809</v>
      </c>
      <c r="O684" t="s">
        <v>278</v>
      </c>
      <c r="P684" t="str">
        <f t="shared" si="42"/>
        <v>June 2025</v>
      </c>
      <c r="Q684" t="s">
        <v>37</v>
      </c>
      <c r="R684" s="7">
        <v>26184.55</v>
      </c>
      <c r="S684" s="7">
        <f t="shared" si="43"/>
        <v>435445.26999999996</v>
      </c>
    </row>
    <row r="685" spans="1:19" x14ac:dyDescent="0.3">
      <c r="A685" t="s">
        <v>1126</v>
      </c>
      <c r="B685" s="5" t="s">
        <v>440</v>
      </c>
      <c r="C685" s="6">
        <f t="shared" si="40"/>
        <v>45778</v>
      </c>
      <c r="D685" t="s">
        <v>31</v>
      </c>
      <c r="E685" t="s">
        <v>70</v>
      </c>
      <c r="F685" t="s">
        <v>59</v>
      </c>
      <c r="G685" t="s">
        <v>283</v>
      </c>
      <c r="H685" t="s">
        <v>77</v>
      </c>
      <c r="I685">
        <v>1407</v>
      </c>
      <c r="J685" s="7">
        <v>884.09</v>
      </c>
      <c r="K685" s="7">
        <v>1243914.6299999999</v>
      </c>
      <c r="L685">
        <v>625</v>
      </c>
      <c r="M685" t="s">
        <v>920</v>
      </c>
      <c r="N685" s="6">
        <f t="shared" si="41"/>
        <v>45778</v>
      </c>
      <c r="O685" t="s">
        <v>920</v>
      </c>
      <c r="P685" t="str">
        <f t="shared" si="42"/>
        <v>May 2025</v>
      </c>
      <c r="Q685" t="s">
        <v>37</v>
      </c>
      <c r="R685" s="7">
        <v>23850.21</v>
      </c>
      <c r="S685" s="7">
        <f t="shared" si="43"/>
        <v>1267764.8399999999</v>
      </c>
    </row>
    <row r="686" spans="1:19" x14ac:dyDescent="0.3">
      <c r="A686" t="s">
        <v>1127</v>
      </c>
      <c r="B686" s="5" t="s">
        <v>135</v>
      </c>
      <c r="C686" s="6">
        <f t="shared" si="40"/>
        <v>45778</v>
      </c>
      <c r="D686" t="s">
        <v>52</v>
      </c>
      <c r="E686" t="s">
        <v>32</v>
      </c>
      <c r="F686" t="s">
        <v>45</v>
      </c>
      <c r="G686" t="s">
        <v>97</v>
      </c>
      <c r="H686" t="s">
        <v>55</v>
      </c>
      <c r="I686">
        <v>1084</v>
      </c>
      <c r="J686" s="7">
        <v>514.17999999999995</v>
      </c>
      <c r="K686" s="7">
        <v>557371.12</v>
      </c>
      <c r="L686">
        <v>207</v>
      </c>
      <c r="M686" t="s">
        <v>27</v>
      </c>
      <c r="N686" s="6">
        <f t="shared" si="41"/>
        <v>45778</v>
      </c>
      <c r="O686" t="s">
        <v>480</v>
      </c>
      <c r="P686" t="str">
        <f t="shared" si="42"/>
        <v>May 2025</v>
      </c>
      <c r="Q686" t="s">
        <v>28</v>
      </c>
      <c r="R686" s="7">
        <v>10466.77</v>
      </c>
      <c r="S686" s="7">
        <f t="shared" si="43"/>
        <v>567837.89</v>
      </c>
    </row>
    <row r="687" spans="1:19" x14ac:dyDescent="0.3">
      <c r="A687" t="s">
        <v>1128</v>
      </c>
      <c r="B687" s="5" t="s">
        <v>836</v>
      </c>
      <c r="C687" s="6">
        <f t="shared" si="40"/>
        <v>45717</v>
      </c>
      <c r="D687" t="s">
        <v>128</v>
      </c>
      <c r="E687" t="s">
        <v>32</v>
      </c>
      <c r="F687" t="s">
        <v>45</v>
      </c>
      <c r="G687" t="s">
        <v>118</v>
      </c>
      <c r="H687" t="s">
        <v>123</v>
      </c>
      <c r="I687">
        <v>1822</v>
      </c>
      <c r="J687" s="7">
        <v>760.13</v>
      </c>
      <c r="K687" s="7">
        <v>1384956.86</v>
      </c>
      <c r="L687">
        <v>313</v>
      </c>
      <c r="M687" t="s">
        <v>866</v>
      </c>
      <c r="N687" s="6">
        <f t="shared" si="41"/>
        <v>45717</v>
      </c>
      <c r="O687" t="s">
        <v>866</v>
      </c>
      <c r="P687" t="str">
        <f t="shared" si="42"/>
        <v>March 2025</v>
      </c>
      <c r="Q687" t="s">
        <v>37</v>
      </c>
      <c r="R687" s="7">
        <v>15741.25</v>
      </c>
      <c r="S687" s="7">
        <f t="shared" si="43"/>
        <v>1400698.11</v>
      </c>
    </row>
    <row r="688" spans="1:19" x14ac:dyDescent="0.3">
      <c r="A688" t="s">
        <v>1129</v>
      </c>
      <c r="B688" s="5" t="s">
        <v>133</v>
      </c>
      <c r="C688" s="6">
        <f t="shared" si="40"/>
        <v>45748</v>
      </c>
      <c r="D688" t="s">
        <v>31</v>
      </c>
      <c r="E688" t="s">
        <v>143</v>
      </c>
      <c r="F688" t="s">
        <v>45</v>
      </c>
      <c r="G688" t="s">
        <v>66</v>
      </c>
      <c r="H688" t="s">
        <v>55</v>
      </c>
      <c r="I688">
        <v>315</v>
      </c>
      <c r="J688" s="7">
        <v>312.3</v>
      </c>
      <c r="K688" s="7">
        <v>98374.5</v>
      </c>
      <c r="L688">
        <v>434</v>
      </c>
      <c r="M688" t="s">
        <v>417</v>
      </c>
      <c r="N688" s="6">
        <f t="shared" si="41"/>
        <v>45748</v>
      </c>
      <c r="O688" t="s">
        <v>78</v>
      </c>
      <c r="P688" t="str">
        <f t="shared" si="42"/>
        <v>April 2025</v>
      </c>
      <c r="Q688" t="s">
        <v>28</v>
      </c>
      <c r="R688" s="7">
        <v>22018.44</v>
      </c>
      <c r="S688" s="7">
        <f t="shared" si="43"/>
        <v>120392.94</v>
      </c>
    </row>
    <row r="689" spans="1:19" x14ac:dyDescent="0.3">
      <c r="A689" t="s">
        <v>1130</v>
      </c>
      <c r="B689" s="5" t="s">
        <v>341</v>
      </c>
      <c r="C689" s="6">
        <f t="shared" si="40"/>
        <v>45839</v>
      </c>
      <c r="D689" t="s">
        <v>96</v>
      </c>
      <c r="E689" t="s">
        <v>143</v>
      </c>
      <c r="F689" t="s">
        <v>23</v>
      </c>
      <c r="G689" t="s">
        <v>283</v>
      </c>
      <c r="H689" t="s">
        <v>61</v>
      </c>
      <c r="I689">
        <v>1102</v>
      </c>
      <c r="J689" s="7">
        <v>528.88</v>
      </c>
      <c r="K689" s="7">
        <v>582825.76</v>
      </c>
      <c r="L689">
        <v>71</v>
      </c>
      <c r="M689" t="s">
        <v>342</v>
      </c>
      <c r="N689" s="6">
        <f t="shared" si="41"/>
        <v>45839</v>
      </c>
      <c r="O689" t="s">
        <v>342</v>
      </c>
      <c r="P689" t="str">
        <f t="shared" si="42"/>
        <v>July 2025</v>
      </c>
      <c r="Q689" t="s">
        <v>37</v>
      </c>
      <c r="R689" s="7">
        <v>3829.59</v>
      </c>
      <c r="S689" s="7">
        <f t="shared" si="43"/>
        <v>586655.35</v>
      </c>
    </row>
    <row r="690" spans="1:19" x14ac:dyDescent="0.3">
      <c r="A690" t="s">
        <v>1131</v>
      </c>
      <c r="B690" s="5" t="s">
        <v>280</v>
      </c>
      <c r="C690" s="6">
        <f t="shared" si="40"/>
        <v>45809</v>
      </c>
      <c r="D690" t="s">
        <v>109</v>
      </c>
      <c r="E690" t="s">
        <v>143</v>
      </c>
      <c r="F690" t="s">
        <v>33</v>
      </c>
      <c r="G690" t="s">
        <v>202</v>
      </c>
      <c r="H690" t="s">
        <v>47</v>
      </c>
      <c r="I690">
        <v>199</v>
      </c>
      <c r="J690" s="7">
        <v>506.77</v>
      </c>
      <c r="K690" s="7">
        <v>100847.23</v>
      </c>
      <c r="L690">
        <v>484</v>
      </c>
      <c r="M690" t="s">
        <v>701</v>
      </c>
      <c r="N690" s="6">
        <f t="shared" si="41"/>
        <v>45809</v>
      </c>
      <c r="O690" t="s">
        <v>404</v>
      </c>
      <c r="P690" t="str">
        <f t="shared" si="42"/>
        <v>June 2025</v>
      </c>
      <c r="Q690" t="s">
        <v>28</v>
      </c>
      <c r="R690" s="7">
        <v>27338.92</v>
      </c>
      <c r="S690" s="7">
        <f t="shared" si="43"/>
        <v>128186.15</v>
      </c>
    </row>
    <row r="691" spans="1:19" x14ac:dyDescent="0.3">
      <c r="A691" t="s">
        <v>1132</v>
      </c>
      <c r="B691" s="5" t="s">
        <v>365</v>
      </c>
      <c r="C691" s="6">
        <f t="shared" si="40"/>
        <v>45809</v>
      </c>
      <c r="D691" t="s">
        <v>21</v>
      </c>
      <c r="E691" t="s">
        <v>22</v>
      </c>
      <c r="F691" t="s">
        <v>23</v>
      </c>
      <c r="G691" t="s">
        <v>168</v>
      </c>
      <c r="H691" t="s">
        <v>77</v>
      </c>
      <c r="I691">
        <v>1284</v>
      </c>
      <c r="J691" s="7">
        <v>189.88</v>
      </c>
      <c r="K691" s="7">
        <v>243805.92</v>
      </c>
      <c r="L691">
        <v>492</v>
      </c>
      <c r="M691" t="s">
        <v>702</v>
      </c>
      <c r="N691" s="6">
        <f t="shared" si="41"/>
        <v>45809</v>
      </c>
      <c r="O691" t="s">
        <v>445</v>
      </c>
      <c r="P691" t="str">
        <f t="shared" si="42"/>
        <v>June 2025</v>
      </c>
      <c r="Q691" t="s">
        <v>28</v>
      </c>
      <c r="R691" s="7">
        <v>28183.42</v>
      </c>
      <c r="S691" s="7">
        <f t="shared" si="43"/>
        <v>271989.34000000003</v>
      </c>
    </row>
    <row r="692" spans="1:19" x14ac:dyDescent="0.3">
      <c r="A692" t="s">
        <v>1133</v>
      </c>
      <c r="B692" s="5" t="s">
        <v>530</v>
      </c>
      <c r="C692" s="6">
        <f t="shared" si="40"/>
        <v>45748</v>
      </c>
      <c r="D692" t="s">
        <v>96</v>
      </c>
      <c r="E692" t="s">
        <v>53</v>
      </c>
      <c r="F692" t="s">
        <v>45</v>
      </c>
      <c r="G692" t="s">
        <v>159</v>
      </c>
      <c r="H692" t="s">
        <v>55</v>
      </c>
      <c r="I692">
        <v>513</v>
      </c>
      <c r="J692" s="7">
        <v>654.25</v>
      </c>
      <c r="K692" s="7">
        <v>335630.25</v>
      </c>
      <c r="L692">
        <v>624</v>
      </c>
      <c r="M692" t="s">
        <v>660</v>
      </c>
      <c r="N692" s="6">
        <f t="shared" si="41"/>
        <v>45748</v>
      </c>
      <c r="O692" t="s">
        <v>171</v>
      </c>
      <c r="P692" t="str">
        <f t="shared" si="42"/>
        <v>April 2025</v>
      </c>
      <c r="Q692" t="s">
        <v>28</v>
      </c>
      <c r="R692" s="7">
        <v>30266.73</v>
      </c>
      <c r="S692" s="7">
        <f t="shared" si="43"/>
        <v>365896.98</v>
      </c>
    </row>
    <row r="693" spans="1:19" x14ac:dyDescent="0.3">
      <c r="A693" t="s">
        <v>1134</v>
      </c>
      <c r="B693" s="5" t="s">
        <v>569</v>
      </c>
      <c r="C693" s="6">
        <f t="shared" si="40"/>
        <v>45778</v>
      </c>
      <c r="D693" t="s">
        <v>40</v>
      </c>
      <c r="E693" t="s">
        <v>75</v>
      </c>
      <c r="F693" t="s">
        <v>59</v>
      </c>
      <c r="G693" t="s">
        <v>76</v>
      </c>
      <c r="H693" t="s">
        <v>61</v>
      </c>
      <c r="I693">
        <v>1611</v>
      </c>
      <c r="J693" s="7">
        <v>296.7</v>
      </c>
      <c r="K693" s="7">
        <v>477983.7</v>
      </c>
      <c r="L693">
        <v>226</v>
      </c>
      <c r="M693" t="s">
        <v>796</v>
      </c>
      <c r="N693" s="6">
        <f t="shared" si="41"/>
        <v>45778</v>
      </c>
      <c r="O693" t="s">
        <v>978</v>
      </c>
      <c r="P693" t="str">
        <f t="shared" si="42"/>
        <v>May 2025</v>
      </c>
      <c r="Q693" t="s">
        <v>28</v>
      </c>
      <c r="R693" s="7">
        <v>13138.33</v>
      </c>
      <c r="S693" s="7">
        <f t="shared" si="43"/>
        <v>491122.03</v>
      </c>
    </row>
    <row r="694" spans="1:19" x14ac:dyDescent="0.3">
      <c r="A694" t="s">
        <v>1135</v>
      </c>
      <c r="B694" s="5" t="s">
        <v>461</v>
      </c>
      <c r="C694" s="6">
        <f t="shared" si="40"/>
        <v>45717</v>
      </c>
      <c r="D694" t="s">
        <v>31</v>
      </c>
      <c r="E694" t="s">
        <v>143</v>
      </c>
      <c r="F694" t="s">
        <v>33</v>
      </c>
      <c r="G694" t="s">
        <v>384</v>
      </c>
      <c r="H694" t="s">
        <v>61</v>
      </c>
      <c r="I694">
        <v>868</v>
      </c>
      <c r="J694" s="7">
        <v>124.97</v>
      </c>
      <c r="K694" s="7">
        <v>108473.96</v>
      </c>
      <c r="L694">
        <v>177</v>
      </c>
      <c r="M694" t="s">
        <v>917</v>
      </c>
      <c r="N694" s="6">
        <f t="shared" si="41"/>
        <v>45717</v>
      </c>
      <c r="O694" t="s">
        <v>64</v>
      </c>
      <c r="P694" t="str">
        <f t="shared" si="42"/>
        <v>March 2025</v>
      </c>
      <c r="Q694" t="s">
        <v>28</v>
      </c>
      <c r="R694" s="7">
        <v>10814.83</v>
      </c>
      <c r="S694" s="7">
        <f t="shared" si="43"/>
        <v>119288.79000000001</v>
      </c>
    </row>
    <row r="695" spans="1:19" x14ac:dyDescent="0.3">
      <c r="A695" t="s">
        <v>1136</v>
      </c>
      <c r="B695" s="5" t="s">
        <v>912</v>
      </c>
      <c r="C695" s="6">
        <f t="shared" si="40"/>
        <v>45689</v>
      </c>
      <c r="D695" t="s">
        <v>128</v>
      </c>
      <c r="E695" t="s">
        <v>75</v>
      </c>
      <c r="F695" t="s">
        <v>33</v>
      </c>
      <c r="G695" t="s">
        <v>222</v>
      </c>
      <c r="H695" t="s">
        <v>123</v>
      </c>
      <c r="I695">
        <v>889</v>
      </c>
      <c r="J695" s="7">
        <v>516.51</v>
      </c>
      <c r="K695" s="7">
        <v>459177.39</v>
      </c>
      <c r="L695">
        <v>385</v>
      </c>
      <c r="M695" t="s">
        <v>629</v>
      </c>
      <c r="N695" s="6">
        <f t="shared" si="41"/>
        <v>45689</v>
      </c>
      <c r="O695" t="s">
        <v>509</v>
      </c>
      <c r="P695" t="str">
        <f t="shared" si="42"/>
        <v>March 2025</v>
      </c>
      <c r="Q695" t="s">
        <v>28</v>
      </c>
      <c r="R695" s="7">
        <v>19632.97</v>
      </c>
      <c r="S695" s="7">
        <f t="shared" si="43"/>
        <v>478810.36</v>
      </c>
    </row>
    <row r="696" spans="1:19" x14ac:dyDescent="0.3">
      <c r="A696" t="s">
        <v>1137</v>
      </c>
      <c r="B696" s="5" t="s">
        <v>270</v>
      </c>
      <c r="C696" s="6">
        <f t="shared" si="40"/>
        <v>45717</v>
      </c>
      <c r="D696" t="s">
        <v>40</v>
      </c>
      <c r="E696" t="s">
        <v>32</v>
      </c>
      <c r="F696" t="s">
        <v>45</v>
      </c>
      <c r="G696" t="s">
        <v>76</v>
      </c>
      <c r="H696" t="s">
        <v>55</v>
      </c>
      <c r="I696">
        <v>69</v>
      </c>
      <c r="J696" s="7">
        <v>66.510000000000005</v>
      </c>
      <c r="K696" s="7">
        <v>4589.1899999999996</v>
      </c>
      <c r="L696">
        <v>333</v>
      </c>
      <c r="M696" t="s">
        <v>461</v>
      </c>
      <c r="N696" s="6">
        <f t="shared" si="41"/>
        <v>45717</v>
      </c>
      <c r="O696" t="s">
        <v>64</v>
      </c>
      <c r="P696" t="str">
        <f t="shared" si="42"/>
        <v>March 2025</v>
      </c>
      <c r="Q696" t="s">
        <v>28</v>
      </c>
      <c r="R696" s="7">
        <v>18704.09</v>
      </c>
      <c r="S696" s="7">
        <f t="shared" si="43"/>
        <v>23293.279999999999</v>
      </c>
    </row>
    <row r="697" spans="1:19" x14ac:dyDescent="0.3">
      <c r="A697" t="s">
        <v>1138</v>
      </c>
      <c r="B697" s="5" t="s">
        <v>74</v>
      </c>
      <c r="C697" s="6">
        <f t="shared" si="40"/>
        <v>45748</v>
      </c>
      <c r="D697" t="s">
        <v>21</v>
      </c>
      <c r="E697" t="s">
        <v>32</v>
      </c>
      <c r="F697" t="s">
        <v>45</v>
      </c>
      <c r="G697" t="s">
        <v>24</v>
      </c>
      <c r="H697" t="s">
        <v>55</v>
      </c>
      <c r="I697">
        <v>1080</v>
      </c>
      <c r="J697" s="7">
        <v>727.81</v>
      </c>
      <c r="K697" s="7">
        <v>786034.8</v>
      </c>
      <c r="L697">
        <v>303</v>
      </c>
      <c r="M697" t="s">
        <v>78</v>
      </c>
      <c r="N697" s="6">
        <f t="shared" si="41"/>
        <v>45748</v>
      </c>
      <c r="O697" t="s">
        <v>79</v>
      </c>
      <c r="P697" t="str">
        <f t="shared" si="42"/>
        <v>April 2025</v>
      </c>
      <c r="Q697" t="s">
        <v>28</v>
      </c>
      <c r="R697" s="7">
        <v>13123.05</v>
      </c>
      <c r="S697" s="7">
        <f t="shared" si="43"/>
        <v>799157.85000000009</v>
      </c>
    </row>
    <row r="698" spans="1:19" x14ac:dyDescent="0.3">
      <c r="A698" t="s">
        <v>1139</v>
      </c>
      <c r="B698" s="5" t="s">
        <v>1140</v>
      </c>
      <c r="C698" s="6">
        <f t="shared" si="40"/>
        <v>45658</v>
      </c>
      <c r="D698" t="s">
        <v>96</v>
      </c>
      <c r="E698" t="s">
        <v>22</v>
      </c>
      <c r="F698" t="s">
        <v>59</v>
      </c>
      <c r="G698" t="s">
        <v>179</v>
      </c>
      <c r="H698" t="s">
        <v>61</v>
      </c>
      <c r="I698">
        <v>837</v>
      </c>
      <c r="J698" s="7">
        <v>397.91</v>
      </c>
      <c r="K698" s="7">
        <v>333050.67</v>
      </c>
      <c r="L698">
        <v>665</v>
      </c>
      <c r="M698" t="s">
        <v>194</v>
      </c>
      <c r="N698" s="6">
        <f t="shared" si="41"/>
        <v>45658</v>
      </c>
      <c r="O698" t="s">
        <v>194</v>
      </c>
      <c r="P698" t="str">
        <f t="shared" si="42"/>
        <v>January 2025</v>
      </c>
      <c r="Q698" t="s">
        <v>37</v>
      </c>
      <c r="R698" s="7">
        <v>35485.26</v>
      </c>
      <c r="S698" s="7">
        <f t="shared" si="43"/>
        <v>368535.93</v>
      </c>
    </row>
    <row r="699" spans="1:19" x14ac:dyDescent="0.3">
      <c r="A699" t="s">
        <v>1141</v>
      </c>
      <c r="B699" s="5" t="s">
        <v>530</v>
      </c>
      <c r="C699" s="6">
        <f t="shared" si="40"/>
        <v>45748</v>
      </c>
      <c r="D699" t="s">
        <v>52</v>
      </c>
      <c r="E699" t="s">
        <v>70</v>
      </c>
      <c r="F699" t="s">
        <v>33</v>
      </c>
      <c r="G699" t="s">
        <v>351</v>
      </c>
      <c r="H699" t="s">
        <v>91</v>
      </c>
      <c r="I699">
        <v>320</v>
      </c>
      <c r="J699" s="7">
        <v>722.38</v>
      </c>
      <c r="K699" s="7">
        <v>231161.60000000001</v>
      </c>
      <c r="L699">
        <v>710</v>
      </c>
      <c r="M699" t="s">
        <v>922</v>
      </c>
      <c r="N699" s="6">
        <f t="shared" si="41"/>
        <v>45748</v>
      </c>
      <c r="O699" t="s">
        <v>922</v>
      </c>
      <c r="P699" t="str">
        <f t="shared" si="42"/>
        <v>April 2025</v>
      </c>
      <c r="Q699" t="s">
        <v>37</v>
      </c>
      <c r="R699" s="7">
        <v>43523.44</v>
      </c>
      <c r="S699" s="7">
        <f t="shared" si="43"/>
        <v>274685.04000000004</v>
      </c>
    </row>
    <row r="700" spans="1:19" x14ac:dyDescent="0.3">
      <c r="A700" t="s">
        <v>1142</v>
      </c>
      <c r="B700" s="5" t="s">
        <v>127</v>
      </c>
      <c r="C700" s="6">
        <f t="shared" si="40"/>
        <v>45839</v>
      </c>
      <c r="D700" t="s">
        <v>128</v>
      </c>
      <c r="E700" t="s">
        <v>70</v>
      </c>
      <c r="F700" t="s">
        <v>23</v>
      </c>
      <c r="G700" t="s">
        <v>227</v>
      </c>
      <c r="H700" t="s">
        <v>47</v>
      </c>
      <c r="I700">
        <v>534</v>
      </c>
      <c r="J700" s="7">
        <v>112.49</v>
      </c>
      <c r="K700" s="7">
        <v>60069.66</v>
      </c>
      <c r="L700">
        <v>237</v>
      </c>
      <c r="M700" t="s">
        <v>538</v>
      </c>
      <c r="N700" s="6">
        <f t="shared" si="41"/>
        <v>45839</v>
      </c>
      <c r="O700" t="s">
        <v>338</v>
      </c>
      <c r="P700" t="str">
        <f t="shared" si="42"/>
        <v>July 2025</v>
      </c>
      <c r="Q700" t="s">
        <v>28</v>
      </c>
      <c r="R700" s="7">
        <v>11823.61</v>
      </c>
      <c r="S700" s="7">
        <f t="shared" si="43"/>
        <v>71893.27</v>
      </c>
    </row>
    <row r="701" spans="1:19" x14ac:dyDescent="0.3">
      <c r="A701" t="s">
        <v>1143</v>
      </c>
      <c r="B701" s="5" t="s">
        <v>320</v>
      </c>
      <c r="C701" s="6">
        <f t="shared" si="40"/>
        <v>45658</v>
      </c>
      <c r="D701" t="s">
        <v>21</v>
      </c>
      <c r="E701" t="s">
        <v>75</v>
      </c>
      <c r="F701" t="s">
        <v>59</v>
      </c>
      <c r="G701" t="s">
        <v>82</v>
      </c>
      <c r="H701" t="s">
        <v>132</v>
      </c>
      <c r="I701">
        <v>2303</v>
      </c>
      <c r="J701" s="7">
        <v>605.47</v>
      </c>
      <c r="K701" s="7">
        <v>1394397.41</v>
      </c>
      <c r="L701">
        <v>405</v>
      </c>
      <c r="M701" t="s">
        <v>44</v>
      </c>
      <c r="N701" s="6">
        <f t="shared" si="41"/>
        <v>45658</v>
      </c>
      <c r="O701" t="s">
        <v>48</v>
      </c>
      <c r="P701" t="str">
        <f t="shared" si="42"/>
        <v>January 2025</v>
      </c>
      <c r="Q701" t="s">
        <v>28</v>
      </c>
      <c r="R701" s="7">
        <v>19682.71</v>
      </c>
      <c r="S701" s="7">
        <f t="shared" si="43"/>
        <v>1414080.1199999999</v>
      </c>
    </row>
    <row r="702" spans="1:19" x14ac:dyDescent="0.3">
      <c r="A702" t="s">
        <v>1144</v>
      </c>
      <c r="B702" s="5" t="s">
        <v>195</v>
      </c>
      <c r="C702" s="6">
        <f t="shared" si="40"/>
        <v>45658</v>
      </c>
      <c r="D702" t="s">
        <v>52</v>
      </c>
      <c r="E702" t="s">
        <v>70</v>
      </c>
      <c r="F702" t="s">
        <v>33</v>
      </c>
      <c r="G702" t="s">
        <v>34</v>
      </c>
      <c r="H702" t="s">
        <v>77</v>
      </c>
      <c r="I702">
        <v>1005</v>
      </c>
      <c r="J702" s="7">
        <v>475.18</v>
      </c>
      <c r="K702" s="7">
        <v>477555.9</v>
      </c>
      <c r="L702">
        <v>499</v>
      </c>
      <c r="M702" t="s">
        <v>319</v>
      </c>
      <c r="N702" s="6">
        <f t="shared" si="41"/>
        <v>45658</v>
      </c>
      <c r="O702" t="s">
        <v>319</v>
      </c>
      <c r="P702" t="str">
        <f t="shared" si="42"/>
        <v>January 2025</v>
      </c>
      <c r="Q702" t="s">
        <v>37</v>
      </c>
      <c r="R702" s="7">
        <v>28268.62</v>
      </c>
      <c r="S702" s="7">
        <f t="shared" si="43"/>
        <v>505824.52</v>
      </c>
    </row>
    <row r="703" spans="1:19" x14ac:dyDescent="0.3">
      <c r="A703" t="s">
        <v>1145</v>
      </c>
      <c r="B703" s="5" t="s">
        <v>258</v>
      </c>
      <c r="C703" s="6">
        <f t="shared" si="40"/>
        <v>45931</v>
      </c>
      <c r="D703" t="s">
        <v>21</v>
      </c>
      <c r="E703" t="s">
        <v>32</v>
      </c>
      <c r="F703" t="s">
        <v>23</v>
      </c>
      <c r="G703" t="s">
        <v>97</v>
      </c>
      <c r="H703" t="s">
        <v>91</v>
      </c>
      <c r="I703">
        <v>1070</v>
      </c>
      <c r="J703" s="7">
        <v>66.849999999999994</v>
      </c>
      <c r="K703" s="7">
        <v>71529.5</v>
      </c>
      <c r="L703">
        <v>124</v>
      </c>
      <c r="M703" t="s">
        <v>459</v>
      </c>
      <c r="N703" s="6">
        <f t="shared" si="41"/>
        <v>45931</v>
      </c>
      <c r="O703" t="s">
        <v>622</v>
      </c>
      <c r="P703" t="str">
        <f t="shared" si="42"/>
        <v>October 2025</v>
      </c>
      <c r="Q703" t="s">
        <v>28</v>
      </c>
      <c r="R703" s="7">
        <v>5844.23</v>
      </c>
      <c r="S703" s="7">
        <f t="shared" si="43"/>
        <v>77373.73</v>
      </c>
    </row>
    <row r="704" spans="1:19" x14ac:dyDescent="0.3">
      <c r="A704" t="s">
        <v>1146</v>
      </c>
      <c r="B704" s="5" t="s">
        <v>308</v>
      </c>
      <c r="C704" s="6">
        <f t="shared" si="40"/>
        <v>45658</v>
      </c>
      <c r="D704" t="s">
        <v>96</v>
      </c>
      <c r="E704" t="s">
        <v>22</v>
      </c>
      <c r="F704" t="s">
        <v>59</v>
      </c>
      <c r="G704" t="s">
        <v>82</v>
      </c>
      <c r="H704" t="s">
        <v>123</v>
      </c>
      <c r="I704">
        <v>737</v>
      </c>
      <c r="J704" s="7">
        <v>738.15</v>
      </c>
      <c r="K704" s="7">
        <v>544016.55000000005</v>
      </c>
      <c r="L704">
        <v>88</v>
      </c>
      <c r="M704" t="s">
        <v>309</v>
      </c>
      <c r="N704" s="6">
        <f t="shared" si="41"/>
        <v>45658</v>
      </c>
      <c r="O704" t="s">
        <v>896</v>
      </c>
      <c r="P704" t="str">
        <f t="shared" si="42"/>
        <v>January 2025</v>
      </c>
      <c r="Q704" t="s">
        <v>28</v>
      </c>
      <c r="R704" s="7">
        <v>4388.3500000000004</v>
      </c>
      <c r="S704" s="7">
        <f t="shared" si="43"/>
        <v>548404.9</v>
      </c>
    </row>
    <row r="705" spans="1:19" x14ac:dyDescent="0.3">
      <c r="A705" t="s">
        <v>1147</v>
      </c>
      <c r="B705" s="5" t="s">
        <v>439</v>
      </c>
      <c r="C705" s="6">
        <f t="shared" si="40"/>
        <v>45778</v>
      </c>
      <c r="D705" t="s">
        <v>21</v>
      </c>
      <c r="E705" t="s">
        <v>22</v>
      </c>
      <c r="F705" t="s">
        <v>45</v>
      </c>
      <c r="G705" t="s">
        <v>97</v>
      </c>
      <c r="H705" t="s">
        <v>123</v>
      </c>
      <c r="I705">
        <v>1946</v>
      </c>
      <c r="J705" s="7">
        <v>761.64</v>
      </c>
      <c r="K705" s="7">
        <v>1482151.44</v>
      </c>
      <c r="L705">
        <v>377</v>
      </c>
      <c r="M705" t="s">
        <v>1008</v>
      </c>
      <c r="N705" s="6">
        <f t="shared" si="41"/>
        <v>45778</v>
      </c>
      <c r="O705" t="s">
        <v>282</v>
      </c>
      <c r="P705" t="str">
        <f t="shared" si="42"/>
        <v>May 2025</v>
      </c>
      <c r="Q705" t="s">
        <v>28</v>
      </c>
      <c r="R705" s="7">
        <v>20409.53</v>
      </c>
      <c r="S705" s="7">
        <f t="shared" si="43"/>
        <v>1502560.97</v>
      </c>
    </row>
    <row r="706" spans="1:19" x14ac:dyDescent="0.3">
      <c r="A706" t="s">
        <v>1148</v>
      </c>
      <c r="B706" s="5" t="s">
        <v>480</v>
      </c>
      <c r="C706" s="6">
        <f t="shared" si="40"/>
        <v>45778</v>
      </c>
      <c r="D706" t="s">
        <v>31</v>
      </c>
      <c r="E706" t="s">
        <v>75</v>
      </c>
      <c r="F706" t="s">
        <v>59</v>
      </c>
      <c r="G706" t="s">
        <v>138</v>
      </c>
      <c r="H706" t="s">
        <v>77</v>
      </c>
      <c r="I706">
        <v>557</v>
      </c>
      <c r="J706" s="7">
        <v>841.61</v>
      </c>
      <c r="K706" s="7">
        <v>468776.77</v>
      </c>
      <c r="L706">
        <v>647</v>
      </c>
      <c r="M706" t="s">
        <v>224</v>
      </c>
      <c r="N706" s="6">
        <f t="shared" si="41"/>
        <v>45778</v>
      </c>
      <c r="O706" t="s">
        <v>223</v>
      </c>
      <c r="P706" t="str">
        <f t="shared" si="42"/>
        <v>May 2025</v>
      </c>
      <c r="Q706" t="s">
        <v>28</v>
      </c>
      <c r="R706" s="7">
        <v>31846.76</v>
      </c>
      <c r="S706" s="7">
        <f t="shared" si="43"/>
        <v>500623.53</v>
      </c>
    </row>
    <row r="707" spans="1:19" x14ac:dyDescent="0.3">
      <c r="A707" t="s">
        <v>1149</v>
      </c>
      <c r="B707" s="5" t="s">
        <v>798</v>
      </c>
      <c r="C707" s="6">
        <f t="shared" ref="C707:C770" si="44">DATE(YEAR(B707), MONTH(B707), 1)</f>
        <v>45658</v>
      </c>
      <c r="D707" t="s">
        <v>96</v>
      </c>
      <c r="E707" t="s">
        <v>143</v>
      </c>
      <c r="F707" t="s">
        <v>33</v>
      </c>
      <c r="G707" t="s">
        <v>82</v>
      </c>
      <c r="H707" t="s">
        <v>132</v>
      </c>
      <c r="I707">
        <v>440</v>
      </c>
      <c r="J707" s="7">
        <v>826.75</v>
      </c>
      <c r="K707" s="7">
        <v>363770</v>
      </c>
      <c r="L707">
        <v>50</v>
      </c>
      <c r="M707" t="s">
        <v>194</v>
      </c>
      <c r="N707" s="6">
        <f t="shared" ref="N707:N770" si="45">DATE(YEAR(M707), MONTH(M707),1)</f>
        <v>45658</v>
      </c>
      <c r="O707" t="s">
        <v>798</v>
      </c>
      <c r="P707" t="str">
        <f t="shared" ref="P707:P770" si="46">TEXT(O707, "mmmm yyyy")</f>
        <v>January 2025</v>
      </c>
      <c r="Q707" t="s">
        <v>37</v>
      </c>
      <c r="R707" s="7">
        <v>2799.8</v>
      </c>
      <c r="S707" s="7">
        <f t="shared" ref="S707:S770" si="47">K707 +R707</f>
        <v>366569.8</v>
      </c>
    </row>
    <row r="708" spans="1:19" x14ac:dyDescent="0.3">
      <c r="A708" t="s">
        <v>1150</v>
      </c>
      <c r="B708" s="5" t="s">
        <v>199</v>
      </c>
      <c r="C708" s="6">
        <f t="shared" si="44"/>
        <v>45931</v>
      </c>
      <c r="D708" t="s">
        <v>52</v>
      </c>
      <c r="E708" t="s">
        <v>22</v>
      </c>
      <c r="F708" t="s">
        <v>23</v>
      </c>
      <c r="G708" t="s">
        <v>159</v>
      </c>
      <c r="H708" t="s">
        <v>25</v>
      </c>
      <c r="I708">
        <v>446</v>
      </c>
      <c r="J708" s="7">
        <v>556.91999999999996</v>
      </c>
      <c r="K708" s="7">
        <v>248386.32</v>
      </c>
      <c r="L708">
        <v>298</v>
      </c>
      <c r="M708" t="s">
        <v>90</v>
      </c>
      <c r="N708" s="6">
        <f t="shared" si="45"/>
        <v>45931</v>
      </c>
      <c r="O708" t="s">
        <v>200</v>
      </c>
      <c r="P708" t="str">
        <f t="shared" si="46"/>
        <v>October 2025</v>
      </c>
      <c r="Q708" t="s">
        <v>28</v>
      </c>
      <c r="R708" s="7">
        <v>12363.12</v>
      </c>
      <c r="S708" s="7">
        <f t="shared" si="47"/>
        <v>260749.44</v>
      </c>
    </row>
    <row r="709" spans="1:19" x14ac:dyDescent="0.3">
      <c r="A709" t="s">
        <v>1151</v>
      </c>
      <c r="B709" s="5" t="s">
        <v>454</v>
      </c>
      <c r="C709" s="6">
        <f t="shared" si="44"/>
        <v>45717</v>
      </c>
      <c r="D709" t="s">
        <v>52</v>
      </c>
      <c r="E709" t="s">
        <v>53</v>
      </c>
      <c r="F709" t="s">
        <v>59</v>
      </c>
      <c r="G709" t="s">
        <v>494</v>
      </c>
      <c r="H709" t="s">
        <v>77</v>
      </c>
      <c r="I709">
        <v>2369</v>
      </c>
      <c r="J709" s="7">
        <v>780.45</v>
      </c>
      <c r="K709" s="7">
        <v>1848886.05</v>
      </c>
      <c r="L709">
        <v>247</v>
      </c>
      <c r="M709" t="s">
        <v>387</v>
      </c>
      <c r="N709" s="6">
        <f t="shared" si="45"/>
        <v>45748</v>
      </c>
      <c r="O709" t="s">
        <v>689</v>
      </c>
      <c r="P709" t="str">
        <f t="shared" si="46"/>
        <v>April 2025</v>
      </c>
      <c r="Q709" t="s">
        <v>28</v>
      </c>
      <c r="R709" s="7">
        <v>15047.4</v>
      </c>
      <c r="S709" s="7">
        <f t="shared" si="47"/>
        <v>1863933.45</v>
      </c>
    </row>
    <row r="710" spans="1:19" x14ac:dyDescent="0.3">
      <c r="A710" t="s">
        <v>1152</v>
      </c>
      <c r="B710" s="5" t="s">
        <v>765</v>
      </c>
      <c r="C710" s="6">
        <f t="shared" si="44"/>
        <v>45839</v>
      </c>
      <c r="D710" t="s">
        <v>21</v>
      </c>
      <c r="E710" t="s">
        <v>70</v>
      </c>
      <c r="F710" t="s">
        <v>33</v>
      </c>
      <c r="G710" t="s">
        <v>190</v>
      </c>
      <c r="H710" t="s">
        <v>35</v>
      </c>
      <c r="I710">
        <v>1015</v>
      </c>
      <c r="J710" s="7">
        <v>525.70000000000005</v>
      </c>
      <c r="K710" s="7">
        <v>533585.5</v>
      </c>
      <c r="L710">
        <v>452</v>
      </c>
      <c r="M710" t="s">
        <v>343</v>
      </c>
      <c r="N710" s="6">
        <f t="shared" si="45"/>
        <v>45839</v>
      </c>
      <c r="O710" t="s">
        <v>401</v>
      </c>
      <c r="P710" t="str">
        <f t="shared" si="46"/>
        <v>July 2025</v>
      </c>
      <c r="Q710" t="s">
        <v>28</v>
      </c>
      <c r="R710" s="7">
        <v>17109.63</v>
      </c>
      <c r="S710" s="7">
        <f t="shared" si="47"/>
        <v>550695.13</v>
      </c>
    </row>
    <row r="711" spans="1:19" x14ac:dyDescent="0.3">
      <c r="A711" t="s">
        <v>1153</v>
      </c>
      <c r="B711" s="5" t="s">
        <v>302</v>
      </c>
      <c r="C711" s="6">
        <f t="shared" si="44"/>
        <v>45809</v>
      </c>
      <c r="D711" t="s">
        <v>52</v>
      </c>
      <c r="E711" t="s">
        <v>32</v>
      </c>
      <c r="F711" t="s">
        <v>23</v>
      </c>
      <c r="G711" t="s">
        <v>241</v>
      </c>
      <c r="H711" t="s">
        <v>77</v>
      </c>
      <c r="I711">
        <v>1563</v>
      </c>
      <c r="J711" s="7">
        <v>357.66</v>
      </c>
      <c r="K711" s="7">
        <v>559022.57999999996</v>
      </c>
      <c r="L711">
        <v>534</v>
      </c>
      <c r="M711" t="s">
        <v>525</v>
      </c>
      <c r="N711" s="6">
        <f t="shared" si="45"/>
        <v>45809</v>
      </c>
      <c r="O711" t="s">
        <v>525</v>
      </c>
      <c r="P711" t="str">
        <f t="shared" si="46"/>
        <v>June 2025</v>
      </c>
      <c r="Q711" t="s">
        <v>37</v>
      </c>
      <c r="R711" s="7">
        <v>30714.61</v>
      </c>
      <c r="S711" s="7">
        <f t="shared" si="47"/>
        <v>589737.18999999994</v>
      </c>
    </row>
    <row r="712" spans="1:19" x14ac:dyDescent="0.3">
      <c r="A712" t="s">
        <v>1154</v>
      </c>
      <c r="B712" s="5" t="s">
        <v>287</v>
      </c>
      <c r="C712" s="6">
        <f t="shared" si="44"/>
        <v>45658</v>
      </c>
      <c r="D712" t="s">
        <v>109</v>
      </c>
      <c r="E712" t="s">
        <v>32</v>
      </c>
      <c r="F712" t="s">
        <v>23</v>
      </c>
      <c r="G712" t="s">
        <v>351</v>
      </c>
      <c r="H712" t="s">
        <v>132</v>
      </c>
      <c r="I712">
        <v>2061</v>
      </c>
      <c r="J712" s="7">
        <v>639.1</v>
      </c>
      <c r="K712" s="7">
        <v>1317185.1000000001</v>
      </c>
      <c r="L712">
        <v>685</v>
      </c>
      <c r="M712" t="s">
        <v>580</v>
      </c>
      <c r="N712" s="6">
        <f t="shared" si="45"/>
        <v>45658</v>
      </c>
      <c r="O712" t="s">
        <v>328</v>
      </c>
      <c r="P712" t="str">
        <f t="shared" si="46"/>
        <v>January 2025</v>
      </c>
      <c r="Q712" t="s">
        <v>28</v>
      </c>
      <c r="R712" s="7">
        <v>24678.18</v>
      </c>
      <c r="S712" s="7">
        <f t="shared" si="47"/>
        <v>1341863.28</v>
      </c>
    </row>
    <row r="713" spans="1:19" x14ac:dyDescent="0.3">
      <c r="A713" t="s">
        <v>1155</v>
      </c>
      <c r="B713" s="5" t="s">
        <v>1082</v>
      </c>
      <c r="C713" s="6">
        <f t="shared" si="44"/>
        <v>45962</v>
      </c>
      <c r="D713" t="s">
        <v>128</v>
      </c>
      <c r="E713" t="s">
        <v>22</v>
      </c>
      <c r="F713" t="s">
        <v>33</v>
      </c>
      <c r="G713" t="s">
        <v>110</v>
      </c>
      <c r="H713" t="s">
        <v>123</v>
      </c>
      <c r="I713">
        <v>532</v>
      </c>
      <c r="J713" s="7">
        <v>842.1</v>
      </c>
      <c r="K713" s="7">
        <v>447997.2</v>
      </c>
      <c r="L713">
        <v>28</v>
      </c>
      <c r="M713" t="s">
        <v>563</v>
      </c>
      <c r="N713" s="6">
        <f t="shared" si="45"/>
        <v>45992</v>
      </c>
      <c r="O713" t="s">
        <v>1082</v>
      </c>
      <c r="P713" t="str">
        <f t="shared" si="46"/>
        <v>November 2025</v>
      </c>
      <c r="Q713" t="s">
        <v>37</v>
      </c>
      <c r="R713" s="7">
        <v>1697.38</v>
      </c>
      <c r="S713" s="7">
        <f t="shared" si="47"/>
        <v>449694.58</v>
      </c>
    </row>
    <row r="714" spans="1:19" x14ac:dyDescent="0.3">
      <c r="A714" t="s">
        <v>1156</v>
      </c>
      <c r="B714" s="5" t="s">
        <v>482</v>
      </c>
      <c r="C714" s="6">
        <f t="shared" si="44"/>
        <v>45901</v>
      </c>
      <c r="D714" t="s">
        <v>65</v>
      </c>
      <c r="E714" t="s">
        <v>70</v>
      </c>
      <c r="F714" t="s">
        <v>45</v>
      </c>
      <c r="G714" t="s">
        <v>76</v>
      </c>
      <c r="H714" t="s">
        <v>25</v>
      </c>
      <c r="I714">
        <v>324</v>
      </c>
      <c r="J714" s="7">
        <v>264.79000000000002</v>
      </c>
      <c r="K714" s="7">
        <v>85791.96</v>
      </c>
      <c r="L714">
        <v>64</v>
      </c>
      <c r="M714" t="s">
        <v>154</v>
      </c>
      <c r="N714" s="6">
        <f t="shared" si="45"/>
        <v>45901</v>
      </c>
      <c r="O714" t="s">
        <v>154</v>
      </c>
      <c r="P714" t="str">
        <f t="shared" si="46"/>
        <v>September 2025</v>
      </c>
      <c r="Q714" t="s">
        <v>37</v>
      </c>
      <c r="R714" s="7">
        <v>3923.38</v>
      </c>
      <c r="S714" s="7">
        <f t="shared" si="47"/>
        <v>89715.340000000011</v>
      </c>
    </row>
    <row r="715" spans="1:19" x14ac:dyDescent="0.3">
      <c r="A715" t="s">
        <v>1157</v>
      </c>
      <c r="B715" s="5" t="s">
        <v>640</v>
      </c>
      <c r="C715" s="6">
        <f t="shared" si="44"/>
        <v>45962</v>
      </c>
      <c r="D715" t="s">
        <v>65</v>
      </c>
      <c r="E715" t="s">
        <v>143</v>
      </c>
      <c r="F715" t="s">
        <v>59</v>
      </c>
      <c r="G715" t="s">
        <v>66</v>
      </c>
      <c r="H715" t="s">
        <v>132</v>
      </c>
      <c r="I715">
        <v>888</v>
      </c>
      <c r="J715" s="7">
        <v>476.18</v>
      </c>
      <c r="K715" s="7">
        <v>422847.84</v>
      </c>
      <c r="L715">
        <v>621</v>
      </c>
      <c r="M715" t="s">
        <v>244</v>
      </c>
      <c r="N715" s="6">
        <f t="shared" si="45"/>
        <v>45962</v>
      </c>
      <c r="O715" t="s">
        <v>245</v>
      </c>
      <c r="P715" t="str">
        <f t="shared" si="46"/>
        <v>November 2025</v>
      </c>
      <c r="Q715" t="s">
        <v>28</v>
      </c>
      <c r="R715" s="7">
        <v>32828.65</v>
      </c>
      <c r="S715" s="7">
        <f t="shared" si="47"/>
        <v>455676.49000000005</v>
      </c>
    </row>
    <row r="716" spans="1:19" x14ac:dyDescent="0.3">
      <c r="A716" t="s">
        <v>1158</v>
      </c>
      <c r="B716" s="5" t="s">
        <v>27</v>
      </c>
      <c r="C716" s="6">
        <f t="shared" si="44"/>
        <v>45778</v>
      </c>
      <c r="D716" t="s">
        <v>21</v>
      </c>
      <c r="E716" t="s">
        <v>32</v>
      </c>
      <c r="F716" t="s">
        <v>45</v>
      </c>
      <c r="G716" t="s">
        <v>202</v>
      </c>
      <c r="H716" t="s">
        <v>55</v>
      </c>
      <c r="I716">
        <v>1541</v>
      </c>
      <c r="J716" s="7">
        <v>600.45000000000005</v>
      </c>
      <c r="K716" s="7">
        <v>925293.45</v>
      </c>
      <c r="L716">
        <v>194</v>
      </c>
      <c r="M716" t="s">
        <v>136</v>
      </c>
      <c r="N716" s="6">
        <f t="shared" si="45"/>
        <v>45778</v>
      </c>
      <c r="O716" t="s">
        <v>224</v>
      </c>
      <c r="P716" t="str">
        <f t="shared" si="46"/>
        <v>May 2025</v>
      </c>
      <c r="Q716" t="s">
        <v>28</v>
      </c>
      <c r="R716" s="7">
        <v>7552.64</v>
      </c>
      <c r="S716" s="7">
        <f t="shared" si="47"/>
        <v>932846.09</v>
      </c>
    </row>
    <row r="717" spans="1:19" x14ac:dyDescent="0.3">
      <c r="A717" t="s">
        <v>1159</v>
      </c>
      <c r="B717" s="5" t="s">
        <v>223</v>
      </c>
      <c r="C717" s="6">
        <f t="shared" si="44"/>
        <v>45778</v>
      </c>
      <c r="D717" t="s">
        <v>109</v>
      </c>
      <c r="E717" t="s">
        <v>143</v>
      </c>
      <c r="F717" t="s">
        <v>45</v>
      </c>
      <c r="G717" t="s">
        <v>384</v>
      </c>
      <c r="H717" t="s">
        <v>155</v>
      </c>
      <c r="I717">
        <v>1710</v>
      </c>
      <c r="J717" s="7">
        <v>675.15</v>
      </c>
      <c r="K717" s="7">
        <v>1154506.5</v>
      </c>
      <c r="L717">
        <v>347</v>
      </c>
      <c r="M717" t="s">
        <v>336</v>
      </c>
      <c r="N717" s="6">
        <f t="shared" si="45"/>
        <v>45778</v>
      </c>
      <c r="O717" t="s">
        <v>336</v>
      </c>
      <c r="P717" t="str">
        <f t="shared" si="46"/>
        <v>May 2025</v>
      </c>
      <c r="Q717" t="s">
        <v>37</v>
      </c>
      <c r="R717" s="7">
        <v>14429.46</v>
      </c>
      <c r="S717" s="7">
        <f t="shared" si="47"/>
        <v>1168935.96</v>
      </c>
    </row>
    <row r="718" spans="1:19" x14ac:dyDescent="0.3">
      <c r="A718" t="s">
        <v>1160</v>
      </c>
      <c r="B718" s="5" t="s">
        <v>120</v>
      </c>
      <c r="C718" s="6">
        <f t="shared" si="44"/>
        <v>45992</v>
      </c>
      <c r="D718" t="s">
        <v>109</v>
      </c>
      <c r="E718" t="s">
        <v>32</v>
      </c>
      <c r="F718" t="s">
        <v>33</v>
      </c>
      <c r="G718" t="s">
        <v>168</v>
      </c>
      <c r="H718" t="s">
        <v>77</v>
      </c>
      <c r="I718">
        <v>2175</v>
      </c>
      <c r="J718" s="7">
        <v>256.2</v>
      </c>
      <c r="K718" s="7">
        <v>557235</v>
      </c>
      <c r="L718">
        <v>404</v>
      </c>
      <c r="M718" t="s">
        <v>124</v>
      </c>
      <c r="N718" s="6">
        <f t="shared" si="45"/>
        <v>45992</v>
      </c>
      <c r="O718" t="s">
        <v>685</v>
      </c>
      <c r="P718" t="str">
        <f t="shared" si="46"/>
        <v>December 2025</v>
      </c>
      <c r="Q718" t="s">
        <v>28</v>
      </c>
      <c r="R718" s="7">
        <v>19105.71</v>
      </c>
      <c r="S718" s="7">
        <f t="shared" si="47"/>
        <v>576340.71</v>
      </c>
    </row>
    <row r="719" spans="1:19" x14ac:dyDescent="0.3">
      <c r="A719" t="s">
        <v>1161</v>
      </c>
      <c r="B719" s="5" t="s">
        <v>234</v>
      </c>
      <c r="C719" s="6">
        <f t="shared" si="44"/>
        <v>45931</v>
      </c>
      <c r="D719" t="s">
        <v>21</v>
      </c>
      <c r="E719" t="s">
        <v>75</v>
      </c>
      <c r="F719" t="s">
        <v>45</v>
      </c>
      <c r="G719" t="s">
        <v>168</v>
      </c>
      <c r="H719" t="s">
        <v>25</v>
      </c>
      <c r="I719">
        <v>1751</v>
      </c>
      <c r="J719" s="7">
        <v>723.9</v>
      </c>
      <c r="K719" s="7">
        <v>1267548.8999999999</v>
      </c>
      <c r="L719">
        <v>262</v>
      </c>
      <c r="M719" t="s">
        <v>1162</v>
      </c>
      <c r="N719" s="6">
        <f t="shared" si="45"/>
        <v>45931</v>
      </c>
      <c r="O719" t="s">
        <v>238</v>
      </c>
      <c r="P719" t="str">
        <f t="shared" si="46"/>
        <v>November 2025</v>
      </c>
      <c r="Q719" t="s">
        <v>28</v>
      </c>
      <c r="R719" s="7">
        <v>12001.06</v>
      </c>
      <c r="S719" s="7">
        <f t="shared" si="47"/>
        <v>1279549.96</v>
      </c>
    </row>
    <row r="720" spans="1:19" x14ac:dyDescent="0.3">
      <c r="A720" t="s">
        <v>1163</v>
      </c>
      <c r="B720" s="5" t="s">
        <v>114</v>
      </c>
      <c r="C720" s="6">
        <f t="shared" si="44"/>
        <v>45809</v>
      </c>
      <c r="D720" t="s">
        <v>21</v>
      </c>
      <c r="E720" t="s">
        <v>22</v>
      </c>
      <c r="F720" t="s">
        <v>33</v>
      </c>
      <c r="G720" t="s">
        <v>97</v>
      </c>
      <c r="H720" t="s">
        <v>123</v>
      </c>
      <c r="I720">
        <v>2380</v>
      </c>
      <c r="J720" s="7">
        <v>493.51</v>
      </c>
      <c r="K720" s="7">
        <v>1174553.8</v>
      </c>
      <c r="L720">
        <v>494</v>
      </c>
      <c r="M720" t="s">
        <v>445</v>
      </c>
      <c r="N720" s="6">
        <f t="shared" si="45"/>
        <v>45809</v>
      </c>
      <c r="O720" t="s">
        <v>197</v>
      </c>
      <c r="P720" t="str">
        <f t="shared" si="46"/>
        <v>June 2025</v>
      </c>
      <c r="Q720" t="s">
        <v>28</v>
      </c>
      <c r="R720" s="7">
        <v>19381.599999999999</v>
      </c>
      <c r="S720" s="7">
        <f t="shared" si="47"/>
        <v>1193935.4000000001</v>
      </c>
    </row>
    <row r="721" spans="1:19" x14ac:dyDescent="0.3">
      <c r="A721" t="s">
        <v>1164</v>
      </c>
      <c r="B721" s="5" t="s">
        <v>158</v>
      </c>
      <c r="C721" s="6">
        <f t="shared" si="44"/>
        <v>45809</v>
      </c>
      <c r="D721" t="s">
        <v>31</v>
      </c>
      <c r="E721" t="s">
        <v>22</v>
      </c>
      <c r="F721" t="s">
        <v>23</v>
      </c>
      <c r="G721" t="s">
        <v>110</v>
      </c>
      <c r="H721" t="s">
        <v>132</v>
      </c>
      <c r="I721">
        <v>1481</v>
      </c>
      <c r="J721" s="7">
        <v>354.17</v>
      </c>
      <c r="K721" s="7">
        <v>524525.77</v>
      </c>
      <c r="L721">
        <v>231</v>
      </c>
      <c r="M721" t="s">
        <v>160</v>
      </c>
      <c r="N721" s="6">
        <f t="shared" si="45"/>
        <v>45809</v>
      </c>
      <c r="O721" t="s">
        <v>588</v>
      </c>
      <c r="P721" t="str">
        <f t="shared" si="46"/>
        <v>June 2025</v>
      </c>
      <c r="Q721" t="s">
        <v>28</v>
      </c>
      <c r="R721" s="7">
        <v>10342.33</v>
      </c>
      <c r="S721" s="7">
        <f t="shared" si="47"/>
        <v>534868.1</v>
      </c>
    </row>
    <row r="722" spans="1:19" x14ac:dyDescent="0.3">
      <c r="A722" t="s">
        <v>1165</v>
      </c>
      <c r="B722" s="5" t="s">
        <v>526</v>
      </c>
      <c r="C722" s="6">
        <f t="shared" si="44"/>
        <v>45809</v>
      </c>
      <c r="D722" t="s">
        <v>21</v>
      </c>
      <c r="E722" t="s">
        <v>70</v>
      </c>
      <c r="F722" t="s">
        <v>33</v>
      </c>
      <c r="G722" t="s">
        <v>163</v>
      </c>
      <c r="H722" t="s">
        <v>155</v>
      </c>
      <c r="I722">
        <v>393</v>
      </c>
      <c r="J722" s="7">
        <v>419.42</v>
      </c>
      <c r="K722" s="7">
        <v>164832.06</v>
      </c>
      <c r="L722">
        <v>432</v>
      </c>
      <c r="M722" t="s">
        <v>330</v>
      </c>
      <c r="N722" s="6">
        <f t="shared" si="45"/>
        <v>45809</v>
      </c>
      <c r="O722" t="s">
        <v>142</v>
      </c>
      <c r="P722" t="str">
        <f t="shared" si="46"/>
        <v>June 2025</v>
      </c>
      <c r="Q722" t="s">
        <v>28</v>
      </c>
      <c r="R722" s="7">
        <v>15627.66</v>
      </c>
      <c r="S722" s="7">
        <f t="shared" si="47"/>
        <v>180459.72</v>
      </c>
    </row>
    <row r="723" spans="1:19" x14ac:dyDescent="0.3">
      <c r="A723" t="s">
        <v>1166</v>
      </c>
      <c r="B723" s="5" t="s">
        <v>920</v>
      </c>
      <c r="C723" s="6">
        <f t="shared" si="44"/>
        <v>45778</v>
      </c>
      <c r="D723" t="s">
        <v>31</v>
      </c>
      <c r="E723" t="s">
        <v>32</v>
      </c>
      <c r="F723" t="s">
        <v>59</v>
      </c>
      <c r="G723" t="s">
        <v>179</v>
      </c>
      <c r="H723" t="s">
        <v>35</v>
      </c>
      <c r="I723">
        <v>2186</v>
      </c>
      <c r="J723" s="7">
        <v>435.32</v>
      </c>
      <c r="K723" s="7">
        <v>951609.52</v>
      </c>
      <c r="L723">
        <v>170</v>
      </c>
      <c r="M723" t="s">
        <v>511</v>
      </c>
      <c r="N723" s="6">
        <f t="shared" si="45"/>
        <v>45778</v>
      </c>
      <c r="O723" t="s">
        <v>285</v>
      </c>
      <c r="P723" t="str">
        <f t="shared" si="46"/>
        <v>May 2025</v>
      </c>
      <c r="Q723" t="s">
        <v>28</v>
      </c>
      <c r="R723" s="7">
        <v>8930.92</v>
      </c>
      <c r="S723" s="7">
        <f t="shared" si="47"/>
        <v>960540.44000000006</v>
      </c>
    </row>
    <row r="724" spans="1:19" x14ac:dyDescent="0.3">
      <c r="A724" t="s">
        <v>1167</v>
      </c>
      <c r="B724" s="5" t="s">
        <v>1168</v>
      </c>
      <c r="C724" s="6">
        <f t="shared" si="44"/>
        <v>45870</v>
      </c>
      <c r="D724" t="s">
        <v>31</v>
      </c>
      <c r="E724" t="s">
        <v>75</v>
      </c>
      <c r="F724" t="s">
        <v>33</v>
      </c>
      <c r="G724" t="s">
        <v>494</v>
      </c>
      <c r="H724" t="s">
        <v>25</v>
      </c>
      <c r="I724">
        <v>1096</v>
      </c>
      <c r="J724" s="7">
        <v>395.97</v>
      </c>
      <c r="K724" s="7">
        <v>433983.12</v>
      </c>
      <c r="L724">
        <v>624</v>
      </c>
      <c r="M724" t="s">
        <v>736</v>
      </c>
      <c r="N724" s="6">
        <f t="shared" si="45"/>
        <v>45870</v>
      </c>
      <c r="O724" t="s">
        <v>736</v>
      </c>
      <c r="P724" t="str">
        <f t="shared" si="46"/>
        <v>August 2025</v>
      </c>
      <c r="Q724" t="s">
        <v>37</v>
      </c>
      <c r="R724" s="7">
        <v>38484.04</v>
      </c>
      <c r="S724" s="7">
        <f t="shared" si="47"/>
        <v>472467.16</v>
      </c>
    </row>
    <row r="725" spans="1:19" x14ac:dyDescent="0.3">
      <c r="A725" t="s">
        <v>1169</v>
      </c>
      <c r="B725" s="5" t="s">
        <v>704</v>
      </c>
      <c r="C725" s="6">
        <f t="shared" si="44"/>
        <v>45809</v>
      </c>
      <c r="D725" t="s">
        <v>31</v>
      </c>
      <c r="E725" t="s">
        <v>143</v>
      </c>
      <c r="F725" t="s">
        <v>23</v>
      </c>
      <c r="G725" t="s">
        <v>190</v>
      </c>
      <c r="H725" t="s">
        <v>25</v>
      </c>
      <c r="I725">
        <v>1673</v>
      </c>
      <c r="J725" s="7">
        <v>403.19</v>
      </c>
      <c r="K725" s="7">
        <v>674536.87</v>
      </c>
      <c r="L725">
        <v>696</v>
      </c>
      <c r="M725" t="s">
        <v>588</v>
      </c>
      <c r="N725" s="6">
        <f t="shared" si="45"/>
        <v>45809</v>
      </c>
      <c r="O725" t="s">
        <v>588</v>
      </c>
      <c r="P725" t="str">
        <f t="shared" si="46"/>
        <v>June 2025</v>
      </c>
      <c r="Q725" t="s">
        <v>37</v>
      </c>
      <c r="R725" s="7">
        <v>27411.26</v>
      </c>
      <c r="S725" s="7">
        <f t="shared" si="47"/>
        <v>701948.13</v>
      </c>
    </row>
    <row r="726" spans="1:19" x14ac:dyDescent="0.3">
      <c r="A726" t="s">
        <v>1170</v>
      </c>
      <c r="B726" s="5" t="s">
        <v>689</v>
      </c>
      <c r="C726" s="6">
        <f t="shared" si="44"/>
        <v>45748</v>
      </c>
      <c r="D726" t="s">
        <v>96</v>
      </c>
      <c r="E726" t="s">
        <v>75</v>
      </c>
      <c r="F726" t="s">
        <v>33</v>
      </c>
      <c r="G726" t="s">
        <v>66</v>
      </c>
      <c r="H726" t="s">
        <v>91</v>
      </c>
      <c r="I726">
        <v>428</v>
      </c>
      <c r="J726" s="7">
        <v>668.52</v>
      </c>
      <c r="K726" s="7">
        <v>286126.56</v>
      </c>
      <c r="L726">
        <v>510</v>
      </c>
      <c r="M726" t="s">
        <v>690</v>
      </c>
      <c r="N726" s="6">
        <f t="shared" si="45"/>
        <v>45748</v>
      </c>
      <c r="O726" t="s">
        <v>388</v>
      </c>
      <c r="P726" t="str">
        <f t="shared" si="46"/>
        <v>April 2025</v>
      </c>
      <c r="Q726" t="s">
        <v>37</v>
      </c>
      <c r="R726" s="7">
        <v>26578.07</v>
      </c>
      <c r="S726" s="7">
        <f t="shared" si="47"/>
        <v>312704.63</v>
      </c>
    </row>
    <row r="727" spans="1:19" x14ac:dyDescent="0.3">
      <c r="A727" t="s">
        <v>1171</v>
      </c>
      <c r="B727" s="5" t="s">
        <v>306</v>
      </c>
      <c r="C727" s="6">
        <f t="shared" si="44"/>
        <v>45931</v>
      </c>
      <c r="D727" t="s">
        <v>96</v>
      </c>
      <c r="E727" t="s">
        <v>53</v>
      </c>
      <c r="F727" t="s">
        <v>33</v>
      </c>
      <c r="G727" t="s">
        <v>97</v>
      </c>
      <c r="H727" t="s">
        <v>61</v>
      </c>
      <c r="I727">
        <v>1449</v>
      </c>
      <c r="J727" s="7">
        <v>631.53</v>
      </c>
      <c r="K727" s="7">
        <v>915086.97</v>
      </c>
      <c r="L727">
        <v>604</v>
      </c>
      <c r="M727" t="s">
        <v>189</v>
      </c>
      <c r="N727" s="6">
        <f t="shared" si="45"/>
        <v>45931</v>
      </c>
      <c r="O727" t="s">
        <v>606</v>
      </c>
      <c r="P727" t="str">
        <f t="shared" si="46"/>
        <v>October 2025</v>
      </c>
      <c r="Q727" t="s">
        <v>28</v>
      </c>
      <c r="R727" s="7">
        <v>30941.93</v>
      </c>
      <c r="S727" s="7">
        <f t="shared" si="47"/>
        <v>946028.9</v>
      </c>
    </row>
    <row r="728" spans="1:19" x14ac:dyDescent="0.3">
      <c r="A728" t="s">
        <v>1172</v>
      </c>
      <c r="B728" s="5" t="s">
        <v>36</v>
      </c>
      <c r="C728" s="6">
        <f t="shared" si="44"/>
        <v>45689</v>
      </c>
      <c r="D728" t="s">
        <v>21</v>
      </c>
      <c r="E728" t="s">
        <v>70</v>
      </c>
      <c r="F728" t="s">
        <v>23</v>
      </c>
      <c r="G728" t="s">
        <v>86</v>
      </c>
      <c r="H728" t="s">
        <v>25</v>
      </c>
      <c r="I728">
        <v>530</v>
      </c>
      <c r="J728" s="7">
        <v>626.01</v>
      </c>
      <c r="K728" s="7">
        <v>331785.3</v>
      </c>
      <c r="L728">
        <v>499</v>
      </c>
      <c r="M728" t="s">
        <v>625</v>
      </c>
      <c r="N728" s="6">
        <f t="shared" si="45"/>
        <v>45689</v>
      </c>
      <c r="O728" t="s">
        <v>625</v>
      </c>
      <c r="P728" t="str">
        <f t="shared" si="46"/>
        <v>February 2025</v>
      </c>
      <c r="Q728" t="s">
        <v>37</v>
      </c>
      <c r="R728" s="7">
        <v>29665.95</v>
      </c>
      <c r="S728" s="7">
        <f t="shared" si="47"/>
        <v>361451.25</v>
      </c>
    </row>
    <row r="729" spans="1:19" x14ac:dyDescent="0.3">
      <c r="A729" t="s">
        <v>1173</v>
      </c>
      <c r="B729" s="5" t="s">
        <v>690</v>
      </c>
      <c r="C729" s="6">
        <f t="shared" si="44"/>
        <v>45748</v>
      </c>
      <c r="D729" t="s">
        <v>109</v>
      </c>
      <c r="E729" t="s">
        <v>53</v>
      </c>
      <c r="F729" t="s">
        <v>33</v>
      </c>
      <c r="G729" t="s">
        <v>71</v>
      </c>
      <c r="H729" t="s">
        <v>123</v>
      </c>
      <c r="I729">
        <v>1057</v>
      </c>
      <c r="J729" s="7">
        <v>784.29</v>
      </c>
      <c r="K729" s="7">
        <v>828994.53</v>
      </c>
      <c r="L729">
        <v>180</v>
      </c>
      <c r="M729" t="s">
        <v>298</v>
      </c>
      <c r="N729" s="6">
        <f t="shared" si="45"/>
        <v>45748</v>
      </c>
      <c r="O729" t="s">
        <v>690</v>
      </c>
      <c r="P729" t="str">
        <f t="shared" si="46"/>
        <v>April 2025</v>
      </c>
      <c r="Q729" t="s">
        <v>37</v>
      </c>
      <c r="R729" s="7">
        <v>9396.33</v>
      </c>
      <c r="S729" s="7">
        <f t="shared" si="47"/>
        <v>838390.86</v>
      </c>
    </row>
    <row r="730" spans="1:19" x14ac:dyDescent="0.3">
      <c r="A730" t="s">
        <v>1174</v>
      </c>
      <c r="B730" s="5" t="s">
        <v>704</v>
      </c>
      <c r="C730" s="6">
        <f t="shared" si="44"/>
        <v>45809</v>
      </c>
      <c r="D730" t="s">
        <v>128</v>
      </c>
      <c r="E730" t="s">
        <v>22</v>
      </c>
      <c r="F730" t="s">
        <v>45</v>
      </c>
      <c r="G730" t="s">
        <v>202</v>
      </c>
      <c r="H730" t="s">
        <v>35</v>
      </c>
      <c r="I730">
        <v>314</v>
      </c>
      <c r="J730" s="7">
        <v>454.33</v>
      </c>
      <c r="K730" s="7">
        <v>142659.62</v>
      </c>
      <c r="L730">
        <v>472</v>
      </c>
      <c r="M730" t="s">
        <v>588</v>
      </c>
      <c r="N730" s="6">
        <f t="shared" si="45"/>
        <v>45809</v>
      </c>
      <c r="O730" t="s">
        <v>300</v>
      </c>
      <c r="P730" t="str">
        <f t="shared" si="46"/>
        <v>June 2025</v>
      </c>
      <c r="Q730" t="s">
        <v>28</v>
      </c>
      <c r="R730" s="7">
        <v>16704.330000000002</v>
      </c>
      <c r="S730" s="7">
        <f t="shared" si="47"/>
        <v>159363.95000000001</v>
      </c>
    </row>
    <row r="731" spans="1:19" x14ac:dyDescent="0.3">
      <c r="A731" t="s">
        <v>1175</v>
      </c>
      <c r="B731" s="5" t="s">
        <v>36</v>
      </c>
      <c r="C731" s="6">
        <f t="shared" si="44"/>
        <v>45689</v>
      </c>
      <c r="D731" t="s">
        <v>96</v>
      </c>
      <c r="E731" t="s">
        <v>75</v>
      </c>
      <c r="F731" t="s">
        <v>45</v>
      </c>
      <c r="G731" t="s">
        <v>384</v>
      </c>
      <c r="H731" t="s">
        <v>77</v>
      </c>
      <c r="I731">
        <v>747</v>
      </c>
      <c r="J731" s="7">
        <v>891.12</v>
      </c>
      <c r="K731" s="7">
        <v>665666.64</v>
      </c>
      <c r="L731">
        <v>168</v>
      </c>
      <c r="M731" t="s">
        <v>431</v>
      </c>
      <c r="N731" s="6">
        <f t="shared" si="45"/>
        <v>45689</v>
      </c>
      <c r="O731" t="s">
        <v>431</v>
      </c>
      <c r="P731" t="str">
        <f t="shared" si="46"/>
        <v>February 2025</v>
      </c>
      <c r="Q731" t="s">
        <v>37</v>
      </c>
      <c r="R731" s="7">
        <v>7600.89</v>
      </c>
      <c r="S731" s="7">
        <f t="shared" si="47"/>
        <v>673267.53</v>
      </c>
    </row>
    <row r="732" spans="1:19" x14ac:dyDescent="0.3">
      <c r="A732" t="s">
        <v>1176</v>
      </c>
      <c r="B732" s="5" t="s">
        <v>572</v>
      </c>
      <c r="C732" s="6">
        <f t="shared" si="44"/>
        <v>45870</v>
      </c>
      <c r="D732" t="s">
        <v>96</v>
      </c>
      <c r="E732" t="s">
        <v>75</v>
      </c>
      <c r="F732" t="s">
        <v>59</v>
      </c>
      <c r="G732" t="s">
        <v>163</v>
      </c>
      <c r="H732" t="s">
        <v>132</v>
      </c>
      <c r="I732">
        <v>1728</v>
      </c>
      <c r="J732" s="7">
        <v>256.82</v>
      </c>
      <c r="K732" s="7">
        <v>443784.96000000002</v>
      </c>
      <c r="L732">
        <v>308</v>
      </c>
      <c r="M732" t="s">
        <v>573</v>
      </c>
      <c r="N732" s="6">
        <f t="shared" si="45"/>
        <v>45870</v>
      </c>
      <c r="O732" t="s">
        <v>573</v>
      </c>
      <c r="P732" t="str">
        <f t="shared" si="46"/>
        <v>August 2025</v>
      </c>
      <c r="Q732" t="s">
        <v>37</v>
      </c>
      <c r="R732" s="7">
        <v>18669.990000000002</v>
      </c>
      <c r="S732" s="7">
        <f t="shared" si="47"/>
        <v>462454.95</v>
      </c>
    </row>
    <row r="733" spans="1:19" x14ac:dyDescent="0.3">
      <c r="A733" t="s">
        <v>1177</v>
      </c>
      <c r="B733" s="5" t="s">
        <v>106</v>
      </c>
      <c r="C733" s="6">
        <f t="shared" si="44"/>
        <v>45962</v>
      </c>
      <c r="D733" t="s">
        <v>128</v>
      </c>
      <c r="E733" t="s">
        <v>22</v>
      </c>
      <c r="F733" t="s">
        <v>59</v>
      </c>
      <c r="G733" t="s">
        <v>227</v>
      </c>
      <c r="H733" t="s">
        <v>77</v>
      </c>
      <c r="I733">
        <v>2451</v>
      </c>
      <c r="J733" s="7">
        <v>147.32</v>
      </c>
      <c r="K733" s="7">
        <v>361081.32</v>
      </c>
      <c r="L733">
        <v>167</v>
      </c>
      <c r="M733" t="s">
        <v>367</v>
      </c>
      <c r="N733" s="6">
        <f t="shared" si="45"/>
        <v>45962</v>
      </c>
      <c r="O733" t="s">
        <v>367</v>
      </c>
      <c r="P733" t="str">
        <f t="shared" si="46"/>
        <v>November 2025</v>
      </c>
      <c r="Q733" t="s">
        <v>37</v>
      </c>
      <c r="R733" s="7">
        <v>8058.83</v>
      </c>
      <c r="S733" s="7">
        <f t="shared" si="47"/>
        <v>369140.15</v>
      </c>
    </row>
    <row r="734" spans="1:19" x14ac:dyDescent="0.3">
      <c r="A734" t="s">
        <v>1178</v>
      </c>
      <c r="B734" s="5" t="s">
        <v>287</v>
      </c>
      <c r="C734" s="6">
        <f t="shared" si="44"/>
        <v>45658</v>
      </c>
      <c r="D734" t="s">
        <v>52</v>
      </c>
      <c r="E734" t="s">
        <v>32</v>
      </c>
      <c r="F734" t="s">
        <v>33</v>
      </c>
      <c r="G734" t="s">
        <v>190</v>
      </c>
      <c r="H734" t="s">
        <v>47</v>
      </c>
      <c r="I734">
        <v>1431</v>
      </c>
      <c r="J734" s="7">
        <v>408.93</v>
      </c>
      <c r="K734" s="7">
        <v>585178.82999999996</v>
      </c>
      <c r="L734">
        <v>239</v>
      </c>
      <c r="M734" t="s">
        <v>44</v>
      </c>
      <c r="N734" s="6">
        <f t="shared" si="45"/>
        <v>45658</v>
      </c>
      <c r="O734" t="s">
        <v>327</v>
      </c>
      <c r="P734" t="str">
        <f t="shared" si="46"/>
        <v>January 2025</v>
      </c>
      <c r="Q734" t="s">
        <v>28</v>
      </c>
      <c r="R734" s="7">
        <v>14325.49</v>
      </c>
      <c r="S734" s="7">
        <f t="shared" si="47"/>
        <v>599504.31999999995</v>
      </c>
    </row>
    <row r="735" spans="1:19" x14ac:dyDescent="0.3">
      <c r="A735" t="s">
        <v>1179</v>
      </c>
      <c r="B735" s="5" t="s">
        <v>304</v>
      </c>
      <c r="C735" s="6">
        <f t="shared" si="44"/>
        <v>45962</v>
      </c>
      <c r="D735" t="s">
        <v>128</v>
      </c>
      <c r="E735" t="s">
        <v>53</v>
      </c>
      <c r="F735" t="s">
        <v>59</v>
      </c>
      <c r="G735" t="s">
        <v>241</v>
      </c>
      <c r="H735" t="s">
        <v>55</v>
      </c>
      <c r="I735">
        <v>236</v>
      </c>
      <c r="J735" s="7">
        <v>606.35</v>
      </c>
      <c r="K735" s="7">
        <v>143098.6</v>
      </c>
      <c r="L735">
        <v>312</v>
      </c>
      <c r="M735" t="s">
        <v>245</v>
      </c>
      <c r="N735" s="6">
        <f t="shared" si="45"/>
        <v>45962</v>
      </c>
      <c r="O735" t="s">
        <v>105</v>
      </c>
      <c r="P735" t="str">
        <f t="shared" si="46"/>
        <v>November 2025</v>
      </c>
      <c r="Q735" t="s">
        <v>28</v>
      </c>
      <c r="R735" s="7">
        <v>18411.060000000001</v>
      </c>
      <c r="S735" s="7">
        <f t="shared" si="47"/>
        <v>161509.66</v>
      </c>
    </row>
    <row r="736" spans="1:19" x14ac:dyDescent="0.3">
      <c r="A736" t="s">
        <v>1180</v>
      </c>
      <c r="B736" s="5" t="s">
        <v>346</v>
      </c>
      <c r="C736" s="6">
        <f t="shared" si="44"/>
        <v>45658</v>
      </c>
      <c r="D736" t="s">
        <v>109</v>
      </c>
      <c r="E736" t="s">
        <v>22</v>
      </c>
      <c r="F736" t="s">
        <v>33</v>
      </c>
      <c r="G736" t="s">
        <v>227</v>
      </c>
      <c r="H736" t="s">
        <v>61</v>
      </c>
      <c r="I736">
        <v>214</v>
      </c>
      <c r="J736" s="7">
        <v>343.91</v>
      </c>
      <c r="K736" s="7">
        <v>73596.740000000005</v>
      </c>
      <c r="L736">
        <v>442</v>
      </c>
      <c r="M736" t="s">
        <v>665</v>
      </c>
      <c r="N736" s="6">
        <f t="shared" si="45"/>
        <v>45689</v>
      </c>
      <c r="O736" t="s">
        <v>665</v>
      </c>
      <c r="P736" t="str">
        <f t="shared" si="46"/>
        <v>February 2025</v>
      </c>
      <c r="Q736" t="s">
        <v>37</v>
      </c>
      <c r="R736" s="7">
        <v>24169.55</v>
      </c>
      <c r="S736" s="7">
        <f t="shared" si="47"/>
        <v>97766.290000000008</v>
      </c>
    </row>
    <row r="737" spans="1:19" x14ac:dyDescent="0.3">
      <c r="A737" t="s">
        <v>1181</v>
      </c>
      <c r="B737" s="5" t="s">
        <v>320</v>
      </c>
      <c r="C737" s="6">
        <f t="shared" si="44"/>
        <v>45658</v>
      </c>
      <c r="D737" t="s">
        <v>65</v>
      </c>
      <c r="E737" t="s">
        <v>22</v>
      </c>
      <c r="F737" t="s">
        <v>45</v>
      </c>
      <c r="G737" t="s">
        <v>24</v>
      </c>
      <c r="H737" t="s">
        <v>155</v>
      </c>
      <c r="I737">
        <v>1955</v>
      </c>
      <c r="J737" s="7">
        <v>619.79</v>
      </c>
      <c r="K737" s="7">
        <v>1211689.45</v>
      </c>
      <c r="L737">
        <v>589</v>
      </c>
      <c r="M737" t="s">
        <v>44</v>
      </c>
      <c r="N737" s="6">
        <f t="shared" si="45"/>
        <v>45658</v>
      </c>
      <c r="O737" t="s">
        <v>44</v>
      </c>
      <c r="P737" t="str">
        <f t="shared" si="46"/>
        <v>January 2025</v>
      </c>
      <c r="Q737" t="s">
        <v>37</v>
      </c>
      <c r="R737" s="7">
        <v>30287.55</v>
      </c>
      <c r="S737" s="7">
        <f t="shared" si="47"/>
        <v>1241977</v>
      </c>
    </row>
    <row r="738" spans="1:19" x14ac:dyDescent="0.3">
      <c r="A738" t="s">
        <v>1182</v>
      </c>
      <c r="B738" s="5" t="s">
        <v>204</v>
      </c>
      <c r="C738" s="6">
        <f t="shared" si="44"/>
        <v>45870</v>
      </c>
      <c r="D738" t="s">
        <v>128</v>
      </c>
      <c r="E738" t="s">
        <v>32</v>
      </c>
      <c r="F738" t="s">
        <v>59</v>
      </c>
      <c r="G738" t="s">
        <v>168</v>
      </c>
      <c r="H738" t="s">
        <v>77</v>
      </c>
      <c r="I738">
        <v>1954</v>
      </c>
      <c r="J738" s="7">
        <v>785.02</v>
      </c>
      <c r="K738" s="7">
        <v>1533929.08</v>
      </c>
      <c r="L738">
        <v>331</v>
      </c>
      <c r="M738" t="s">
        <v>696</v>
      </c>
      <c r="N738" s="6">
        <f t="shared" si="45"/>
        <v>45870</v>
      </c>
      <c r="O738" t="s">
        <v>267</v>
      </c>
      <c r="P738" t="str">
        <f t="shared" si="46"/>
        <v>August 2025</v>
      </c>
      <c r="Q738" t="s">
        <v>28</v>
      </c>
      <c r="R738" s="7">
        <v>13877.77</v>
      </c>
      <c r="S738" s="7">
        <f t="shared" si="47"/>
        <v>1547806.85</v>
      </c>
    </row>
    <row r="739" spans="1:19" x14ac:dyDescent="0.3">
      <c r="A739" t="s">
        <v>1183</v>
      </c>
      <c r="B739" s="5" t="s">
        <v>325</v>
      </c>
      <c r="C739" s="6">
        <f t="shared" si="44"/>
        <v>45717</v>
      </c>
      <c r="D739" t="s">
        <v>128</v>
      </c>
      <c r="E739" t="s">
        <v>75</v>
      </c>
      <c r="F739" t="s">
        <v>45</v>
      </c>
      <c r="G739" t="s">
        <v>202</v>
      </c>
      <c r="H739" t="s">
        <v>61</v>
      </c>
      <c r="I739">
        <v>128</v>
      </c>
      <c r="J739" s="7">
        <v>750.56</v>
      </c>
      <c r="K739" s="7">
        <v>96071.679999999993</v>
      </c>
      <c r="L739">
        <v>567</v>
      </c>
      <c r="M739" t="s">
        <v>269</v>
      </c>
      <c r="N739" s="6">
        <f t="shared" si="45"/>
        <v>45717</v>
      </c>
      <c r="O739" t="s">
        <v>603</v>
      </c>
      <c r="P739" t="str">
        <f t="shared" si="46"/>
        <v>March 2025</v>
      </c>
      <c r="Q739" t="s">
        <v>37</v>
      </c>
      <c r="R739" s="7">
        <v>20385.830000000002</v>
      </c>
      <c r="S739" s="7">
        <f t="shared" si="47"/>
        <v>116457.51</v>
      </c>
    </row>
    <row r="740" spans="1:19" x14ac:dyDescent="0.3">
      <c r="A740" t="s">
        <v>1184</v>
      </c>
      <c r="B740" s="5" t="s">
        <v>470</v>
      </c>
      <c r="C740" s="6">
        <f t="shared" si="44"/>
        <v>45689</v>
      </c>
      <c r="D740" t="s">
        <v>31</v>
      </c>
      <c r="E740" t="s">
        <v>53</v>
      </c>
      <c r="F740" t="s">
        <v>59</v>
      </c>
      <c r="G740" t="s">
        <v>494</v>
      </c>
      <c r="H740" t="s">
        <v>155</v>
      </c>
      <c r="I740">
        <v>1992</v>
      </c>
      <c r="J740" s="7">
        <v>463.7</v>
      </c>
      <c r="K740" s="7">
        <v>923690.4</v>
      </c>
      <c r="L740">
        <v>168</v>
      </c>
      <c r="M740" t="s">
        <v>413</v>
      </c>
      <c r="N740" s="6">
        <f t="shared" si="45"/>
        <v>45689</v>
      </c>
      <c r="O740" t="s">
        <v>413</v>
      </c>
      <c r="P740" t="str">
        <f t="shared" si="46"/>
        <v>February 2025</v>
      </c>
      <c r="Q740" t="s">
        <v>37</v>
      </c>
      <c r="R740" s="7">
        <v>0</v>
      </c>
      <c r="S740" s="7">
        <f t="shared" si="47"/>
        <v>923690.4</v>
      </c>
    </row>
    <row r="741" spans="1:19" x14ac:dyDescent="0.3">
      <c r="A741" t="s">
        <v>1185</v>
      </c>
      <c r="B741" s="5" t="s">
        <v>701</v>
      </c>
      <c r="C741" s="6">
        <f t="shared" si="44"/>
        <v>45809</v>
      </c>
      <c r="D741" t="s">
        <v>109</v>
      </c>
      <c r="E741" t="s">
        <v>70</v>
      </c>
      <c r="F741" t="s">
        <v>33</v>
      </c>
      <c r="G741" t="s">
        <v>179</v>
      </c>
      <c r="H741" t="s">
        <v>91</v>
      </c>
      <c r="I741">
        <v>727</v>
      </c>
      <c r="J741" s="7">
        <v>514.83000000000004</v>
      </c>
      <c r="K741" s="7">
        <v>374281.41</v>
      </c>
      <c r="L741">
        <v>365</v>
      </c>
      <c r="M741" t="s">
        <v>293</v>
      </c>
      <c r="N741" s="6">
        <f t="shared" si="45"/>
        <v>45809</v>
      </c>
      <c r="O741" t="s">
        <v>293</v>
      </c>
      <c r="P741" t="str">
        <f t="shared" si="46"/>
        <v>June 2025</v>
      </c>
      <c r="Q741" t="s">
        <v>37</v>
      </c>
      <c r="R741" s="7">
        <v>16914.39</v>
      </c>
      <c r="S741" s="7">
        <f t="shared" si="47"/>
        <v>391195.8</v>
      </c>
    </row>
    <row r="742" spans="1:19" x14ac:dyDescent="0.3">
      <c r="A742" t="s">
        <v>1186</v>
      </c>
      <c r="B742" s="5" t="s">
        <v>409</v>
      </c>
      <c r="C742" s="6">
        <f t="shared" si="44"/>
        <v>45870</v>
      </c>
      <c r="D742" t="s">
        <v>52</v>
      </c>
      <c r="E742" t="s">
        <v>70</v>
      </c>
      <c r="F742" t="s">
        <v>45</v>
      </c>
      <c r="G742" t="s">
        <v>163</v>
      </c>
      <c r="H742" t="s">
        <v>77</v>
      </c>
      <c r="I742">
        <v>365</v>
      </c>
      <c r="J742" s="7">
        <v>78.23</v>
      </c>
      <c r="K742" s="7">
        <v>28553.95</v>
      </c>
      <c r="L742">
        <v>440</v>
      </c>
      <c r="M742" t="s">
        <v>314</v>
      </c>
      <c r="N742" s="6">
        <f t="shared" si="45"/>
        <v>45870</v>
      </c>
      <c r="O742" t="s">
        <v>83</v>
      </c>
      <c r="P742" t="str">
        <f t="shared" si="46"/>
        <v>August 2025</v>
      </c>
      <c r="Q742" t="s">
        <v>28</v>
      </c>
      <c r="R742" s="7">
        <v>16959.310000000001</v>
      </c>
      <c r="S742" s="7">
        <f t="shared" si="47"/>
        <v>45513.26</v>
      </c>
    </row>
    <row r="743" spans="1:19" x14ac:dyDescent="0.3">
      <c r="A743" t="s">
        <v>1187</v>
      </c>
      <c r="B743" s="5" t="s">
        <v>511</v>
      </c>
      <c r="C743" s="6">
        <f t="shared" si="44"/>
        <v>45778</v>
      </c>
      <c r="D743" t="s">
        <v>128</v>
      </c>
      <c r="E743" t="s">
        <v>70</v>
      </c>
      <c r="F743" t="s">
        <v>45</v>
      </c>
      <c r="G743" t="s">
        <v>283</v>
      </c>
      <c r="H743" t="s">
        <v>47</v>
      </c>
      <c r="I743">
        <v>1978</v>
      </c>
      <c r="J743" s="7">
        <v>656.9</v>
      </c>
      <c r="K743" s="7">
        <v>1299348.2</v>
      </c>
      <c r="L743">
        <v>286</v>
      </c>
      <c r="M743" t="s">
        <v>282</v>
      </c>
      <c r="N743" s="6">
        <f t="shared" si="45"/>
        <v>45778</v>
      </c>
      <c r="O743" t="s">
        <v>282</v>
      </c>
      <c r="P743" t="str">
        <f t="shared" si="46"/>
        <v>May 2025</v>
      </c>
      <c r="Q743" t="s">
        <v>37</v>
      </c>
      <c r="R743" s="7">
        <v>10443.370000000001</v>
      </c>
      <c r="S743" s="7">
        <f t="shared" si="47"/>
        <v>1309791.57</v>
      </c>
    </row>
    <row r="744" spans="1:19" x14ac:dyDescent="0.3">
      <c r="A744" t="s">
        <v>1188</v>
      </c>
      <c r="B744" s="5" t="s">
        <v>496</v>
      </c>
      <c r="C744" s="6">
        <f t="shared" si="44"/>
        <v>45689</v>
      </c>
      <c r="D744" t="s">
        <v>31</v>
      </c>
      <c r="E744" t="s">
        <v>53</v>
      </c>
      <c r="F744" t="s">
        <v>23</v>
      </c>
      <c r="G744" t="s">
        <v>494</v>
      </c>
      <c r="H744" t="s">
        <v>61</v>
      </c>
      <c r="I744">
        <v>1352</v>
      </c>
      <c r="J744" s="7">
        <v>78.88</v>
      </c>
      <c r="K744" s="7">
        <v>106645.75999999999</v>
      </c>
      <c r="L744">
        <v>339</v>
      </c>
      <c r="M744" t="s">
        <v>178</v>
      </c>
      <c r="N744" s="6">
        <f t="shared" si="45"/>
        <v>45689</v>
      </c>
      <c r="O744" t="s">
        <v>846</v>
      </c>
      <c r="P744" t="str">
        <f t="shared" si="46"/>
        <v>February 2025</v>
      </c>
      <c r="Q744" t="s">
        <v>28</v>
      </c>
      <c r="R744" s="7">
        <v>18736.18</v>
      </c>
      <c r="S744" s="7">
        <f t="shared" si="47"/>
        <v>125381.94</v>
      </c>
    </row>
    <row r="745" spans="1:19" x14ac:dyDescent="0.3">
      <c r="A745" t="s">
        <v>1189</v>
      </c>
      <c r="B745" s="5" t="s">
        <v>211</v>
      </c>
      <c r="C745" s="6">
        <f t="shared" si="44"/>
        <v>45901</v>
      </c>
      <c r="D745" t="s">
        <v>65</v>
      </c>
      <c r="E745" t="s">
        <v>32</v>
      </c>
      <c r="F745" t="s">
        <v>45</v>
      </c>
      <c r="G745" t="s">
        <v>24</v>
      </c>
      <c r="H745" t="s">
        <v>123</v>
      </c>
      <c r="I745">
        <v>1292</v>
      </c>
      <c r="J745" s="7">
        <v>836.19</v>
      </c>
      <c r="K745" s="7">
        <v>1080357.48</v>
      </c>
      <c r="L745">
        <v>631</v>
      </c>
      <c r="M745" t="s">
        <v>212</v>
      </c>
      <c r="N745" s="6">
        <f t="shared" si="45"/>
        <v>45901</v>
      </c>
      <c r="O745" t="s">
        <v>212</v>
      </c>
      <c r="P745" t="str">
        <f t="shared" si="46"/>
        <v>September 2025</v>
      </c>
      <c r="Q745" t="s">
        <v>37</v>
      </c>
      <c r="R745" s="7">
        <v>28273.49</v>
      </c>
      <c r="S745" s="7">
        <f t="shared" si="47"/>
        <v>1108630.97</v>
      </c>
    </row>
    <row r="746" spans="1:19" x14ac:dyDescent="0.3">
      <c r="A746" t="s">
        <v>1190</v>
      </c>
      <c r="B746" s="5" t="s">
        <v>1114</v>
      </c>
      <c r="C746" s="6">
        <f t="shared" si="44"/>
        <v>45689</v>
      </c>
      <c r="D746" t="s">
        <v>96</v>
      </c>
      <c r="E746" t="s">
        <v>32</v>
      </c>
      <c r="F746" t="s">
        <v>59</v>
      </c>
      <c r="G746" t="s">
        <v>82</v>
      </c>
      <c r="H746" t="s">
        <v>47</v>
      </c>
      <c r="I746">
        <v>597</v>
      </c>
      <c r="J746" s="7">
        <v>499.01</v>
      </c>
      <c r="K746" s="7">
        <v>297908.96999999997</v>
      </c>
      <c r="L746">
        <v>431</v>
      </c>
      <c r="M746" t="s">
        <v>450</v>
      </c>
      <c r="N746" s="6">
        <f t="shared" si="45"/>
        <v>45689</v>
      </c>
      <c r="O746" t="s">
        <v>662</v>
      </c>
      <c r="P746" t="str">
        <f t="shared" si="46"/>
        <v>February 2025</v>
      </c>
      <c r="Q746" t="s">
        <v>28</v>
      </c>
      <c r="R746" s="7">
        <v>18273.78</v>
      </c>
      <c r="S746" s="7">
        <f t="shared" si="47"/>
        <v>316182.75</v>
      </c>
    </row>
    <row r="747" spans="1:19" x14ac:dyDescent="0.3">
      <c r="A747" t="s">
        <v>1191</v>
      </c>
      <c r="B747" s="5" t="s">
        <v>448</v>
      </c>
      <c r="C747" s="6">
        <f t="shared" si="44"/>
        <v>45931</v>
      </c>
      <c r="D747" t="s">
        <v>31</v>
      </c>
      <c r="E747" t="s">
        <v>53</v>
      </c>
      <c r="F747" t="s">
        <v>23</v>
      </c>
      <c r="G747" t="s">
        <v>172</v>
      </c>
      <c r="H747" t="s">
        <v>61</v>
      </c>
      <c r="I747">
        <v>1367</v>
      </c>
      <c r="J747" s="7">
        <v>331.56</v>
      </c>
      <c r="K747" s="7">
        <v>453242.52</v>
      </c>
      <c r="L747">
        <v>41</v>
      </c>
      <c r="M747" t="s">
        <v>645</v>
      </c>
      <c r="N747" s="6">
        <f t="shared" si="45"/>
        <v>45931</v>
      </c>
      <c r="O747" t="s">
        <v>448</v>
      </c>
      <c r="P747" t="str">
        <f t="shared" si="46"/>
        <v>October 2025</v>
      </c>
      <c r="Q747" t="s">
        <v>37</v>
      </c>
      <c r="R747" s="7">
        <v>2165.6799999999998</v>
      </c>
      <c r="S747" s="7">
        <f t="shared" si="47"/>
        <v>455408.2</v>
      </c>
    </row>
    <row r="748" spans="1:19" x14ac:dyDescent="0.3">
      <c r="A748" t="s">
        <v>1192</v>
      </c>
      <c r="B748" s="5" t="s">
        <v>175</v>
      </c>
      <c r="C748" s="6">
        <f t="shared" si="44"/>
        <v>45901</v>
      </c>
      <c r="D748" t="s">
        <v>21</v>
      </c>
      <c r="E748" t="s">
        <v>22</v>
      </c>
      <c r="F748" t="s">
        <v>23</v>
      </c>
      <c r="G748" t="s">
        <v>494</v>
      </c>
      <c r="H748" t="s">
        <v>61</v>
      </c>
      <c r="I748">
        <v>467</v>
      </c>
      <c r="J748" s="7">
        <v>664.43</v>
      </c>
      <c r="K748" s="7">
        <v>310288.81</v>
      </c>
      <c r="L748">
        <v>619</v>
      </c>
      <c r="M748" t="s">
        <v>176</v>
      </c>
      <c r="N748" s="6">
        <f t="shared" si="45"/>
        <v>45901</v>
      </c>
      <c r="O748" t="s">
        <v>242</v>
      </c>
      <c r="P748" t="str">
        <f t="shared" si="46"/>
        <v>September 2025</v>
      </c>
      <c r="Q748" t="s">
        <v>28</v>
      </c>
      <c r="R748" s="7">
        <v>35981.24</v>
      </c>
      <c r="S748" s="7">
        <f t="shared" si="47"/>
        <v>346270.05</v>
      </c>
    </row>
    <row r="749" spans="1:19" x14ac:dyDescent="0.3">
      <c r="A749" t="s">
        <v>1193</v>
      </c>
      <c r="B749" s="5" t="s">
        <v>1020</v>
      </c>
      <c r="C749" s="6">
        <f t="shared" si="44"/>
        <v>45658</v>
      </c>
      <c r="D749" t="s">
        <v>31</v>
      </c>
      <c r="E749" t="s">
        <v>32</v>
      </c>
      <c r="F749" t="s">
        <v>45</v>
      </c>
      <c r="G749" t="s">
        <v>202</v>
      </c>
      <c r="H749" t="s">
        <v>155</v>
      </c>
      <c r="I749">
        <v>1958</v>
      </c>
      <c r="J749" s="7">
        <v>511.3</v>
      </c>
      <c r="K749" s="7">
        <v>1001125.4</v>
      </c>
      <c r="L749">
        <v>381</v>
      </c>
      <c r="M749" t="s">
        <v>1140</v>
      </c>
      <c r="N749" s="6">
        <f t="shared" si="45"/>
        <v>45658</v>
      </c>
      <c r="O749" t="s">
        <v>478</v>
      </c>
      <c r="P749" t="str">
        <f t="shared" si="46"/>
        <v>January 2025</v>
      </c>
      <c r="Q749" t="s">
        <v>28</v>
      </c>
      <c r="R749" s="7">
        <v>21863.46</v>
      </c>
      <c r="S749" s="7">
        <f t="shared" si="47"/>
        <v>1022988.86</v>
      </c>
    </row>
    <row r="750" spans="1:19" x14ac:dyDescent="0.3">
      <c r="A750" t="s">
        <v>1194</v>
      </c>
      <c r="B750" s="5" t="s">
        <v>376</v>
      </c>
      <c r="C750" s="6">
        <f t="shared" si="44"/>
        <v>45748</v>
      </c>
      <c r="D750" t="s">
        <v>52</v>
      </c>
      <c r="E750" t="s">
        <v>143</v>
      </c>
      <c r="F750" t="s">
        <v>23</v>
      </c>
      <c r="G750" t="s">
        <v>351</v>
      </c>
      <c r="H750" t="s">
        <v>25</v>
      </c>
      <c r="I750">
        <v>386</v>
      </c>
      <c r="J750" s="7">
        <v>248.52</v>
      </c>
      <c r="K750" s="7">
        <v>95928.72</v>
      </c>
      <c r="L750">
        <v>158</v>
      </c>
      <c r="M750" t="s">
        <v>377</v>
      </c>
      <c r="N750" s="6">
        <f t="shared" si="45"/>
        <v>45778</v>
      </c>
      <c r="O750" t="s">
        <v>377</v>
      </c>
      <c r="P750" t="str">
        <f t="shared" si="46"/>
        <v>May 2025</v>
      </c>
      <c r="Q750" t="s">
        <v>37</v>
      </c>
      <c r="R750" s="7">
        <v>6353.48</v>
      </c>
      <c r="S750" s="7">
        <f t="shared" si="47"/>
        <v>102282.2</v>
      </c>
    </row>
    <row r="751" spans="1:19" x14ac:dyDescent="0.3">
      <c r="A751" t="s">
        <v>1195</v>
      </c>
      <c r="B751" s="5" t="s">
        <v>632</v>
      </c>
      <c r="C751" s="6">
        <f t="shared" si="44"/>
        <v>45962</v>
      </c>
      <c r="D751" t="s">
        <v>96</v>
      </c>
      <c r="E751" t="s">
        <v>70</v>
      </c>
      <c r="F751" t="s">
        <v>33</v>
      </c>
      <c r="G751" t="s">
        <v>138</v>
      </c>
      <c r="H751" t="s">
        <v>132</v>
      </c>
      <c r="I751">
        <v>1509</v>
      </c>
      <c r="J751" s="7">
        <v>131.88</v>
      </c>
      <c r="K751" s="7">
        <v>199006.92</v>
      </c>
      <c r="L751">
        <v>588</v>
      </c>
      <c r="M751" t="s">
        <v>563</v>
      </c>
      <c r="N751" s="6">
        <f t="shared" si="45"/>
        <v>45992</v>
      </c>
      <c r="O751" t="s">
        <v>563</v>
      </c>
      <c r="P751" t="str">
        <f t="shared" si="46"/>
        <v>December 2025</v>
      </c>
      <c r="Q751" t="s">
        <v>37</v>
      </c>
      <c r="R751" s="7">
        <v>27271.14</v>
      </c>
      <c r="S751" s="7">
        <f t="shared" si="47"/>
        <v>226278.06</v>
      </c>
    </row>
    <row r="752" spans="1:19" x14ac:dyDescent="0.3">
      <c r="A752" t="s">
        <v>1196</v>
      </c>
      <c r="B752" s="5" t="s">
        <v>413</v>
      </c>
      <c r="C752" s="6">
        <f t="shared" si="44"/>
        <v>45689</v>
      </c>
      <c r="D752" t="s">
        <v>40</v>
      </c>
      <c r="E752" t="s">
        <v>22</v>
      </c>
      <c r="F752" t="s">
        <v>33</v>
      </c>
      <c r="G752" t="s">
        <v>222</v>
      </c>
      <c r="H752" t="s">
        <v>155</v>
      </c>
      <c r="I752">
        <v>2005</v>
      </c>
      <c r="J752" s="7">
        <v>886.76</v>
      </c>
      <c r="K752" s="7">
        <v>1777953.8</v>
      </c>
      <c r="L752">
        <v>85</v>
      </c>
      <c r="M752" t="s">
        <v>1114</v>
      </c>
      <c r="N752" s="6">
        <f t="shared" si="45"/>
        <v>45689</v>
      </c>
      <c r="O752" t="s">
        <v>413</v>
      </c>
      <c r="P752" t="str">
        <f t="shared" si="46"/>
        <v>February 2025</v>
      </c>
      <c r="Q752" t="s">
        <v>37</v>
      </c>
      <c r="R752" s="7">
        <v>5197.71</v>
      </c>
      <c r="S752" s="7">
        <f t="shared" si="47"/>
        <v>1783151.51</v>
      </c>
    </row>
    <row r="753" spans="1:19" x14ac:dyDescent="0.3">
      <c r="A753" t="s">
        <v>1197</v>
      </c>
      <c r="B753" s="5" t="s">
        <v>599</v>
      </c>
      <c r="C753" s="6">
        <f t="shared" si="44"/>
        <v>45839</v>
      </c>
      <c r="D753" t="s">
        <v>31</v>
      </c>
      <c r="E753" t="s">
        <v>53</v>
      </c>
      <c r="F753" t="s">
        <v>33</v>
      </c>
      <c r="G753" t="s">
        <v>283</v>
      </c>
      <c r="H753" t="s">
        <v>155</v>
      </c>
      <c r="I753">
        <v>1714</v>
      </c>
      <c r="J753" s="7">
        <v>688.36</v>
      </c>
      <c r="K753" s="7">
        <v>1179849.04</v>
      </c>
      <c r="L753">
        <v>72</v>
      </c>
      <c r="M753" t="s">
        <v>101</v>
      </c>
      <c r="N753" s="6">
        <f t="shared" si="45"/>
        <v>45839</v>
      </c>
      <c r="O753" t="s">
        <v>101</v>
      </c>
      <c r="P753" t="str">
        <f t="shared" si="46"/>
        <v>July 2025</v>
      </c>
      <c r="Q753" t="s">
        <v>37</v>
      </c>
      <c r="R753" s="7">
        <v>4071.47</v>
      </c>
      <c r="S753" s="7">
        <f t="shared" si="47"/>
        <v>1183920.51</v>
      </c>
    </row>
    <row r="754" spans="1:19" x14ac:dyDescent="0.3">
      <c r="A754" t="s">
        <v>1198</v>
      </c>
      <c r="B754" s="5" t="s">
        <v>660</v>
      </c>
      <c r="C754" s="6">
        <f t="shared" si="44"/>
        <v>45748</v>
      </c>
      <c r="D754" t="s">
        <v>96</v>
      </c>
      <c r="E754" t="s">
        <v>22</v>
      </c>
      <c r="F754" t="s">
        <v>45</v>
      </c>
      <c r="G754" t="s">
        <v>227</v>
      </c>
      <c r="H754" t="s">
        <v>35</v>
      </c>
      <c r="I754">
        <v>2173</v>
      </c>
      <c r="J754" s="7">
        <v>247.92</v>
      </c>
      <c r="K754" s="7">
        <v>538730.16</v>
      </c>
      <c r="L754">
        <v>224</v>
      </c>
      <c r="M754" t="s">
        <v>922</v>
      </c>
      <c r="N754" s="6">
        <f t="shared" si="45"/>
        <v>45748</v>
      </c>
      <c r="O754" t="s">
        <v>507</v>
      </c>
      <c r="P754" t="str">
        <f t="shared" si="46"/>
        <v>April 2025</v>
      </c>
      <c r="Q754" t="s">
        <v>28</v>
      </c>
      <c r="R754" s="7">
        <v>9365.33</v>
      </c>
      <c r="S754" s="7">
        <f t="shared" si="47"/>
        <v>548095.49</v>
      </c>
    </row>
    <row r="755" spans="1:19" x14ac:dyDescent="0.3">
      <c r="A755" t="s">
        <v>1199</v>
      </c>
      <c r="B755" s="5" t="s">
        <v>589</v>
      </c>
      <c r="C755" s="6">
        <f t="shared" si="44"/>
        <v>45809</v>
      </c>
      <c r="D755" t="s">
        <v>52</v>
      </c>
      <c r="E755" t="s">
        <v>53</v>
      </c>
      <c r="F755" t="s">
        <v>45</v>
      </c>
      <c r="G755" t="s">
        <v>71</v>
      </c>
      <c r="H755" t="s">
        <v>25</v>
      </c>
      <c r="I755">
        <v>1830</v>
      </c>
      <c r="J755" s="7">
        <v>242.6</v>
      </c>
      <c r="K755" s="7">
        <v>443958</v>
      </c>
      <c r="L755">
        <v>180</v>
      </c>
      <c r="M755" t="s">
        <v>525</v>
      </c>
      <c r="N755" s="6">
        <f t="shared" si="45"/>
        <v>45809</v>
      </c>
      <c r="O755" t="s">
        <v>525</v>
      </c>
      <c r="P755" t="str">
        <f t="shared" si="46"/>
        <v>June 2025</v>
      </c>
      <c r="Q755" t="s">
        <v>37</v>
      </c>
      <c r="R755" s="7">
        <v>10279.530000000001</v>
      </c>
      <c r="S755" s="7">
        <f t="shared" si="47"/>
        <v>454237.53</v>
      </c>
    </row>
    <row r="756" spans="1:19" x14ac:dyDescent="0.3">
      <c r="A756" t="s">
        <v>1200</v>
      </c>
      <c r="B756" s="5" t="s">
        <v>93</v>
      </c>
      <c r="C756" s="6">
        <f t="shared" si="44"/>
        <v>45931</v>
      </c>
      <c r="D756" t="s">
        <v>128</v>
      </c>
      <c r="E756" t="s">
        <v>70</v>
      </c>
      <c r="F756" t="s">
        <v>45</v>
      </c>
      <c r="G756" t="s">
        <v>60</v>
      </c>
      <c r="H756" t="s">
        <v>47</v>
      </c>
      <c r="I756">
        <v>2220</v>
      </c>
      <c r="J756" s="7">
        <v>776.08</v>
      </c>
      <c r="K756" s="7">
        <v>1722897.6</v>
      </c>
      <c r="L756">
        <v>139</v>
      </c>
      <c r="M756" t="s">
        <v>369</v>
      </c>
      <c r="N756" s="6">
        <f t="shared" si="45"/>
        <v>45931</v>
      </c>
      <c r="O756" t="s">
        <v>258</v>
      </c>
      <c r="P756" t="str">
        <f t="shared" si="46"/>
        <v>October 2025</v>
      </c>
      <c r="Q756" t="s">
        <v>28</v>
      </c>
      <c r="R756" s="7">
        <v>7089.13</v>
      </c>
      <c r="S756" s="7">
        <f t="shared" si="47"/>
        <v>1729986.73</v>
      </c>
    </row>
    <row r="757" spans="1:19" x14ac:dyDescent="0.3">
      <c r="A757" t="s">
        <v>1201</v>
      </c>
      <c r="B757" s="5" t="s">
        <v>302</v>
      </c>
      <c r="C757" s="6">
        <f t="shared" si="44"/>
        <v>45809</v>
      </c>
      <c r="D757" t="s">
        <v>128</v>
      </c>
      <c r="E757" t="s">
        <v>75</v>
      </c>
      <c r="F757" t="s">
        <v>33</v>
      </c>
      <c r="G757" t="s">
        <v>351</v>
      </c>
      <c r="H757" t="s">
        <v>123</v>
      </c>
      <c r="I757">
        <v>1220</v>
      </c>
      <c r="J757" s="7">
        <v>558.22</v>
      </c>
      <c r="K757" s="7">
        <v>681028.4</v>
      </c>
      <c r="L757">
        <v>247</v>
      </c>
      <c r="M757" t="s">
        <v>589</v>
      </c>
      <c r="N757" s="6">
        <f t="shared" si="45"/>
        <v>45809</v>
      </c>
      <c r="O757" t="s">
        <v>589</v>
      </c>
      <c r="P757" t="str">
        <f t="shared" si="46"/>
        <v>June 2025</v>
      </c>
      <c r="Q757" t="s">
        <v>37</v>
      </c>
      <c r="R757" s="7">
        <v>10513.02</v>
      </c>
      <c r="S757" s="7">
        <f t="shared" si="47"/>
        <v>691541.42</v>
      </c>
    </row>
    <row r="758" spans="1:19" x14ac:dyDescent="0.3">
      <c r="A758" t="s">
        <v>1202</v>
      </c>
      <c r="B758" s="5" t="s">
        <v>551</v>
      </c>
      <c r="C758" s="6">
        <f t="shared" si="44"/>
        <v>45901</v>
      </c>
      <c r="D758" t="s">
        <v>40</v>
      </c>
      <c r="E758" t="s">
        <v>53</v>
      </c>
      <c r="F758" t="s">
        <v>45</v>
      </c>
      <c r="G758" t="s">
        <v>494</v>
      </c>
      <c r="H758" t="s">
        <v>91</v>
      </c>
      <c r="I758">
        <v>363</v>
      </c>
      <c r="J758" s="7">
        <v>226.68</v>
      </c>
      <c r="K758" s="7">
        <v>82284.84</v>
      </c>
      <c r="L758">
        <v>292</v>
      </c>
      <c r="M758" t="s">
        <v>585</v>
      </c>
      <c r="N758" s="6">
        <f t="shared" si="45"/>
        <v>45901</v>
      </c>
      <c r="O758" t="s">
        <v>551</v>
      </c>
      <c r="P758" t="str">
        <f t="shared" si="46"/>
        <v>September 2025</v>
      </c>
      <c r="Q758" t="s">
        <v>37</v>
      </c>
      <c r="R758" s="7">
        <v>16436.73</v>
      </c>
      <c r="S758" s="7">
        <f t="shared" si="47"/>
        <v>98721.569999999992</v>
      </c>
    </row>
    <row r="759" spans="1:19" x14ac:dyDescent="0.3">
      <c r="A759" t="s">
        <v>1203</v>
      </c>
      <c r="B759" s="5" t="s">
        <v>891</v>
      </c>
      <c r="C759" s="6">
        <f t="shared" si="44"/>
        <v>45748</v>
      </c>
      <c r="D759" t="s">
        <v>65</v>
      </c>
      <c r="E759" t="s">
        <v>53</v>
      </c>
      <c r="F759" t="s">
        <v>59</v>
      </c>
      <c r="G759" t="s">
        <v>494</v>
      </c>
      <c r="H759" t="s">
        <v>35</v>
      </c>
      <c r="I759">
        <v>2279</v>
      </c>
      <c r="J759" s="7">
        <v>797.77</v>
      </c>
      <c r="K759" s="7">
        <v>1818117.83</v>
      </c>
      <c r="L759">
        <v>717</v>
      </c>
      <c r="M759" t="s">
        <v>708</v>
      </c>
      <c r="N759" s="6">
        <f t="shared" si="45"/>
        <v>45748</v>
      </c>
      <c r="O759" t="s">
        <v>417</v>
      </c>
      <c r="P759" t="str">
        <f t="shared" si="46"/>
        <v>April 2025</v>
      </c>
      <c r="Q759" t="s">
        <v>28</v>
      </c>
      <c r="R759" s="7">
        <v>43729.73</v>
      </c>
      <c r="S759" s="7">
        <f t="shared" si="47"/>
        <v>1861847.56</v>
      </c>
    </row>
    <row r="760" spans="1:19" x14ac:dyDescent="0.3">
      <c r="A760" t="s">
        <v>1204</v>
      </c>
      <c r="B760" s="5" t="s">
        <v>83</v>
      </c>
      <c r="C760" s="6">
        <f t="shared" si="44"/>
        <v>45870</v>
      </c>
      <c r="D760" t="s">
        <v>52</v>
      </c>
      <c r="E760" t="s">
        <v>143</v>
      </c>
      <c r="F760" t="s">
        <v>33</v>
      </c>
      <c r="G760" t="s">
        <v>384</v>
      </c>
      <c r="H760" t="s">
        <v>132</v>
      </c>
      <c r="I760">
        <v>2375</v>
      </c>
      <c r="J760" s="7">
        <v>312.82</v>
      </c>
      <c r="K760" s="7">
        <v>742947.5</v>
      </c>
      <c r="L760">
        <v>383</v>
      </c>
      <c r="M760" t="s">
        <v>371</v>
      </c>
      <c r="N760" s="6">
        <f t="shared" si="45"/>
        <v>45870</v>
      </c>
      <c r="O760" t="s">
        <v>169</v>
      </c>
      <c r="P760" t="str">
        <f t="shared" si="46"/>
        <v>August 2025</v>
      </c>
      <c r="Q760" t="s">
        <v>28</v>
      </c>
      <c r="R760" s="7">
        <v>22673.439999999999</v>
      </c>
      <c r="S760" s="7">
        <f t="shared" si="47"/>
        <v>765620.94</v>
      </c>
    </row>
    <row r="761" spans="1:19" x14ac:dyDescent="0.3">
      <c r="A761" t="s">
        <v>1205</v>
      </c>
      <c r="B761" s="5" t="s">
        <v>308</v>
      </c>
      <c r="C761" s="6">
        <f t="shared" si="44"/>
        <v>45658</v>
      </c>
      <c r="D761" t="s">
        <v>52</v>
      </c>
      <c r="E761" t="s">
        <v>75</v>
      </c>
      <c r="F761" t="s">
        <v>33</v>
      </c>
      <c r="G761" t="s">
        <v>54</v>
      </c>
      <c r="H761" t="s">
        <v>123</v>
      </c>
      <c r="I761">
        <v>991</v>
      </c>
      <c r="J761" s="7">
        <v>387.05</v>
      </c>
      <c r="K761" s="7">
        <v>383566.55</v>
      </c>
      <c r="L761">
        <v>550</v>
      </c>
      <c r="M761" t="s">
        <v>406</v>
      </c>
      <c r="N761" s="6">
        <f t="shared" si="45"/>
        <v>45658</v>
      </c>
      <c r="O761" t="s">
        <v>848</v>
      </c>
      <c r="P761" t="str">
        <f t="shared" si="46"/>
        <v>January 2025</v>
      </c>
      <c r="Q761" t="s">
        <v>28</v>
      </c>
      <c r="R761" s="7">
        <v>32256.3</v>
      </c>
      <c r="S761" s="7">
        <f t="shared" si="47"/>
        <v>415822.85</v>
      </c>
    </row>
    <row r="762" spans="1:19" x14ac:dyDescent="0.3">
      <c r="A762" t="s">
        <v>1206</v>
      </c>
      <c r="B762" s="5" t="s">
        <v>328</v>
      </c>
      <c r="C762" s="6">
        <f t="shared" si="44"/>
        <v>45658</v>
      </c>
      <c r="D762" t="s">
        <v>128</v>
      </c>
      <c r="E762" t="s">
        <v>70</v>
      </c>
      <c r="F762" t="s">
        <v>23</v>
      </c>
      <c r="G762" t="s">
        <v>202</v>
      </c>
      <c r="H762" t="s">
        <v>35</v>
      </c>
      <c r="I762">
        <v>1818</v>
      </c>
      <c r="J762" s="7">
        <v>863.14</v>
      </c>
      <c r="K762" s="7">
        <v>1569188.52</v>
      </c>
      <c r="L762">
        <v>370</v>
      </c>
      <c r="M762" t="s">
        <v>843</v>
      </c>
      <c r="N762" s="6">
        <f t="shared" si="45"/>
        <v>45658</v>
      </c>
      <c r="O762" t="s">
        <v>327</v>
      </c>
      <c r="P762" t="str">
        <f t="shared" si="46"/>
        <v>January 2025</v>
      </c>
      <c r="Q762" t="s">
        <v>37</v>
      </c>
      <c r="R762" s="7">
        <v>18500.66</v>
      </c>
      <c r="S762" s="7">
        <f t="shared" si="47"/>
        <v>1587689.18</v>
      </c>
    </row>
    <row r="763" spans="1:19" x14ac:dyDescent="0.3">
      <c r="A763" t="s">
        <v>1207</v>
      </c>
      <c r="B763" s="5" t="s">
        <v>99</v>
      </c>
      <c r="C763" s="6">
        <f t="shared" si="44"/>
        <v>45839</v>
      </c>
      <c r="D763" t="s">
        <v>52</v>
      </c>
      <c r="E763" t="s">
        <v>143</v>
      </c>
      <c r="F763" t="s">
        <v>23</v>
      </c>
      <c r="G763" t="s">
        <v>66</v>
      </c>
      <c r="H763" t="s">
        <v>47</v>
      </c>
      <c r="I763">
        <v>271</v>
      </c>
      <c r="J763" s="7">
        <v>530.64</v>
      </c>
      <c r="K763" s="7">
        <v>143803.44</v>
      </c>
      <c r="L763">
        <v>613</v>
      </c>
      <c r="M763" t="s">
        <v>599</v>
      </c>
      <c r="N763" s="6">
        <f t="shared" si="45"/>
        <v>45839</v>
      </c>
      <c r="O763" t="s">
        <v>466</v>
      </c>
      <c r="P763" t="str">
        <f t="shared" si="46"/>
        <v>July 2025</v>
      </c>
      <c r="Q763" t="s">
        <v>28</v>
      </c>
      <c r="R763" s="7">
        <v>33557.06</v>
      </c>
      <c r="S763" s="7">
        <f t="shared" si="47"/>
        <v>177360.5</v>
      </c>
    </row>
    <row r="764" spans="1:19" x14ac:dyDescent="0.3">
      <c r="A764" t="s">
        <v>1208</v>
      </c>
      <c r="B764" s="5" t="s">
        <v>111</v>
      </c>
      <c r="C764" s="6">
        <f t="shared" si="44"/>
        <v>45992</v>
      </c>
      <c r="D764" t="s">
        <v>52</v>
      </c>
      <c r="E764" t="s">
        <v>143</v>
      </c>
      <c r="F764" t="s">
        <v>23</v>
      </c>
      <c r="G764" t="s">
        <v>34</v>
      </c>
      <c r="H764" t="s">
        <v>77</v>
      </c>
      <c r="I764">
        <v>476</v>
      </c>
      <c r="J764" s="7">
        <v>638.74</v>
      </c>
      <c r="K764" s="7">
        <v>304040.24</v>
      </c>
      <c r="L764">
        <v>28</v>
      </c>
      <c r="M764" t="s">
        <v>117</v>
      </c>
      <c r="N764" s="6">
        <f t="shared" si="45"/>
        <v>45992</v>
      </c>
      <c r="O764" t="s">
        <v>117</v>
      </c>
      <c r="P764" t="str">
        <f t="shared" si="46"/>
        <v>December 2025</v>
      </c>
      <c r="Q764" t="s">
        <v>37</v>
      </c>
      <c r="R764" s="7">
        <v>1432.9</v>
      </c>
      <c r="S764" s="7">
        <f t="shared" si="47"/>
        <v>305473.14</v>
      </c>
    </row>
    <row r="765" spans="1:19" x14ac:dyDescent="0.3">
      <c r="A765" t="s">
        <v>1209</v>
      </c>
      <c r="B765" s="5" t="s">
        <v>377</v>
      </c>
      <c r="C765" s="6">
        <f t="shared" si="44"/>
        <v>45778</v>
      </c>
      <c r="D765" t="s">
        <v>31</v>
      </c>
      <c r="E765" t="s">
        <v>143</v>
      </c>
      <c r="F765" t="s">
        <v>23</v>
      </c>
      <c r="G765" t="s">
        <v>60</v>
      </c>
      <c r="H765" t="s">
        <v>155</v>
      </c>
      <c r="I765">
        <v>1958</v>
      </c>
      <c r="J765" s="7">
        <v>555.34</v>
      </c>
      <c r="K765" s="7">
        <v>1087355.72</v>
      </c>
      <c r="L765">
        <v>496</v>
      </c>
      <c r="M765" t="s">
        <v>27</v>
      </c>
      <c r="N765" s="6">
        <f t="shared" si="45"/>
        <v>45778</v>
      </c>
      <c r="O765" t="s">
        <v>221</v>
      </c>
      <c r="P765" t="str">
        <f t="shared" si="46"/>
        <v>May 2025</v>
      </c>
      <c r="Q765" t="s">
        <v>28</v>
      </c>
      <c r="R765" s="7">
        <v>30437.59</v>
      </c>
      <c r="S765" s="7">
        <f t="shared" si="47"/>
        <v>1117793.31</v>
      </c>
    </row>
    <row r="766" spans="1:19" x14ac:dyDescent="0.3">
      <c r="A766" t="s">
        <v>1210</v>
      </c>
      <c r="B766" s="5" t="s">
        <v>417</v>
      </c>
      <c r="C766" s="6">
        <f t="shared" si="44"/>
        <v>45748</v>
      </c>
      <c r="D766" t="s">
        <v>96</v>
      </c>
      <c r="E766" t="s">
        <v>75</v>
      </c>
      <c r="F766" t="s">
        <v>59</v>
      </c>
      <c r="G766" t="s">
        <v>190</v>
      </c>
      <c r="H766" t="s">
        <v>61</v>
      </c>
      <c r="I766">
        <v>1008</v>
      </c>
      <c r="J766" s="7">
        <v>173.2</v>
      </c>
      <c r="K766" s="7">
        <v>174585.60000000001</v>
      </c>
      <c r="L766">
        <v>195</v>
      </c>
      <c r="M766" t="s">
        <v>593</v>
      </c>
      <c r="N766" s="6">
        <f t="shared" si="45"/>
        <v>45748</v>
      </c>
      <c r="O766" t="s">
        <v>264</v>
      </c>
      <c r="P766" t="str">
        <f t="shared" si="46"/>
        <v>April 2025</v>
      </c>
      <c r="Q766" t="s">
        <v>28</v>
      </c>
      <c r="R766" s="7">
        <v>7795</v>
      </c>
      <c r="S766" s="7">
        <f t="shared" si="47"/>
        <v>182380.6</v>
      </c>
    </row>
    <row r="767" spans="1:19" x14ac:dyDescent="0.3">
      <c r="A767" t="s">
        <v>1211</v>
      </c>
      <c r="B767" s="5" t="s">
        <v>530</v>
      </c>
      <c r="C767" s="6">
        <f t="shared" si="44"/>
        <v>45748</v>
      </c>
      <c r="D767" t="s">
        <v>128</v>
      </c>
      <c r="E767" t="s">
        <v>22</v>
      </c>
      <c r="F767" t="s">
        <v>45</v>
      </c>
      <c r="G767" t="s">
        <v>60</v>
      </c>
      <c r="H767" t="s">
        <v>91</v>
      </c>
      <c r="I767">
        <v>2212</v>
      </c>
      <c r="J767" s="7">
        <v>863.02</v>
      </c>
      <c r="K767" s="7">
        <v>1909000.24</v>
      </c>
      <c r="L767">
        <v>694</v>
      </c>
      <c r="M767" t="s">
        <v>660</v>
      </c>
      <c r="N767" s="6">
        <f t="shared" si="45"/>
        <v>45748</v>
      </c>
      <c r="O767" t="s">
        <v>660</v>
      </c>
      <c r="P767" t="str">
        <f t="shared" si="46"/>
        <v>April 2025</v>
      </c>
      <c r="Q767" t="s">
        <v>37</v>
      </c>
      <c r="R767" s="7">
        <v>31549.5</v>
      </c>
      <c r="S767" s="7">
        <f t="shared" si="47"/>
        <v>1940549.74</v>
      </c>
    </row>
    <row r="768" spans="1:19" x14ac:dyDescent="0.3">
      <c r="A768" t="s">
        <v>1212</v>
      </c>
      <c r="B768" s="5" t="s">
        <v>125</v>
      </c>
      <c r="C768" s="6">
        <f t="shared" si="44"/>
        <v>45992</v>
      </c>
      <c r="D768" t="s">
        <v>52</v>
      </c>
      <c r="E768" t="s">
        <v>70</v>
      </c>
      <c r="F768" t="s">
        <v>59</v>
      </c>
      <c r="G768" t="s">
        <v>34</v>
      </c>
      <c r="H768" t="s">
        <v>25</v>
      </c>
      <c r="I768">
        <v>2141</v>
      </c>
      <c r="J768" s="7">
        <v>554.54999999999995</v>
      </c>
      <c r="K768" s="7">
        <v>1187291.55</v>
      </c>
      <c r="L768">
        <v>32</v>
      </c>
      <c r="M768" t="s">
        <v>685</v>
      </c>
      <c r="N768" s="6">
        <f t="shared" si="45"/>
        <v>45992</v>
      </c>
      <c r="O768" t="s">
        <v>125</v>
      </c>
      <c r="P768" t="str">
        <f t="shared" si="46"/>
        <v>December 2025</v>
      </c>
      <c r="Q768" t="s">
        <v>37</v>
      </c>
      <c r="R768" s="7">
        <v>1470.97</v>
      </c>
      <c r="S768" s="7">
        <f t="shared" si="47"/>
        <v>1188762.52</v>
      </c>
    </row>
    <row r="769" spans="1:19" x14ac:dyDescent="0.3">
      <c r="A769" t="s">
        <v>1213</v>
      </c>
      <c r="B769" s="5" t="s">
        <v>300</v>
      </c>
      <c r="C769" s="6">
        <f t="shared" si="44"/>
        <v>45809</v>
      </c>
      <c r="D769" t="s">
        <v>65</v>
      </c>
      <c r="E769" t="s">
        <v>143</v>
      </c>
      <c r="F769" t="s">
        <v>45</v>
      </c>
      <c r="G769" t="s">
        <v>172</v>
      </c>
      <c r="H769" t="s">
        <v>155</v>
      </c>
      <c r="I769">
        <v>1039</v>
      </c>
      <c r="J769" s="7">
        <v>599.34</v>
      </c>
      <c r="K769" s="7">
        <v>622714.26</v>
      </c>
      <c r="L769">
        <v>553</v>
      </c>
      <c r="M769" t="s">
        <v>302</v>
      </c>
      <c r="N769" s="6">
        <f t="shared" si="45"/>
        <v>45809</v>
      </c>
      <c r="O769" t="s">
        <v>301</v>
      </c>
      <c r="P769" t="str">
        <f t="shared" si="46"/>
        <v>June 2025</v>
      </c>
      <c r="Q769" t="s">
        <v>37</v>
      </c>
      <c r="R769" s="7">
        <v>30911.58</v>
      </c>
      <c r="S769" s="7">
        <f t="shared" si="47"/>
        <v>653625.84</v>
      </c>
    </row>
    <row r="770" spans="1:19" x14ac:dyDescent="0.3">
      <c r="A770" t="s">
        <v>1214</v>
      </c>
      <c r="B770" s="5" t="s">
        <v>511</v>
      </c>
      <c r="C770" s="6">
        <f t="shared" si="44"/>
        <v>45778</v>
      </c>
      <c r="D770" t="s">
        <v>31</v>
      </c>
      <c r="E770" t="s">
        <v>22</v>
      </c>
      <c r="F770" t="s">
        <v>59</v>
      </c>
      <c r="G770" t="s">
        <v>222</v>
      </c>
      <c r="H770" t="s">
        <v>123</v>
      </c>
      <c r="I770">
        <v>105</v>
      </c>
      <c r="J770" s="7">
        <v>305.17</v>
      </c>
      <c r="K770" s="7">
        <v>32042.85</v>
      </c>
      <c r="L770">
        <v>704</v>
      </c>
      <c r="M770" t="s">
        <v>284</v>
      </c>
      <c r="N770" s="6">
        <f t="shared" si="45"/>
        <v>45778</v>
      </c>
      <c r="O770" t="s">
        <v>284</v>
      </c>
      <c r="P770" t="str">
        <f t="shared" si="46"/>
        <v>May 2025</v>
      </c>
      <c r="Q770" t="s">
        <v>37</v>
      </c>
      <c r="R770" s="7">
        <v>33968.83</v>
      </c>
      <c r="S770" s="7">
        <f t="shared" si="47"/>
        <v>66011.679999999993</v>
      </c>
    </row>
    <row r="771" spans="1:19" x14ac:dyDescent="0.3">
      <c r="A771" t="s">
        <v>1215</v>
      </c>
      <c r="B771" s="5" t="s">
        <v>912</v>
      </c>
      <c r="C771" s="6">
        <f t="shared" ref="C771:C801" si="48">DATE(YEAR(B771), MONTH(B771), 1)</f>
        <v>45689</v>
      </c>
      <c r="D771" t="s">
        <v>21</v>
      </c>
      <c r="E771" t="s">
        <v>32</v>
      </c>
      <c r="F771" t="s">
        <v>33</v>
      </c>
      <c r="G771" t="s">
        <v>384</v>
      </c>
      <c r="H771" t="s">
        <v>91</v>
      </c>
      <c r="I771">
        <v>1819</v>
      </c>
      <c r="J771" s="7">
        <v>846.43</v>
      </c>
      <c r="K771" s="7">
        <v>1539656.17</v>
      </c>
      <c r="L771">
        <v>580</v>
      </c>
      <c r="M771" t="s">
        <v>629</v>
      </c>
      <c r="N771" s="6">
        <f t="shared" ref="N771:N801" si="49">DATE(YEAR(M771), MONTH(M771),1)</f>
        <v>45689</v>
      </c>
      <c r="O771" t="s">
        <v>629</v>
      </c>
      <c r="P771" t="str">
        <f t="shared" ref="P771:P801" si="50">TEXT(O771, "mmmm yyyy")</f>
        <v>February 2025</v>
      </c>
      <c r="Q771" t="s">
        <v>37</v>
      </c>
      <c r="R771" s="7">
        <v>22695.38</v>
      </c>
      <c r="S771" s="7">
        <f t="shared" ref="S771:S801" si="51">K771 +R771</f>
        <v>1562351.5499999998</v>
      </c>
    </row>
    <row r="772" spans="1:19" x14ac:dyDescent="0.3">
      <c r="A772" t="s">
        <v>1216</v>
      </c>
      <c r="B772" s="5" t="s">
        <v>475</v>
      </c>
      <c r="C772" s="6">
        <f t="shared" si="48"/>
        <v>45901</v>
      </c>
      <c r="D772" t="s">
        <v>21</v>
      </c>
      <c r="E772" t="s">
        <v>32</v>
      </c>
      <c r="F772" t="s">
        <v>59</v>
      </c>
      <c r="G772" t="s">
        <v>76</v>
      </c>
      <c r="H772" t="s">
        <v>61</v>
      </c>
      <c r="I772">
        <v>167</v>
      </c>
      <c r="J772" s="7">
        <v>556.73</v>
      </c>
      <c r="K772" s="7">
        <v>92973.91</v>
      </c>
      <c r="L772">
        <v>599</v>
      </c>
      <c r="M772" t="s">
        <v>476</v>
      </c>
      <c r="N772" s="6">
        <f t="shared" si="49"/>
        <v>45901</v>
      </c>
      <c r="O772" t="s">
        <v>255</v>
      </c>
      <c r="P772" t="str">
        <f t="shared" si="50"/>
        <v>September 2025</v>
      </c>
      <c r="Q772" t="s">
        <v>28</v>
      </c>
      <c r="R772" s="7">
        <v>32389.41</v>
      </c>
      <c r="S772" s="7">
        <f t="shared" si="51"/>
        <v>125363.32</v>
      </c>
    </row>
    <row r="773" spans="1:19" x14ac:dyDescent="0.3">
      <c r="A773" t="s">
        <v>1217</v>
      </c>
      <c r="B773" s="5" t="s">
        <v>787</v>
      </c>
      <c r="C773" s="6">
        <f t="shared" si="48"/>
        <v>45901</v>
      </c>
      <c r="D773" t="s">
        <v>128</v>
      </c>
      <c r="E773" t="s">
        <v>143</v>
      </c>
      <c r="F773" t="s">
        <v>59</v>
      </c>
      <c r="G773" t="s">
        <v>179</v>
      </c>
      <c r="H773" t="s">
        <v>47</v>
      </c>
      <c r="I773">
        <v>1893</v>
      </c>
      <c r="J773" s="7">
        <v>254.24</v>
      </c>
      <c r="K773" s="7">
        <v>481276.32</v>
      </c>
      <c r="L773">
        <v>154</v>
      </c>
      <c r="M773" t="s">
        <v>380</v>
      </c>
      <c r="N773" s="6">
        <f t="shared" si="49"/>
        <v>45901</v>
      </c>
      <c r="O773" t="s">
        <v>380</v>
      </c>
      <c r="P773" t="str">
        <f t="shared" si="50"/>
        <v>September 2025</v>
      </c>
      <c r="Q773" t="s">
        <v>37</v>
      </c>
      <c r="R773" s="7">
        <v>6649</v>
      </c>
      <c r="S773" s="7">
        <f t="shared" si="51"/>
        <v>487925.32</v>
      </c>
    </row>
    <row r="774" spans="1:19" x14ac:dyDescent="0.3">
      <c r="A774" t="s">
        <v>1218</v>
      </c>
      <c r="B774" s="5" t="s">
        <v>120</v>
      </c>
      <c r="C774" s="6">
        <f t="shared" si="48"/>
        <v>45992</v>
      </c>
      <c r="D774" t="s">
        <v>128</v>
      </c>
      <c r="E774" t="s">
        <v>22</v>
      </c>
      <c r="F774" t="s">
        <v>59</v>
      </c>
      <c r="G774" t="s">
        <v>241</v>
      </c>
      <c r="H774" t="s">
        <v>61</v>
      </c>
      <c r="I774">
        <v>832</v>
      </c>
      <c r="J774" s="7">
        <v>194.66</v>
      </c>
      <c r="K774" s="7">
        <v>161957.12</v>
      </c>
      <c r="L774">
        <v>74</v>
      </c>
      <c r="M774" t="s">
        <v>122</v>
      </c>
      <c r="N774" s="6">
        <f t="shared" si="49"/>
        <v>45992</v>
      </c>
      <c r="O774" t="s">
        <v>618</v>
      </c>
      <c r="P774" t="str">
        <f t="shared" si="50"/>
        <v>December 2025</v>
      </c>
      <c r="Q774" t="s">
        <v>28</v>
      </c>
      <c r="R774" s="7">
        <v>3278.27</v>
      </c>
      <c r="S774" s="7">
        <f t="shared" si="51"/>
        <v>165235.38999999998</v>
      </c>
    </row>
    <row r="775" spans="1:19" x14ac:dyDescent="0.3">
      <c r="A775" t="s">
        <v>1219</v>
      </c>
      <c r="B775" s="5" t="s">
        <v>27</v>
      </c>
      <c r="C775" s="6">
        <f t="shared" si="48"/>
        <v>45778</v>
      </c>
      <c r="D775" t="s">
        <v>31</v>
      </c>
      <c r="E775" t="s">
        <v>75</v>
      </c>
      <c r="F775" t="s">
        <v>59</v>
      </c>
      <c r="G775" t="s">
        <v>76</v>
      </c>
      <c r="H775" t="s">
        <v>35</v>
      </c>
      <c r="I775">
        <v>2372</v>
      </c>
      <c r="J775" s="7">
        <v>249.28</v>
      </c>
      <c r="K775" s="7">
        <v>591292.16000000003</v>
      </c>
      <c r="L775">
        <v>657</v>
      </c>
      <c r="M775" t="s">
        <v>480</v>
      </c>
      <c r="N775" s="6">
        <f t="shared" si="49"/>
        <v>45778</v>
      </c>
      <c r="O775" t="s">
        <v>480</v>
      </c>
      <c r="P775" t="str">
        <f t="shared" si="50"/>
        <v>May 2025</v>
      </c>
      <c r="Q775" t="s">
        <v>37</v>
      </c>
      <c r="R775" s="7">
        <v>27157.02</v>
      </c>
      <c r="S775" s="7">
        <f t="shared" si="51"/>
        <v>618449.18000000005</v>
      </c>
    </row>
    <row r="776" spans="1:19" x14ac:dyDescent="0.3">
      <c r="A776" t="s">
        <v>1220</v>
      </c>
      <c r="B776" s="5" t="s">
        <v>244</v>
      </c>
      <c r="C776" s="6">
        <f t="shared" si="48"/>
        <v>45962</v>
      </c>
      <c r="D776" t="s">
        <v>21</v>
      </c>
      <c r="E776" t="s">
        <v>70</v>
      </c>
      <c r="F776" t="s">
        <v>23</v>
      </c>
      <c r="G776" t="s">
        <v>168</v>
      </c>
      <c r="H776" t="s">
        <v>55</v>
      </c>
      <c r="I776">
        <v>953</v>
      </c>
      <c r="J776" s="7">
        <v>473.12</v>
      </c>
      <c r="K776" s="7">
        <v>450883.36</v>
      </c>
      <c r="L776">
        <v>203</v>
      </c>
      <c r="M776" t="s">
        <v>304</v>
      </c>
      <c r="N776" s="6">
        <f t="shared" si="49"/>
        <v>45962</v>
      </c>
      <c r="O776" t="s">
        <v>304</v>
      </c>
      <c r="P776" t="str">
        <f t="shared" si="50"/>
        <v>November 2025</v>
      </c>
      <c r="Q776" t="s">
        <v>37</v>
      </c>
      <c r="R776" s="7">
        <v>8551.67</v>
      </c>
      <c r="S776" s="7">
        <f t="shared" si="51"/>
        <v>459435.02999999997</v>
      </c>
    </row>
    <row r="777" spans="1:19" x14ac:dyDescent="0.3">
      <c r="A777" t="s">
        <v>1221</v>
      </c>
      <c r="B777" s="5" t="s">
        <v>380</v>
      </c>
      <c r="C777" s="6">
        <f t="shared" si="48"/>
        <v>45901</v>
      </c>
      <c r="D777" t="s">
        <v>21</v>
      </c>
      <c r="E777" t="s">
        <v>53</v>
      </c>
      <c r="F777" t="s">
        <v>59</v>
      </c>
      <c r="G777" t="s">
        <v>227</v>
      </c>
      <c r="H777" t="s">
        <v>61</v>
      </c>
      <c r="I777">
        <v>1362</v>
      </c>
      <c r="J777" s="7">
        <v>232.64</v>
      </c>
      <c r="K777" s="7">
        <v>316855.67999999999</v>
      </c>
      <c r="L777">
        <v>153</v>
      </c>
      <c r="M777" t="s">
        <v>475</v>
      </c>
      <c r="N777" s="6">
        <f t="shared" si="49"/>
        <v>45901</v>
      </c>
      <c r="O777" t="s">
        <v>475</v>
      </c>
      <c r="P777" t="str">
        <f t="shared" si="50"/>
        <v>September 2025</v>
      </c>
      <c r="Q777" t="s">
        <v>37</v>
      </c>
      <c r="R777" s="7">
        <v>8441.7999999999993</v>
      </c>
      <c r="S777" s="7">
        <f t="shared" si="51"/>
        <v>325297.48</v>
      </c>
    </row>
    <row r="778" spans="1:19" x14ac:dyDescent="0.3">
      <c r="A778" t="s">
        <v>1222</v>
      </c>
      <c r="B778" s="5" t="s">
        <v>593</v>
      </c>
      <c r="C778" s="6">
        <f t="shared" si="48"/>
        <v>45748</v>
      </c>
      <c r="D778" t="s">
        <v>96</v>
      </c>
      <c r="E778" t="s">
        <v>22</v>
      </c>
      <c r="F778" t="s">
        <v>33</v>
      </c>
      <c r="G778" t="s">
        <v>71</v>
      </c>
      <c r="H778" t="s">
        <v>47</v>
      </c>
      <c r="I778">
        <v>67</v>
      </c>
      <c r="J778" s="7">
        <v>339.54</v>
      </c>
      <c r="K778" s="7">
        <v>22749.18</v>
      </c>
      <c r="L778">
        <v>495</v>
      </c>
      <c r="M778" t="s">
        <v>74</v>
      </c>
      <c r="N778" s="6">
        <f t="shared" si="49"/>
        <v>45748</v>
      </c>
      <c r="O778" t="s">
        <v>262</v>
      </c>
      <c r="P778" t="str">
        <f t="shared" si="50"/>
        <v>April 2025</v>
      </c>
      <c r="Q778" t="s">
        <v>28</v>
      </c>
      <c r="R778" s="7">
        <v>30192.92</v>
      </c>
      <c r="S778" s="7">
        <f t="shared" si="51"/>
        <v>52942.1</v>
      </c>
    </row>
    <row r="779" spans="1:19" x14ac:dyDescent="0.3">
      <c r="A779" t="s">
        <v>1223</v>
      </c>
      <c r="B779" s="5" t="s">
        <v>233</v>
      </c>
      <c r="C779" s="6">
        <f t="shared" si="48"/>
        <v>45931</v>
      </c>
      <c r="D779" t="s">
        <v>40</v>
      </c>
      <c r="E779" t="s">
        <v>143</v>
      </c>
      <c r="F779" t="s">
        <v>33</v>
      </c>
      <c r="G779" t="s">
        <v>168</v>
      </c>
      <c r="H779" t="s">
        <v>61</v>
      </c>
      <c r="I779">
        <v>981</v>
      </c>
      <c r="J779" s="7">
        <v>344.76</v>
      </c>
      <c r="K779" s="7">
        <v>338209.56</v>
      </c>
      <c r="L779">
        <v>630</v>
      </c>
      <c r="M779" t="s">
        <v>1162</v>
      </c>
      <c r="N779" s="6">
        <f t="shared" si="49"/>
        <v>45931</v>
      </c>
      <c r="O779" t="s">
        <v>1162</v>
      </c>
      <c r="P779" t="str">
        <f t="shared" si="50"/>
        <v>October 2025</v>
      </c>
      <c r="Q779" t="s">
        <v>37</v>
      </c>
      <c r="R779" s="7">
        <v>38405.81</v>
      </c>
      <c r="S779" s="7">
        <f t="shared" si="51"/>
        <v>376615.37</v>
      </c>
    </row>
    <row r="780" spans="1:19" x14ac:dyDescent="0.3">
      <c r="A780" t="s">
        <v>1224</v>
      </c>
      <c r="B780" s="5" t="s">
        <v>767</v>
      </c>
      <c r="C780" s="6">
        <f t="shared" si="48"/>
        <v>45870</v>
      </c>
      <c r="D780" t="s">
        <v>52</v>
      </c>
      <c r="E780" t="s">
        <v>53</v>
      </c>
      <c r="F780" t="s">
        <v>45</v>
      </c>
      <c r="G780" t="s">
        <v>82</v>
      </c>
      <c r="H780" t="s">
        <v>155</v>
      </c>
      <c r="I780">
        <v>2034</v>
      </c>
      <c r="J780" s="7">
        <v>864.52</v>
      </c>
      <c r="K780" s="7">
        <v>1758433.68</v>
      </c>
      <c r="L780">
        <v>678</v>
      </c>
      <c r="M780" t="s">
        <v>206</v>
      </c>
      <c r="N780" s="6">
        <f t="shared" si="49"/>
        <v>45870</v>
      </c>
      <c r="O780" t="s">
        <v>206</v>
      </c>
      <c r="P780" t="str">
        <f t="shared" si="50"/>
        <v>August 2025</v>
      </c>
      <c r="Q780" t="s">
        <v>37</v>
      </c>
      <c r="R780" s="7">
        <v>40820.65</v>
      </c>
      <c r="S780" s="7">
        <f t="shared" si="51"/>
        <v>1799254.3299999998</v>
      </c>
    </row>
    <row r="781" spans="1:19" x14ac:dyDescent="0.3">
      <c r="A781" t="s">
        <v>1225</v>
      </c>
      <c r="B781" s="5" t="s">
        <v>395</v>
      </c>
      <c r="C781" s="6">
        <f t="shared" si="48"/>
        <v>45870</v>
      </c>
      <c r="D781" t="s">
        <v>21</v>
      </c>
      <c r="E781" t="s">
        <v>143</v>
      </c>
      <c r="F781" t="s">
        <v>59</v>
      </c>
      <c r="G781" t="s">
        <v>54</v>
      </c>
      <c r="H781" t="s">
        <v>132</v>
      </c>
      <c r="I781">
        <v>389</v>
      </c>
      <c r="J781" s="7">
        <v>145.19</v>
      </c>
      <c r="K781" s="7">
        <v>56478.91</v>
      </c>
      <c r="L781">
        <v>229</v>
      </c>
      <c r="M781" t="s">
        <v>736</v>
      </c>
      <c r="N781" s="6">
        <f t="shared" si="49"/>
        <v>45870</v>
      </c>
      <c r="O781" t="s">
        <v>176</v>
      </c>
      <c r="P781" t="str">
        <f t="shared" si="50"/>
        <v>September 2025</v>
      </c>
      <c r="Q781" t="s">
        <v>28</v>
      </c>
      <c r="R781" s="7">
        <v>12314.51</v>
      </c>
      <c r="S781" s="7">
        <f t="shared" si="51"/>
        <v>68793.42</v>
      </c>
    </row>
    <row r="782" spans="1:19" x14ac:dyDescent="0.3">
      <c r="A782" t="s">
        <v>1226</v>
      </c>
      <c r="B782" s="5" t="s">
        <v>119</v>
      </c>
      <c r="C782" s="6">
        <f t="shared" si="48"/>
        <v>45992</v>
      </c>
      <c r="D782" t="s">
        <v>65</v>
      </c>
      <c r="E782" t="s">
        <v>143</v>
      </c>
      <c r="F782" t="s">
        <v>33</v>
      </c>
      <c r="G782" t="s">
        <v>46</v>
      </c>
      <c r="H782" t="s">
        <v>155</v>
      </c>
      <c r="I782">
        <v>180</v>
      </c>
      <c r="J782" s="7">
        <v>663.41</v>
      </c>
      <c r="K782" s="7">
        <v>119413.8</v>
      </c>
      <c r="L782">
        <v>287</v>
      </c>
      <c r="M782" t="s">
        <v>490</v>
      </c>
      <c r="N782" s="6">
        <f t="shared" si="49"/>
        <v>45992</v>
      </c>
      <c r="O782" t="s">
        <v>490</v>
      </c>
      <c r="P782" t="str">
        <f t="shared" si="50"/>
        <v>December 2025</v>
      </c>
      <c r="Q782" t="s">
        <v>37</v>
      </c>
      <c r="R782" s="7">
        <v>13928.39</v>
      </c>
      <c r="S782" s="7">
        <f t="shared" si="51"/>
        <v>133342.19</v>
      </c>
    </row>
    <row r="783" spans="1:19" x14ac:dyDescent="0.3">
      <c r="A783" t="s">
        <v>1227</v>
      </c>
      <c r="B783" s="5" t="s">
        <v>302</v>
      </c>
      <c r="C783" s="6">
        <f t="shared" si="48"/>
        <v>45809</v>
      </c>
      <c r="D783" t="s">
        <v>40</v>
      </c>
      <c r="E783" t="s">
        <v>32</v>
      </c>
      <c r="F783" t="s">
        <v>59</v>
      </c>
      <c r="G783" t="s">
        <v>34</v>
      </c>
      <c r="H783" t="s">
        <v>123</v>
      </c>
      <c r="I783">
        <v>857</v>
      </c>
      <c r="J783" s="7">
        <v>874.14</v>
      </c>
      <c r="K783" s="7">
        <v>749137.98</v>
      </c>
      <c r="L783">
        <v>493</v>
      </c>
      <c r="M783" t="s">
        <v>525</v>
      </c>
      <c r="N783" s="6">
        <f t="shared" si="49"/>
        <v>45809</v>
      </c>
      <c r="O783" t="s">
        <v>578</v>
      </c>
      <c r="P783" t="str">
        <f t="shared" si="50"/>
        <v>June 2025</v>
      </c>
      <c r="Q783" t="s">
        <v>28</v>
      </c>
      <c r="R783" s="7">
        <v>25914.41</v>
      </c>
      <c r="S783" s="7">
        <f t="shared" si="51"/>
        <v>775052.39</v>
      </c>
    </row>
    <row r="784" spans="1:19" x14ac:dyDescent="0.3">
      <c r="A784" t="s">
        <v>1228</v>
      </c>
      <c r="B784" s="5" t="s">
        <v>341</v>
      </c>
      <c r="C784" s="6">
        <f t="shared" si="48"/>
        <v>45839</v>
      </c>
      <c r="D784" t="s">
        <v>128</v>
      </c>
      <c r="E784" t="s">
        <v>75</v>
      </c>
      <c r="F784" t="s">
        <v>33</v>
      </c>
      <c r="G784" t="s">
        <v>241</v>
      </c>
      <c r="H784" t="s">
        <v>47</v>
      </c>
      <c r="I784">
        <v>55</v>
      </c>
      <c r="J784" s="7">
        <v>573.79999999999995</v>
      </c>
      <c r="K784" s="7">
        <v>31559</v>
      </c>
      <c r="L784">
        <v>305</v>
      </c>
      <c r="M784" t="s">
        <v>342</v>
      </c>
      <c r="N784" s="6">
        <f t="shared" si="49"/>
        <v>45839</v>
      </c>
      <c r="O784" t="s">
        <v>103</v>
      </c>
      <c r="P784" t="str">
        <f t="shared" si="50"/>
        <v>July 2025</v>
      </c>
      <c r="Q784" t="s">
        <v>28</v>
      </c>
      <c r="R784" s="7">
        <v>15265.08</v>
      </c>
      <c r="S784" s="7">
        <f t="shared" si="51"/>
        <v>46824.08</v>
      </c>
    </row>
    <row r="785" spans="1:19" x14ac:dyDescent="0.3">
      <c r="A785" t="s">
        <v>1229</v>
      </c>
      <c r="B785" s="5" t="s">
        <v>226</v>
      </c>
      <c r="C785" s="6">
        <f t="shared" si="48"/>
        <v>45870</v>
      </c>
      <c r="D785" t="s">
        <v>65</v>
      </c>
      <c r="E785" t="s">
        <v>22</v>
      </c>
      <c r="F785" t="s">
        <v>59</v>
      </c>
      <c r="G785" t="s">
        <v>241</v>
      </c>
      <c r="H785" t="s">
        <v>61</v>
      </c>
      <c r="I785">
        <v>953</v>
      </c>
      <c r="J785" s="7">
        <v>188.14</v>
      </c>
      <c r="K785" s="7">
        <v>179297.42</v>
      </c>
      <c r="L785">
        <v>677</v>
      </c>
      <c r="M785" t="s">
        <v>252</v>
      </c>
      <c r="N785" s="6">
        <f t="shared" si="49"/>
        <v>45870</v>
      </c>
      <c r="O785" t="s">
        <v>736</v>
      </c>
      <c r="P785" t="str">
        <f t="shared" si="50"/>
        <v>August 2025</v>
      </c>
      <c r="Q785" t="s">
        <v>28</v>
      </c>
      <c r="R785" s="7">
        <v>33462.32</v>
      </c>
      <c r="S785" s="7">
        <f t="shared" si="51"/>
        <v>212759.74000000002</v>
      </c>
    </row>
    <row r="786" spans="1:19" x14ac:dyDescent="0.3">
      <c r="A786" t="s">
        <v>1230</v>
      </c>
      <c r="B786" s="5" t="s">
        <v>302</v>
      </c>
      <c r="C786" s="6">
        <f t="shared" si="48"/>
        <v>45809</v>
      </c>
      <c r="D786" t="s">
        <v>40</v>
      </c>
      <c r="E786" t="s">
        <v>32</v>
      </c>
      <c r="F786" t="s">
        <v>59</v>
      </c>
      <c r="G786" t="s">
        <v>110</v>
      </c>
      <c r="H786" t="s">
        <v>35</v>
      </c>
      <c r="I786">
        <v>2172</v>
      </c>
      <c r="J786" s="7">
        <v>378.6</v>
      </c>
      <c r="K786" s="7">
        <v>822319.2</v>
      </c>
      <c r="L786">
        <v>694</v>
      </c>
      <c r="M786" t="s">
        <v>525</v>
      </c>
      <c r="N786" s="6">
        <f t="shared" si="49"/>
        <v>45809</v>
      </c>
      <c r="O786" t="s">
        <v>525</v>
      </c>
      <c r="P786" t="str">
        <f t="shared" si="50"/>
        <v>June 2025</v>
      </c>
      <c r="Q786" t="s">
        <v>37</v>
      </c>
      <c r="R786" s="7">
        <v>25754.86</v>
      </c>
      <c r="S786" s="7">
        <f t="shared" si="51"/>
        <v>848074.05999999994</v>
      </c>
    </row>
    <row r="787" spans="1:19" x14ac:dyDescent="0.3">
      <c r="A787" t="s">
        <v>1231</v>
      </c>
      <c r="B787" s="5" t="s">
        <v>346</v>
      </c>
      <c r="C787" s="6">
        <f t="shared" si="48"/>
        <v>45658</v>
      </c>
      <c r="D787" t="s">
        <v>40</v>
      </c>
      <c r="E787" t="s">
        <v>22</v>
      </c>
      <c r="F787" t="s">
        <v>33</v>
      </c>
      <c r="G787" t="s">
        <v>179</v>
      </c>
      <c r="H787" t="s">
        <v>132</v>
      </c>
      <c r="I787">
        <v>127</v>
      </c>
      <c r="J787" s="7">
        <v>830.63</v>
      </c>
      <c r="K787" s="7">
        <v>105490.01</v>
      </c>
      <c r="L787">
        <v>523</v>
      </c>
      <c r="M787" t="s">
        <v>665</v>
      </c>
      <c r="N787" s="6">
        <f t="shared" si="49"/>
        <v>45689</v>
      </c>
      <c r="O787" t="s">
        <v>496</v>
      </c>
      <c r="P787" t="str">
        <f t="shared" si="50"/>
        <v>February 2025</v>
      </c>
      <c r="Q787" t="s">
        <v>28</v>
      </c>
      <c r="R787" s="7">
        <v>26347.67</v>
      </c>
      <c r="S787" s="7">
        <f t="shared" si="51"/>
        <v>131837.68</v>
      </c>
    </row>
    <row r="788" spans="1:19" x14ac:dyDescent="0.3">
      <c r="A788" t="s">
        <v>1232</v>
      </c>
      <c r="B788" s="5" t="s">
        <v>26</v>
      </c>
      <c r="C788" s="6">
        <f t="shared" si="48"/>
        <v>45748</v>
      </c>
      <c r="D788" t="s">
        <v>128</v>
      </c>
      <c r="E788" t="s">
        <v>22</v>
      </c>
      <c r="F788" t="s">
        <v>33</v>
      </c>
      <c r="G788" t="s">
        <v>283</v>
      </c>
      <c r="H788" t="s">
        <v>35</v>
      </c>
      <c r="I788">
        <v>1615</v>
      </c>
      <c r="J788" s="7">
        <v>751.73</v>
      </c>
      <c r="K788" s="7">
        <v>1214043.95</v>
      </c>
      <c r="L788">
        <v>366</v>
      </c>
      <c r="M788" t="s">
        <v>377</v>
      </c>
      <c r="N788" s="6">
        <f t="shared" si="49"/>
        <v>45778</v>
      </c>
      <c r="O788" t="s">
        <v>377</v>
      </c>
      <c r="P788" t="str">
        <f t="shared" si="50"/>
        <v>May 2025</v>
      </c>
      <c r="Q788" t="s">
        <v>37</v>
      </c>
      <c r="R788" s="7">
        <v>22462.36</v>
      </c>
      <c r="S788" s="7">
        <f t="shared" si="51"/>
        <v>1236506.31</v>
      </c>
    </row>
    <row r="789" spans="1:19" x14ac:dyDescent="0.3">
      <c r="A789" t="s">
        <v>1233</v>
      </c>
      <c r="B789" s="5" t="s">
        <v>896</v>
      </c>
      <c r="C789" s="6">
        <f t="shared" si="48"/>
        <v>45658</v>
      </c>
      <c r="D789" t="s">
        <v>65</v>
      </c>
      <c r="E789" t="s">
        <v>143</v>
      </c>
      <c r="F789" t="s">
        <v>45</v>
      </c>
      <c r="G789" t="s">
        <v>24</v>
      </c>
      <c r="H789" t="s">
        <v>35</v>
      </c>
      <c r="I789">
        <v>128</v>
      </c>
      <c r="J789" s="7">
        <v>375.52</v>
      </c>
      <c r="K789" s="7">
        <v>48066.559999999998</v>
      </c>
      <c r="L789">
        <v>127</v>
      </c>
      <c r="M789" t="s">
        <v>897</v>
      </c>
      <c r="N789" s="6">
        <f t="shared" si="49"/>
        <v>45658</v>
      </c>
      <c r="O789" t="s">
        <v>897</v>
      </c>
      <c r="P789" t="str">
        <f t="shared" si="50"/>
        <v>January 2025</v>
      </c>
      <c r="Q789" t="s">
        <v>37</v>
      </c>
      <c r="R789" s="7">
        <v>5698.06</v>
      </c>
      <c r="S789" s="7">
        <f t="shared" si="51"/>
        <v>53764.619999999995</v>
      </c>
    </row>
    <row r="790" spans="1:19" x14ac:dyDescent="0.3">
      <c r="A790" t="s">
        <v>1234</v>
      </c>
      <c r="B790" s="5" t="s">
        <v>44</v>
      </c>
      <c r="C790" s="6">
        <f t="shared" si="48"/>
        <v>45658</v>
      </c>
      <c r="D790" t="s">
        <v>21</v>
      </c>
      <c r="E790" t="s">
        <v>143</v>
      </c>
      <c r="F790" t="s">
        <v>23</v>
      </c>
      <c r="G790" t="s">
        <v>24</v>
      </c>
      <c r="H790" t="s">
        <v>132</v>
      </c>
      <c r="I790">
        <v>1099</v>
      </c>
      <c r="J790" s="7">
        <v>843.05</v>
      </c>
      <c r="K790" s="7">
        <v>926511.95</v>
      </c>
      <c r="L790">
        <v>100</v>
      </c>
      <c r="M790" s="5">
        <v>45673</v>
      </c>
      <c r="N790" s="6">
        <f t="shared" si="49"/>
        <v>45658</v>
      </c>
      <c r="O790" t="s">
        <v>843</v>
      </c>
      <c r="P790" t="str">
        <f t="shared" si="50"/>
        <v>January 2025</v>
      </c>
      <c r="Q790" t="s">
        <v>28</v>
      </c>
      <c r="R790" s="7">
        <v>5234.1499999999996</v>
      </c>
      <c r="S790" s="7">
        <f t="shared" si="51"/>
        <v>931746.1</v>
      </c>
    </row>
    <row r="791" spans="1:19" x14ac:dyDescent="0.3">
      <c r="A791" t="s">
        <v>1235</v>
      </c>
      <c r="B791" s="5" t="s">
        <v>256</v>
      </c>
      <c r="C791" s="6">
        <f t="shared" si="48"/>
        <v>45901</v>
      </c>
      <c r="D791" t="s">
        <v>96</v>
      </c>
      <c r="E791" t="s">
        <v>75</v>
      </c>
      <c r="F791" t="s">
        <v>23</v>
      </c>
      <c r="G791" t="s">
        <v>138</v>
      </c>
      <c r="H791" t="s">
        <v>77</v>
      </c>
      <c r="I791">
        <v>2191</v>
      </c>
      <c r="J791" s="7">
        <v>255.38</v>
      </c>
      <c r="K791" s="7">
        <v>559537.57999999996</v>
      </c>
      <c r="L791">
        <v>41</v>
      </c>
      <c r="M791" t="s">
        <v>290</v>
      </c>
      <c r="N791" s="6">
        <f t="shared" si="49"/>
        <v>45901</v>
      </c>
      <c r="O791" t="s">
        <v>256</v>
      </c>
      <c r="P791" t="str">
        <f t="shared" si="50"/>
        <v>September 2025</v>
      </c>
      <c r="Q791" t="s">
        <v>37</v>
      </c>
      <c r="R791" s="7">
        <v>2215.94</v>
      </c>
      <c r="S791" s="7">
        <f t="shared" si="51"/>
        <v>561753.5199999999</v>
      </c>
    </row>
    <row r="792" spans="1:19" x14ac:dyDescent="0.3">
      <c r="A792" t="s">
        <v>1236</v>
      </c>
      <c r="B792" s="5" t="s">
        <v>259</v>
      </c>
      <c r="C792" s="6">
        <f t="shared" si="48"/>
        <v>45931</v>
      </c>
      <c r="D792" t="s">
        <v>40</v>
      </c>
      <c r="E792" t="s">
        <v>143</v>
      </c>
      <c r="F792" t="s">
        <v>59</v>
      </c>
      <c r="G792" t="s">
        <v>138</v>
      </c>
      <c r="H792" t="s">
        <v>91</v>
      </c>
      <c r="I792">
        <v>339</v>
      </c>
      <c r="J792" s="7">
        <v>513.38</v>
      </c>
      <c r="K792" s="7">
        <v>174035.82</v>
      </c>
      <c r="L792">
        <v>623</v>
      </c>
      <c r="M792" t="s">
        <v>622</v>
      </c>
      <c r="N792" s="6">
        <f t="shared" si="49"/>
        <v>45931</v>
      </c>
      <c r="O792" t="s">
        <v>622</v>
      </c>
      <c r="P792" t="str">
        <f t="shared" si="50"/>
        <v>October 2025</v>
      </c>
      <c r="Q792" t="s">
        <v>37</v>
      </c>
      <c r="R792" s="7">
        <v>33313.120000000003</v>
      </c>
      <c r="S792" s="7">
        <f t="shared" si="51"/>
        <v>207348.94</v>
      </c>
    </row>
    <row r="793" spans="1:19" x14ac:dyDescent="0.3">
      <c r="A793" t="s">
        <v>1237</v>
      </c>
      <c r="B793" s="5" t="s">
        <v>848</v>
      </c>
      <c r="C793" s="6">
        <f t="shared" si="48"/>
        <v>45658</v>
      </c>
      <c r="D793" t="s">
        <v>96</v>
      </c>
      <c r="E793" t="s">
        <v>75</v>
      </c>
      <c r="F793" t="s">
        <v>59</v>
      </c>
      <c r="G793" t="s">
        <v>222</v>
      </c>
      <c r="H793" t="s">
        <v>77</v>
      </c>
      <c r="I793">
        <v>2230</v>
      </c>
      <c r="J793" s="7">
        <v>300.83999999999997</v>
      </c>
      <c r="K793" s="7">
        <v>670873.19999999995</v>
      </c>
      <c r="L793">
        <v>167</v>
      </c>
      <c r="M793" t="s">
        <v>664</v>
      </c>
      <c r="N793" s="6">
        <f t="shared" si="49"/>
        <v>45658</v>
      </c>
      <c r="O793" t="s">
        <v>346</v>
      </c>
      <c r="P793" t="str">
        <f t="shared" si="50"/>
        <v>January 2025</v>
      </c>
      <c r="Q793" t="s">
        <v>28</v>
      </c>
      <c r="R793" s="7">
        <v>7612.19</v>
      </c>
      <c r="S793" s="7">
        <f t="shared" si="51"/>
        <v>678485.3899999999</v>
      </c>
    </row>
    <row r="794" spans="1:19" x14ac:dyDescent="0.3">
      <c r="A794" t="s">
        <v>1238</v>
      </c>
      <c r="B794" s="5" t="s">
        <v>205</v>
      </c>
      <c r="C794" s="6">
        <f t="shared" si="48"/>
        <v>45870</v>
      </c>
      <c r="D794" t="s">
        <v>109</v>
      </c>
      <c r="E794" t="s">
        <v>32</v>
      </c>
      <c r="F794" t="s">
        <v>23</v>
      </c>
      <c r="G794" t="s">
        <v>283</v>
      </c>
      <c r="H794" t="s">
        <v>91</v>
      </c>
      <c r="I794">
        <v>1792</v>
      </c>
      <c r="J794" s="7">
        <v>742.85</v>
      </c>
      <c r="K794" s="7">
        <v>1331187.2</v>
      </c>
      <c r="L794">
        <v>380</v>
      </c>
      <c r="M794" t="s">
        <v>267</v>
      </c>
      <c r="N794" s="6">
        <f t="shared" si="49"/>
        <v>45870</v>
      </c>
      <c r="O794" t="s">
        <v>554</v>
      </c>
      <c r="P794" t="str">
        <f t="shared" si="50"/>
        <v>August 2025</v>
      </c>
      <c r="Q794" t="s">
        <v>28</v>
      </c>
      <c r="R794" s="7">
        <v>18281.240000000002</v>
      </c>
      <c r="S794" s="7">
        <f t="shared" si="51"/>
        <v>1349468.44</v>
      </c>
    </row>
    <row r="795" spans="1:19" x14ac:dyDescent="0.3">
      <c r="A795" t="s">
        <v>1239</v>
      </c>
      <c r="B795" s="5" t="s">
        <v>233</v>
      </c>
      <c r="C795" s="6">
        <f t="shared" si="48"/>
        <v>45931</v>
      </c>
      <c r="D795" t="s">
        <v>109</v>
      </c>
      <c r="E795" t="s">
        <v>70</v>
      </c>
      <c r="F795" t="s">
        <v>59</v>
      </c>
      <c r="G795" t="s">
        <v>351</v>
      </c>
      <c r="H795" t="s">
        <v>77</v>
      </c>
      <c r="I795">
        <v>1821</v>
      </c>
      <c r="J795" s="7">
        <v>493.03</v>
      </c>
      <c r="K795" s="7">
        <v>897807.63</v>
      </c>
      <c r="L795">
        <v>165</v>
      </c>
      <c r="M795" t="s">
        <v>234</v>
      </c>
      <c r="N795" s="6">
        <f t="shared" si="49"/>
        <v>45931</v>
      </c>
      <c r="O795" t="s">
        <v>233</v>
      </c>
      <c r="P795" t="str">
        <f t="shared" si="50"/>
        <v>October 2025</v>
      </c>
      <c r="Q795" t="s">
        <v>37</v>
      </c>
      <c r="R795" s="7">
        <v>6127.53</v>
      </c>
      <c r="S795" s="7">
        <f t="shared" si="51"/>
        <v>903935.16</v>
      </c>
    </row>
    <row r="796" spans="1:19" x14ac:dyDescent="0.3">
      <c r="A796" t="s">
        <v>1240</v>
      </c>
      <c r="B796" s="5" t="s">
        <v>796</v>
      </c>
      <c r="C796" s="6">
        <f t="shared" si="48"/>
        <v>45778</v>
      </c>
      <c r="D796" t="s">
        <v>31</v>
      </c>
      <c r="E796" t="s">
        <v>53</v>
      </c>
      <c r="F796" t="s">
        <v>59</v>
      </c>
      <c r="G796" t="s">
        <v>172</v>
      </c>
      <c r="H796" t="s">
        <v>47</v>
      </c>
      <c r="I796">
        <v>874</v>
      </c>
      <c r="J796" s="7">
        <v>829.56</v>
      </c>
      <c r="K796" s="7">
        <v>725035.44</v>
      </c>
      <c r="L796">
        <v>340</v>
      </c>
      <c r="M796" t="s">
        <v>570</v>
      </c>
      <c r="N796" s="6">
        <f t="shared" si="49"/>
        <v>45778</v>
      </c>
      <c r="O796" t="s">
        <v>570</v>
      </c>
      <c r="P796" t="str">
        <f t="shared" si="50"/>
        <v>May 2025</v>
      </c>
      <c r="Q796" t="s">
        <v>37</v>
      </c>
      <c r="R796" s="7">
        <v>14551.67</v>
      </c>
      <c r="S796" s="7">
        <f t="shared" si="51"/>
        <v>739587.11</v>
      </c>
    </row>
    <row r="797" spans="1:19" x14ac:dyDescent="0.3">
      <c r="A797" t="s">
        <v>1241</v>
      </c>
      <c r="B797" s="5" t="s">
        <v>692</v>
      </c>
      <c r="C797" s="6">
        <f t="shared" si="48"/>
        <v>45839</v>
      </c>
      <c r="D797" t="s">
        <v>52</v>
      </c>
      <c r="E797" t="s">
        <v>22</v>
      </c>
      <c r="F797" t="s">
        <v>23</v>
      </c>
      <c r="G797" t="s">
        <v>179</v>
      </c>
      <c r="H797" t="s">
        <v>123</v>
      </c>
      <c r="I797">
        <v>2257</v>
      </c>
      <c r="J797" s="7">
        <v>524.37</v>
      </c>
      <c r="K797" s="7">
        <v>1183503.0900000001</v>
      </c>
      <c r="L797">
        <v>632</v>
      </c>
      <c r="M797" t="s">
        <v>101</v>
      </c>
      <c r="N797" s="6">
        <f t="shared" si="49"/>
        <v>45839</v>
      </c>
      <c r="O797" t="s">
        <v>599</v>
      </c>
      <c r="P797" t="str">
        <f t="shared" si="50"/>
        <v>July 2025</v>
      </c>
      <c r="Q797" t="s">
        <v>37</v>
      </c>
      <c r="R797" s="7">
        <v>24497.19</v>
      </c>
      <c r="S797" s="7">
        <f t="shared" si="51"/>
        <v>1208000.28</v>
      </c>
    </row>
    <row r="798" spans="1:19" x14ac:dyDescent="0.3">
      <c r="A798" t="s">
        <v>1242</v>
      </c>
      <c r="B798" s="5" t="s">
        <v>475</v>
      </c>
      <c r="C798" s="6">
        <f t="shared" si="48"/>
        <v>45901</v>
      </c>
      <c r="D798" t="s">
        <v>21</v>
      </c>
      <c r="E798" t="s">
        <v>70</v>
      </c>
      <c r="F798" t="s">
        <v>33</v>
      </c>
      <c r="G798" t="s">
        <v>82</v>
      </c>
      <c r="H798" t="s">
        <v>47</v>
      </c>
      <c r="I798">
        <v>944</v>
      </c>
      <c r="J798" s="7">
        <v>564.27</v>
      </c>
      <c r="K798" s="7">
        <v>532670.88</v>
      </c>
      <c r="L798">
        <v>25</v>
      </c>
      <c r="M798" t="s">
        <v>521</v>
      </c>
      <c r="N798" s="6">
        <f t="shared" si="49"/>
        <v>45901</v>
      </c>
      <c r="O798" t="s">
        <v>521</v>
      </c>
      <c r="P798" t="str">
        <f t="shared" si="50"/>
        <v>September 2025</v>
      </c>
      <c r="Q798" t="s">
        <v>37</v>
      </c>
      <c r="R798" s="7">
        <v>1150.8599999999999</v>
      </c>
      <c r="S798" s="7">
        <f t="shared" si="51"/>
        <v>533821.74</v>
      </c>
    </row>
    <row r="799" spans="1:19" x14ac:dyDescent="0.3">
      <c r="A799" t="s">
        <v>1243</v>
      </c>
      <c r="B799" s="5" t="s">
        <v>197</v>
      </c>
      <c r="C799" s="6">
        <f t="shared" si="48"/>
        <v>45809</v>
      </c>
      <c r="D799" t="s">
        <v>31</v>
      </c>
      <c r="E799" t="s">
        <v>70</v>
      </c>
      <c r="F799" t="s">
        <v>23</v>
      </c>
      <c r="G799" t="s">
        <v>46</v>
      </c>
      <c r="H799" t="s">
        <v>35</v>
      </c>
      <c r="I799">
        <v>2482</v>
      </c>
      <c r="J799" s="7">
        <v>381</v>
      </c>
      <c r="K799" s="7">
        <v>945642</v>
      </c>
      <c r="L799">
        <v>348</v>
      </c>
      <c r="M799" t="s">
        <v>741</v>
      </c>
      <c r="N799" s="6">
        <f t="shared" si="49"/>
        <v>45809</v>
      </c>
      <c r="O799" t="s">
        <v>543</v>
      </c>
      <c r="P799" t="str">
        <f t="shared" si="50"/>
        <v>June 2025</v>
      </c>
      <c r="Q799" t="s">
        <v>28</v>
      </c>
      <c r="R799" s="7">
        <v>19571.79</v>
      </c>
      <c r="S799" s="7">
        <f t="shared" si="51"/>
        <v>965213.79</v>
      </c>
    </row>
    <row r="800" spans="1:19" x14ac:dyDescent="0.3">
      <c r="A800" t="s">
        <v>1244</v>
      </c>
      <c r="B800" s="5" t="s">
        <v>593</v>
      </c>
      <c r="C800" s="6">
        <f t="shared" si="48"/>
        <v>45748</v>
      </c>
      <c r="D800" t="s">
        <v>31</v>
      </c>
      <c r="E800" t="s">
        <v>70</v>
      </c>
      <c r="F800" t="s">
        <v>59</v>
      </c>
      <c r="G800" t="s">
        <v>384</v>
      </c>
      <c r="H800" t="s">
        <v>155</v>
      </c>
      <c r="I800">
        <v>2099</v>
      </c>
      <c r="J800" s="7">
        <v>838.64</v>
      </c>
      <c r="K800" s="7">
        <v>1760305.36</v>
      </c>
      <c r="L800">
        <v>383</v>
      </c>
      <c r="M800" t="s">
        <v>74</v>
      </c>
      <c r="N800" s="6">
        <f t="shared" si="49"/>
        <v>45748</v>
      </c>
      <c r="O800" t="s">
        <v>264</v>
      </c>
      <c r="P800" t="str">
        <f t="shared" si="50"/>
        <v>April 2025</v>
      </c>
      <c r="Q800" t="s">
        <v>37</v>
      </c>
      <c r="R800" s="7">
        <v>22038.080000000002</v>
      </c>
      <c r="S800" s="7">
        <f t="shared" si="51"/>
        <v>1782343.4400000002</v>
      </c>
    </row>
    <row r="801" spans="1:19" x14ac:dyDescent="0.3">
      <c r="A801" t="s">
        <v>1245</v>
      </c>
      <c r="B801" s="5" t="s">
        <v>333</v>
      </c>
      <c r="C801" s="6">
        <f t="shared" si="48"/>
        <v>45992</v>
      </c>
      <c r="D801" t="s">
        <v>31</v>
      </c>
      <c r="E801" t="s">
        <v>22</v>
      </c>
      <c r="F801" t="s">
        <v>23</v>
      </c>
      <c r="G801" t="s">
        <v>168</v>
      </c>
      <c r="H801" t="s">
        <v>55</v>
      </c>
      <c r="I801">
        <v>2150</v>
      </c>
      <c r="J801" s="7">
        <v>828.78</v>
      </c>
      <c r="K801" s="7">
        <v>1781877</v>
      </c>
      <c r="L801">
        <v>361</v>
      </c>
      <c r="M801" t="s">
        <v>545</v>
      </c>
      <c r="N801" s="6">
        <f t="shared" si="49"/>
        <v>45992</v>
      </c>
      <c r="O801" t="s">
        <v>545</v>
      </c>
      <c r="P801" t="str">
        <f t="shared" si="50"/>
        <v>December 2025</v>
      </c>
      <c r="Q801" t="s">
        <v>37</v>
      </c>
      <c r="R801" s="7">
        <v>18513.71</v>
      </c>
      <c r="S801" s="7">
        <f t="shared" si="51"/>
        <v>1800390.71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2026-10-28T19:10:58Z</dcterms:created>
  <dcterms:modified xsi:type="dcterms:W3CDTF">2026-10-28T19:16:09Z</dcterms:modified>
</cp:coreProperties>
</file>