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8_{3CCCDD11-64E0-4A38-B142-4D317B5F63C0}" xr6:coauthVersionLast="36" xr6:coauthVersionMax="36" xr10:uidLastSave="{00000000-0000-0000-0000-000000000000}"/>
  <bookViews>
    <workbookView xWindow="0" yWindow="0" windowWidth="23040" windowHeight="9060" activeTab="1" xr2:uid="{00000000-000D-0000-FFFF-FFFF00000000}"/>
  </bookViews>
  <sheets>
    <sheet name="Sheet1" sheetId="3" r:id="rId1"/>
    <sheet name="Sheet3" sheetId="5" r:id="rId2"/>
    <sheet name="Production_Operations" sheetId="1" r:id="rId3"/>
    <sheet name="Sheet2" sheetId="4" r:id="rId4"/>
    <sheet name="Logistics_Distribution" sheetId="2" r:id="rId5"/>
  </sheets>
  <definedNames>
    <definedName name="_xlnm._FilterDatabase" localSheetId="4" hidden="1">Logistics_Distribution!$A$1:$R$801</definedName>
    <definedName name="_xlnm._FilterDatabase" localSheetId="2" hidden="1">Production_Operations!$A$1:$R$601</definedName>
    <definedName name="Slicer_Customer">#N/A</definedName>
    <definedName name="Slicer_Delivery_Status">#N/A</definedName>
    <definedName name="Slicer_Dispatch_Depot">#N/A</definedName>
    <definedName name="Slicer_Material_Category">#N/A</definedName>
    <definedName name="Slicer_Plant">#N/A</definedName>
    <definedName name="Slicer_Production_Line">#N/A</definedName>
    <definedName name="Slicer_Quality_Status">#N/A</definedName>
    <definedName name="Slicer_Shift">#N/A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80"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1" i="1"/>
  <c r="C582" i="1"/>
  <c r="C583" i="1"/>
  <c r="C584" i="1"/>
  <c r="C585" i="1"/>
  <c r="C586" i="1"/>
  <c r="C587" i="1"/>
  <c r="C588" i="1"/>
  <c r="C589" i="1"/>
  <c r="C590" i="1"/>
  <c r="C591" i="1"/>
  <c r="C592" i="1"/>
  <c r="C593" i="1"/>
  <c r="C594" i="1"/>
  <c r="C595" i="1"/>
  <c r="C596" i="1"/>
  <c r="C597" i="1"/>
  <c r="C598" i="1"/>
  <c r="C599" i="1"/>
  <c r="C600" i="1"/>
  <c r="C601" i="1"/>
  <c r="C2" i="1"/>
  <c r="C3" i="2"/>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2" i="1"/>
  <c r="U2" i="2" l="1"/>
  <c r="T801" i="2"/>
  <c r="T800" i="2"/>
  <c r="T790" i="2"/>
  <c r="T780" i="2"/>
  <c r="T770" i="2"/>
  <c r="T760" i="2"/>
  <c r="T750" i="2"/>
  <c r="T740" i="2"/>
  <c r="T730" i="2"/>
  <c r="T720" i="2"/>
  <c r="T710" i="2"/>
  <c r="T709" i="2"/>
  <c r="T708" i="2"/>
  <c r="T707" i="2"/>
  <c r="T706" i="2"/>
  <c r="T705" i="2"/>
  <c r="T704" i="2"/>
  <c r="T703" i="2"/>
  <c r="T702" i="2"/>
  <c r="T701" i="2"/>
  <c r="T700" i="2"/>
  <c r="T690" i="2"/>
  <c r="T680" i="2"/>
  <c r="T670" i="2"/>
  <c r="T660" i="2"/>
  <c r="T650" i="2"/>
  <c r="T640" i="2"/>
  <c r="T630" i="2"/>
  <c r="T620" i="2"/>
  <c r="T610" i="2"/>
  <c r="T609" i="2"/>
  <c r="T608" i="2"/>
  <c r="T607" i="2"/>
  <c r="T606" i="2"/>
  <c r="T605" i="2"/>
  <c r="T604" i="2"/>
  <c r="T603" i="2"/>
  <c r="T602" i="2"/>
  <c r="T601" i="2"/>
  <c r="T600" i="2"/>
  <c r="T590" i="2"/>
  <c r="T580" i="2"/>
  <c r="T570" i="2"/>
  <c r="T560" i="2"/>
  <c r="T550" i="2"/>
  <c r="T540" i="2"/>
  <c r="T530" i="2"/>
  <c r="T520" i="2"/>
  <c r="T510" i="2"/>
  <c r="T509" i="2"/>
  <c r="T508" i="2"/>
  <c r="T507" i="2"/>
  <c r="T506" i="2"/>
  <c r="T505" i="2"/>
  <c r="T504" i="2"/>
  <c r="T503" i="2"/>
  <c r="T502" i="2"/>
  <c r="T501" i="2"/>
  <c r="T500" i="2"/>
  <c r="T490" i="2"/>
  <c r="T480" i="2"/>
  <c r="T470" i="2"/>
  <c r="T460" i="2"/>
  <c r="T450" i="2"/>
  <c r="T440" i="2"/>
  <c r="T430" i="2"/>
  <c r="T420" i="2"/>
  <c r="T410" i="2"/>
  <c r="T409" i="2"/>
  <c r="T408" i="2"/>
  <c r="T407" i="2"/>
  <c r="T406" i="2"/>
  <c r="T405" i="2"/>
  <c r="T404" i="2"/>
  <c r="T403" i="2"/>
  <c r="T402" i="2"/>
  <c r="T401" i="2"/>
  <c r="T400" i="2"/>
  <c r="T390" i="2"/>
  <c r="T380" i="2"/>
  <c r="T370" i="2"/>
  <c r="T360" i="2"/>
  <c r="T350" i="2"/>
  <c r="T340" i="2"/>
  <c r="T330" i="2"/>
  <c r="T320" i="2"/>
  <c r="T310" i="2"/>
  <c r="T309" i="2"/>
  <c r="T308" i="2"/>
  <c r="T307" i="2"/>
  <c r="T306" i="2"/>
  <c r="T305" i="2"/>
  <c r="T304" i="2"/>
  <c r="T303" i="2"/>
  <c r="T302" i="2"/>
  <c r="T301" i="2"/>
  <c r="T300" i="2"/>
  <c r="T290" i="2"/>
  <c r="T280" i="2"/>
  <c r="T270" i="2"/>
  <c r="T260" i="2"/>
  <c r="T250" i="2"/>
  <c r="T240" i="2"/>
  <c r="T230" i="2"/>
  <c r="T220" i="2"/>
  <c r="T210" i="2"/>
  <c r="T209" i="2"/>
  <c r="T208" i="2"/>
  <c r="T207" i="2"/>
  <c r="T206" i="2"/>
  <c r="T205" i="2"/>
  <c r="T204" i="2"/>
  <c r="T203" i="2"/>
  <c r="T202" i="2"/>
  <c r="T201" i="2"/>
  <c r="T200" i="2"/>
  <c r="T190" i="2"/>
  <c r="T180" i="2"/>
  <c r="T170" i="2"/>
  <c r="T160" i="2"/>
  <c r="T150" i="2"/>
  <c r="T140" i="2"/>
  <c r="T130" i="2"/>
  <c r="T120" i="2"/>
  <c r="T110" i="2"/>
  <c r="T109" i="2"/>
  <c r="T108" i="2"/>
  <c r="T107" i="2"/>
  <c r="T106" i="2"/>
  <c r="T105" i="2"/>
  <c r="T104" i="2"/>
  <c r="T103" i="2"/>
  <c r="T102" i="2"/>
  <c r="T101" i="2"/>
  <c r="T100" i="2"/>
  <c r="T90" i="2"/>
  <c r="T80" i="2"/>
  <c r="T70" i="2"/>
  <c r="T60" i="2"/>
  <c r="T50" i="2"/>
  <c r="T40" i="2"/>
  <c r="T30" i="2"/>
  <c r="T20" i="2"/>
  <c r="T10" i="2"/>
  <c r="T4" i="2"/>
  <c r="T5" i="2"/>
  <c r="T6" i="2"/>
  <c r="T7" i="2"/>
  <c r="T8" i="2"/>
  <c r="T9" i="2"/>
  <c r="T11" i="2"/>
  <c r="T12" i="2"/>
  <c r="T13" i="2"/>
  <c r="T14" i="2"/>
  <c r="T15" i="2"/>
  <c r="T16" i="2"/>
  <c r="T17" i="2"/>
  <c r="T18" i="2"/>
  <c r="T19" i="2"/>
  <c r="T21" i="2"/>
  <c r="T22" i="2"/>
  <c r="T23" i="2"/>
  <c r="T24" i="2"/>
  <c r="T25" i="2"/>
  <c r="T26" i="2"/>
  <c r="T27" i="2"/>
  <c r="T28" i="2"/>
  <c r="T29" i="2"/>
  <c r="T31" i="2"/>
  <c r="T32" i="2"/>
  <c r="T33" i="2"/>
  <c r="T34" i="2"/>
  <c r="T35" i="2"/>
  <c r="T36" i="2"/>
  <c r="T37" i="2"/>
  <c r="T38" i="2"/>
  <c r="T39" i="2"/>
  <c r="T41" i="2"/>
  <c r="T42" i="2"/>
  <c r="T43" i="2"/>
  <c r="T44" i="2"/>
  <c r="T45" i="2"/>
  <c r="T46" i="2"/>
  <c r="T47" i="2"/>
  <c r="T48" i="2"/>
  <c r="T49" i="2"/>
  <c r="T51" i="2"/>
  <c r="T52" i="2"/>
  <c r="T53" i="2"/>
  <c r="T54" i="2"/>
  <c r="T55" i="2"/>
  <c r="T56" i="2"/>
  <c r="T57" i="2"/>
  <c r="T58" i="2"/>
  <c r="T59" i="2"/>
  <c r="T61" i="2"/>
  <c r="T62" i="2"/>
  <c r="T63" i="2"/>
  <c r="T64" i="2"/>
  <c r="T65" i="2"/>
  <c r="T66" i="2"/>
  <c r="T67" i="2"/>
  <c r="T68" i="2"/>
  <c r="T69" i="2"/>
  <c r="T71" i="2"/>
  <c r="T72" i="2"/>
  <c r="T73" i="2"/>
  <c r="T74" i="2"/>
  <c r="T75" i="2"/>
  <c r="T76" i="2"/>
  <c r="T77" i="2"/>
  <c r="T78" i="2"/>
  <c r="T79" i="2"/>
  <c r="T81" i="2"/>
  <c r="T82" i="2"/>
  <c r="T83" i="2"/>
  <c r="T84" i="2"/>
  <c r="T85" i="2"/>
  <c r="T86" i="2"/>
  <c r="T87" i="2"/>
  <c r="T88" i="2"/>
  <c r="T89" i="2"/>
  <c r="T91" i="2"/>
  <c r="T92" i="2"/>
  <c r="T93" i="2"/>
  <c r="T94" i="2"/>
  <c r="T95" i="2"/>
  <c r="T96" i="2"/>
  <c r="T97" i="2"/>
  <c r="T98" i="2"/>
  <c r="T99" i="2"/>
  <c r="T111" i="2"/>
  <c r="T112" i="2"/>
  <c r="T113" i="2"/>
  <c r="T114" i="2"/>
  <c r="T115" i="2"/>
  <c r="T116" i="2"/>
  <c r="T117" i="2"/>
  <c r="T118" i="2"/>
  <c r="T119" i="2"/>
  <c r="T121" i="2"/>
  <c r="T122" i="2"/>
  <c r="T123" i="2"/>
  <c r="T124" i="2"/>
  <c r="T125" i="2"/>
  <c r="T126" i="2"/>
  <c r="T127" i="2"/>
  <c r="T128" i="2"/>
  <c r="T129" i="2"/>
  <c r="T131" i="2"/>
  <c r="T132" i="2"/>
  <c r="T133" i="2"/>
  <c r="T134" i="2"/>
  <c r="T135" i="2"/>
  <c r="T136" i="2"/>
  <c r="T137" i="2"/>
  <c r="T138" i="2"/>
  <c r="T139" i="2"/>
  <c r="T141" i="2"/>
  <c r="T142" i="2"/>
  <c r="T143" i="2"/>
  <c r="T144" i="2"/>
  <c r="T145" i="2"/>
  <c r="T146" i="2"/>
  <c r="T147" i="2"/>
  <c r="T148" i="2"/>
  <c r="T149" i="2"/>
  <c r="T151" i="2"/>
  <c r="T152" i="2"/>
  <c r="T153" i="2"/>
  <c r="T154" i="2"/>
  <c r="T155" i="2"/>
  <c r="T156" i="2"/>
  <c r="T157" i="2"/>
  <c r="T158" i="2"/>
  <c r="T159" i="2"/>
  <c r="T161" i="2"/>
  <c r="T162" i="2"/>
  <c r="T163" i="2"/>
  <c r="T164" i="2"/>
  <c r="T165" i="2"/>
  <c r="T166" i="2"/>
  <c r="T167" i="2"/>
  <c r="T168" i="2"/>
  <c r="T169" i="2"/>
  <c r="T171" i="2"/>
  <c r="T172" i="2"/>
  <c r="T173" i="2"/>
  <c r="T174" i="2"/>
  <c r="T175" i="2"/>
  <c r="T176" i="2"/>
  <c r="T177" i="2"/>
  <c r="T178" i="2"/>
  <c r="T179" i="2"/>
  <c r="T181" i="2"/>
  <c r="T182" i="2"/>
  <c r="T183" i="2"/>
  <c r="T184" i="2"/>
  <c r="T185" i="2"/>
  <c r="T186" i="2"/>
  <c r="T187" i="2"/>
  <c r="T188" i="2"/>
  <c r="T189" i="2"/>
  <c r="T191" i="2"/>
  <c r="T192" i="2"/>
  <c r="T193" i="2"/>
  <c r="T194" i="2"/>
  <c r="T195" i="2"/>
  <c r="T196" i="2"/>
  <c r="T197" i="2"/>
  <c r="T198" i="2"/>
  <c r="T199" i="2"/>
  <c r="T211" i="2"/>
  <c r="T212" i="2"/>
  <c r="T213" i="2"/>
  <c r="T214" i="2"/>
  <c r="T215" i="2"/>
  <c r="T216" i="2"/>
  <c r="T217" i="2"/>
  <c r="T218" i="2"/>
  <c r="T219" i="2"/>
  <c r="T221" i="2"/>
  <c r="T222" i="2"/>
  <c r="T223" i="2"/>
  <c r="T224" i="2"/>
  <c r="T225" i="2"/>
  <c r="T226" i="2"/>
  <c r="T227" i="2"/>
  <c r="T228" i="2"/>
  <c r="T229" i="2"/>
  <c r="T231" i="2"/>
  <c r="T232" i="2"/>
  <c r="T233" i="2"/>
  <c r="T234" i="2"/>
  <c r="T235" i="2"/>
  <c r="T236" i="2"/>
  <c r="T237" i="2"/>
  <c r="T238" i="2"/>
  <c r="T239" i="2"/>
  <c r="T241" i="2"/>
  <c r="T242" i="2"/>
  <c r="T243" i="2"/>
  <c r="T244" i="2"/>
  <c r="T245" i="2"/>
  <c r="T246" i="2"/>
  <c r="T247" i="2"/>
  <c r="T248" i="2"/>
  <c r="T249" i="2"/>
  <c r="T251" i="2"/>
  <c r="T252" i="2"/>
  <c r="T253" i="2"/>
  <c r="T254" i="2"/>
  <c r="T255" i="2"/>
  <c r="T256" i="2"/>
  <c r="T257" i="2"/>
  <c r="T258" i="2"/>
  <c r="T259" i="2"/>
  <c r="T261" i="2"/>
  <c r="T262" i="2"/>
  <c r="T263" i="2"/>
  <c r="T264" i="2"/>
  <c r="T265" i="2"/>
  <c r="T266" i="2"/>
  <c r="T267" i="2"/>
  <c r="T268" i="2"/>
  <c r="T269" i="2"/>
  <c r="T271" i="2"/>
  <c r="T272" i="2"/>
  <c r="T273" i="2"/>
  <c r="T274" i="2"/>
  <c r="T275" i="2"/>
  <c r="T276" i="2"/>
  <c r="T277" i="2"/>
  <c r="T278" i="2"/>
  <c r="T279" i="2"/>
  <c r="T281" i="2"/>
  <c r="T282" i="2"/>
  <c r="T283" i="2"/>
  <c r="T284" i="2"/>
  <c r="T285" i="2"/>
  <c r="T286" i="2"/>
  <c r="T287" i="2"/>
  <c r="T288" i="2"/>
  <c r="T289" i="2"/>
  <c r="T291" i="2"/>
  <c r="T292" i="2"/>
  <c r="T293" i="2"/>
  <c r="T294" i="2"/>
  <c r="T295" i="2"/>
  <c r="T296" i="2"/>
  <c r="T297" i="2"/>
  <c r="T298" i="2"/>
  <c r="T299" i="2"/>
  <c r="T311" i="2"/>
  <c r="T312" i="2"/>
  <c r="T313" i="2"/>
  <c r="T314" i="2"/>
  <c r="T315" i="2"/>
  <c r="T316" i="2"/>
  <c r="T317" i="2"/>
  <c r="T318" i="2"/>
  <c r="T319" i="2"/>
  <c r="T321" i="2"/>
  <c r="T322" i="2"/>
  <c r="T323" i="2"/>
  <c r="T324" i="2"/>
  <c r="T325" i="2"/>
  <c r="T326" i="2"/>
  <c r="T327" i="2"/>
  <c r="T328" i="2"/>
  <c r="T329" i="2"/>
  <c r="T331" i="2"/>
  <c r="T332" i="2"/>
  <c r="T333" i="2"/>
  <c r="T334" i="2"/>
  <c r="T335" i="2"/>
  <c r="T336" i="2"/>
  <c r="T337" i="2"/>
  <c r="T338" i="2"/>
  <c r="T339" i="2"/>
  <c r="T341" i="2"/>
  <c r="T342" i="2"/>
  <c r="T343" i="2"/>
  <c r="T344" i="2"/>
  <c r="T345" i="2"/>
  <c r="T346" i="2"/>
  <c r="T347" i="2"/>
  <c r="T348" i="2"/>
  <c r="T349" i="2"/>
  <c r="T351" i="2"/>
  <c r="T352" i="2"/>
  <c r="T353" i="2"/>
  <c r="T354" i="2"/>
  <c r="T355" i="2"/>
  <c r="T356" i="2"/>
  <c r="T357" i="2"/>
  <c r="T358" i="2"/>
  <c r="T359" i="2"/>
  <c r="T361" i="2"/>
  <c r="T362" i="2"/>
  <c r="T363" i="2"/>
  <c r="T364" i="2"/>
  <c r="T365" i="2"/>
  <c r="T366" i="2"/>
  <c r="T367" i="2"/>
  <c r="T368" i="2"/>
  <c r="T369" i="2"/>
  <c r="T371" i="2"/>
  <c r="T372" i="2"/>
  <c r="T373" i="2"/>
  <c r="T374" i="2"/>
  <c r="T375" i="2"/>
  <c r="T376" i="2"/>
  <c r="T377" i="2"/>
  <c r="T378" i="2"/>
  <c r="T379" i="2"/>
  <c r="T381" i="2"/>
  <c r="T382" i="2"/>
  <c r="T383" i="2"/>
  <c r="T384" i="2"/>
  <c r="T385" i="2"/>
  <c r="T386" i="2"/>
  <c r="T387" i="2"/>
  <c r="T388" i="2"/>
  <c r="T389" i="2"/>
  <c r="T391" i="2"/>
  <c r="T392" i="2"/>
  <c r="T393" i="2"/>
  <c r="T394" i="2"/>
  <c r="T395" i="2"/>
  <c r="T396" i="2"/>
  <c r="T397" i="2"/>
  <c r="T398" i="2"/>
  <c r="T399" i="2"/>
  <c r="T411" i="2"/>
  <c r="T412" i="2"/>
  <c r="T413" i="2"/>
  <c r="T414" i="2"/>
  <c r="T415" i="2"/>
  <c r="T416" i="2"/>
  <c r="T417" i="2"/>
  <c r="T418" i="2"/>
  <c r="T419" i="2"/>
  <c r="T421" i="2"/>
  <c r="T422" i="2"/>
  <c r="T423" i="2"/>
  <c r="T424" i="2"/>
  <c r="T425" i="2"/>
  <c r="T426" i="2"/>
  <c r="T427" i="2"/>
  <c r="T428" i="2"/>
  <c r="T429" i="2"/>
  <c r="T431" i="2"/>
  <c r="T432" i="2"/>
  <c r="T433" i="2"/>
  <c r="T434" i="2"/>
  <c r="T435" i="2"/>
  <c r="T436" i="2"/>
  <c r="T437" i="2"/>
  <c r="T438" i="2"/>
  <c r="T439" i="2"/>
  <c r="T441" i="2"/>
  <c r="T442" i="2"/>
  <c r="T443" i="2"/>
  <c r="T444" i="2"/>
  <c r="T445" i="2"/>
  <c r="T446" i="2"/>
  <c r="T447" i="2"/>
  <c r="T448" i="2"/>
  <c r="T449" i="2"/>
  <c r="T451" i="2"/>
  <c r="T452" i="2"/>
  <c r="T453" i="2"/>
  <c r="T454" i="2"/>
  <c r="T455" i="2"/>
  <c r="T456" i="2"/>
  <c r="T457" i="2"/>
  <c r="T458" i="2"/>
  <c r="T459" i="2"/>
  <c r="T461" i="2"/>
  <c r="T462" i="2"/>
  <c r="T463" i="2"/>
  <c r="T464" i="2"/>
  <c r="T465" i="2"/>
  <c r="T466" i="2"/>
  <c r="T467" i="2"/>
  <c r="T468" i="2"/>
  <c r="T469" i="2"/>
  <c r="T471" i="2"/>
  <c r="T472" i="2"/>
  <c r="T473" i="2"/>
  <c r="T474" i="2"/>
  <c r="T475" i="2"/>
  <c r="T476" i="2"/>
  <c r="T477" i="2"/>
  <c r="T478" i="2"/>
  <c r="T479" i="2"/>
  <c r="T481" i="2"/>
  <c r="T482" i="2"/>
  <c r="T483" i="2"/>
  <c r="T484" i="2"/>
  <c r="T485" i="2"/>
  <c r="T486" i="2"/>
  <c r="T487" i="2"/>
  <c r="T488" i="2"/>
  <c r="T489" i="2"/>
  <c r="T491" i="2"/>
  <c r="T492" i="2"/>
  <c r="T493" i="2"/>
  <c r="T494" i="2"/>
  <c r="T495" i="2"/>
  <c r="T496" i="2"/>
  <c r="T497" i="2"/>
  <c r="T498" i="2"/>
  <c r="T499" i="2"/>
  <c r="T511" i="2"/>
  <c r="T512" i="2"/>
  <c r="T513" i="2"/>
  <c r="T514" i="2"/>
  <c r="T515" i="2"/>
  <c r="T516" i="2"/>
  <c r="T517" i="2"/>
  <c r="T518" i="2"/>
  <c r="T519" i="2"/>
  <c r="T521" i="2"/>
  <c r="T522" i="2"/>
  <c r="T523" i="2"/>
  <c r="T524" i="2"/>
  <c r="T525" i="2"/>
  <c r="T526" i="2"/>
  <c r="T527" i="2"/>
  <c r="T528" i="2"/>
  <c r="T529" i="2"/>
  <c r="T531" i="2"/>
  <c r="T532" i="2"/>
  <c r="T533" i="2"/>
  <c r="T534" i="2"/>
  <c r="T535" i="2"/>
  <c r="T536" i="2"/>
  <c r="T537" i="2"/>
  <c r="T538" i="2"/>
  <c r="T539" i="2"/>
  <c r="T541" i="2"/>
  <c r="T542" i="2"/>
  <c r="T543" i="2"/>
  <c r="T544" i="2"/>
  <c r="T545" i="2"/>
  <c r="T546" i="2"/>
  <c r="T547" i="2"/>
  <c r="T548" i="2"/>
  <c r="T549" i="2"/>
  <c r="T551" i="2"/>
  <c r="T552" i="2"/>
  <c r="T553" i="2"/>
  <c r="T554" i="2"/>
  <c r="T555" i="2"/>
  <c r="T556" i="2"/>
  <c r="T557" i="2"/>
  <c r="T558" i="2"/>
  <c r="T559" i="2"/>
  <c r="T561" i="2"/>
  <c r="T562" i="2"/>
  <c r="T563" i="2"/>
  <c r="T564" i="2"/>
  <c r="T565" i="2"/>
  <c r="T566" i="2"/>
  <c r="T567" i="2"/>
  <c r="T568" i="2"/>
  <c r="T569" i="2"/>
  <c r="T571" i="2"/>
  <c r="T572" i="2"/>
  <c r="T573" i="2"/>
  <c r="T574" i="2"/>
  <c r="T575" i="2"/>
  <c r="T576" i="2"/>
  <c r="T577" i="2"/>
  <c r="T578" i="2"/>
  <c r="T579" i="2"/>
  <c r="T581" i="2"/>
  <c r="T582" i="2"/>
  <c r="T583" i="2"/>
  <c r="T584" i="2"/>
  <c r="T585" i="2"/>
  <c r="T586" i="2"/>
  <c r="T587" i="2"/>
  <c r="T588" i="2"/>
  <c r="T589" i="2"/>
  <c r="T591" i="2"/>
  <c r="T592" i="2"/>
  <c r="T593" i="2"/>
  <c r="T594" i="2"/>
  <c r="T595" i="2"/>
  <c r="T596" i="2"/>
  <c r="T597" i="2"/>
  <c r="T598" i="2"/>
  <c r="T599" i="2"/>
  <c r="T611" i="2"/>
  <c r="T612" i="2"/>
  <c r="T613" i="2"/>
  <c r="T614" i="2"/>
  <c r="T615" i="2"/>
  <c r="T616" i="2"/>
  <c r="T617" i="2"/>
  <c r="T618" i="2"/>
  <c r="T619" i="2"/>
  <c r="T621" i="2"/>
  <c r="T622" i="2"/>
  <c r="T623" i="2"/>
  <c r="T624" i="2"/>
  <c r="T625" i="2"/>
  <c r="T626" i="2"/>
  <c r="T627" i="2"/>
  <c r="T628" i="2"/>
  <c r="T629" i="2"/>
  <c r="T631" i="2"/>
  <c r="T632" i="2"/>
  <c r="T633" i="2"/>
  <c r="T634" i="2"/>
  <c r="T635" i="2"/>
  <c r="T636" i="2"/>
  <c r="T637" i="2"/>
  <c r="T638" i="2"/>
  <c r="T639" i="2"/>
  <c r="T641" i="2"/>
  <c r="T642" i="2"/>
  <c r="T643" i="2"/>
  <c r="T644" i="2"/>
  <c r="T645" i="2"/>
  <c r="T646" i="2"/>
  <c r="T647" i="2"/>
  <c r="T648" i="2"/>
  <c r="T649" i="2"/>
  <c r="T651" i="2"/>
  <c r="T652" i="2"/>
  <c r="T653" i="2"/>
  <c r="T654" i="2"/>
  <c r="T655" i="2"/>
  <c r="T656" i="2"/>
  <c r="T657" i="2"/>
  <c r="T658" i="2"/>
  <c r="T659" i="2"/>
  <c r="T661" i="2"/>
  <c r="T662" i="2"/>
  <c r="T663" i="2"/>
  <c r="T664" i="2"/>
  <c r="T665" i="2"/>
  <c r="T666" i="2"/>
  <c r="T667" i="2"/>
  <c r="T668" i="2"/>
  <c r="T669" i="2"/>
  <c r="T671" i="2"/>
  <c r="T672" i="2"/>
  <c r="T673" i="2"/>
  <c r="T674" i="2"/>
  <c r="T675" i="2"/>
  <c r="T676" i="2"/>
  <c r="T677" i="2"/>
  <c r="T678" i="2"/>
  <c r="T679" i="2"/>
  <c r="T681" i="2"/>
  <c r="T682" i="2"/>
  <c r="T683" i="2"/>
  <c r="T684" i="2"/>
  <c r="T685" i="2"/>
  <c r="T686" i="2"/>
  <c r="T687" i="2"/>
  <c r="T688" i="2"/>
  <c r="T689" i="2"/>
  <c r="T691" i="2"/>
  <c r="T692" i="2"/>
  <c r="T693" i="2"/>
  <c r="T694" i="2"/>
  <c r="T695" i="2"/>
  <c r="T696" i="2"/>
  <c r="T697" i="2"/>
  <c r="T698" i="2"/>
  <c r="T699" i="2"/>
  <c r="T711" i="2"/>
  <c r="T712" i="2"/>
  <c r="T713" i="2"/>
  <c r="T714" i="2"/>
  <c r="T715" i="2"/>
  <c r="T716" i="2"/>
  <c r="T717" i="2"/>
  <c r="T718" i="2"/>
  <c r="T719" i="2"/>
  <c r="T721" i="2"/>
  <c r="T722" i="2"/>
  <c r="T723" i="2"/>
  <c r="T724" i="2"/>
  <c r="T725" i="2"/>
  <c r="T726" i="2"/>
  <c r="T727" i="2"/>
  <c r="T728" i="2"/>
  <c r="T729" i="2"/>
  <c r="T731" i="2"/>
  <c r="T732" i="2"/>
  <c r="T733" i="2"/>
  <c r="T734" i="2"/>
  <c r="T735" i="2"/>
  <c r="T736" i="2"/>
  <c r="T737" i="2"/>
  <c r="T738" i="2"/>
  <c r="T739" i="2"/>
  <c r="T741" i="2"/>
  <c r="T742" i="2"/>
  <c r="T743" i="2"/>
  <c r="T744" i="2"/>
  <c r="T745" i="2"/>
  <c r="T746" i="2"/>
  <c r="T747" i="2"/>
  <c r="T748" i="2"/>
  <c r="T749" i="2"/>
  <c r="T751" i="2"/>
  <c r="T752" i="2"/>
  <c r="T753" i="2"/>
  <c r="T754" i="2"/>
  <c r="T755" i="2"/>
  <c r="T756" i="2"/>
  <c r="T757" i="2"/>
  <c r="T758" i="2"/>
  <c r="T759" i="2"/>
  <c r="T761" i="2"/>
  <c r="T762" i="2"/>
  <c r="T763" i="2"/>
  <c r="T764" i="2"/>
  <c r="T765" i="2"/>
  <c r="T766" i="2"/>
  <c r="T767" i="2"/>
  <c r="T768" i="2"/>
  <c r="T769" i="2"/>
  <c r="T771" i="2"/>
  <c r="T772" i="2"/>
  <c r="T773" i="2"/>
  <c r="T774" i="2"/>
  <c r="T775" i="2"/>
  <c r="T776" i="2"/>
  <c r="T777" i="2"/>
  <c r="T778" i="2"/>
  <c r="T779" i="2"/>
  <c r="T781" i="2"/>
  <c r="T782" i="2"/>
  <c r="T783" i="2"/>
  <c r="T784" i="2"/>
  <c r="T785" i="2"/>
  <c r="T786" i="2"/>
  <c r="T787" i="2"/>
  <c r="T788" i="2"/>
  <c r="T789" i="2"/>
  <c r="T791" i="2"/>
  <c r="T792" i="2"/>
  <c r="T793" i="2"/>
  <c r="T794" i="2"/>
  <c r="T795" i="2"/>
  <c r="T796" i="2"/>
  <c r="T797" i="2"/>
  <c r="T798" i="2"/>
  <c r="T799" i="2"/>
  <c r="T3" i="2"/>
  <c r="T2" i="2"/>
  <c r="C12" i="2"/>
  <c r="C4" i="2"/>
  <c r="C5" i="2"/>
  <c r="C6" i="2"/>
  <c r="C7" i="2"/>
  <c r="C8" i="2"/>
  <c r="C9" i="2"/>
  <c r="C10" i="2"/>
  <c r="C11"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2"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23" i="2" l="1"/>
  <c r="N3" i="2"/>
  <c r="N4" i="2"/>
  <c r="N5" i="2"/>
  <c r="N6" i="2"/>
  <c r="N7" i="2"/>
  <c r="N8" i="2"/>
  <c r="N9" i="2"/>
  <c r="N10" i="2"/>
  <c r="N11" i="2"/>
  <c r="N12" i="2"/>
  <c r="N13" i="2"/>
  <c r="N14" i="2"/>
  <c r="N15" i="2"/>
  <c r="N16" i="2"/>
  <c r="N17" i="2"/>
  <c r="N18" i="2"/>
  <c r="N19" i="2"/>
  <c r="N20" i="2"/>
  <c r="N21" i="2"/>
  <c r="N22" i="2"/>
  <c r="N24" i="2"/>
  <c r="N25" i="2"/>
  <c r="N26" i="2"/>
  <c r="N27" i="2"/>
  <c r="N28" i="2"/>
  <c r="N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2" i="2"/>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2" i="2"/>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2" i="1"/>
  <c r="L589" i="1"/>
  <c r="L590" i="1"/>
  <c r="L591" i="1"/>
  <c r="L592" i="1"/>
  <c r="L593" i="1"/>
  <c r="L594" i="1"/>
  <c r="L595" i="1"/>
  <c r="L596" i="1"/>
  <c r="L597" i="1"/>
  <c r="L598" i="1"/>
  <c r="L599" i="1"/>
  <c r="L600" i="1"/>
  <c r="L601" i="1"/>
  <c r="H569" i="2" l="1"/>
  <c r="H539" i="2"/>
  <c r="H520" i="2"/>
  <c r="H475" i="2"/>
  <c r="H286" i="2"/>
  <c r="H278" i="2"/>
  <c r="H263" i="2"/>
  <c r="H215" i="2"/>
  <c r="H174" i="2"/>
  <c r="H114"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2" i="1"/>
  <c r="M585" i="1"/>
  <c r="M547" i="1"/>
  <c r="M520" i="1"/>
  <c r="M377" i="1"/>
  <c r="M15" i="1"/>
  <c r="H524" i="1"/>
  <c r="H421" i="1"/>
  <c r="H491" i="1"/>
  <c r="H83" i="1"/>
  <c r="H115" i="1"/>
  <c r="H517" i="1"/>
  <c r="H355" i="1"/>
  <c r="H590" i="1"/>
</calcChain>
</file>

<file path=xl/sharedStrings.xml><?xml version="1.0" encoding="utf-8"?>
<sst xmlns="http://schemas.openxmlformats.org/spreadsheetml/2006/main" count="12334" uniqueCount="1922">
  <si>
    <t>Batch_ID</t>
  </si>
  <si>
    <t>Production_Date</t>
  </si>
  <si>
    <t>Plant</t>
  </si>
  <si>
    <t>Production_Line</t>
  </si>
  <si>
    <t>Product_Category</t>
  </si>
  <si>
    <t>Shift</t>
  </si>
  <si>
    <t>Supervisor</t>
  </si>
  <si>
    <t>Target_Units</t>
  </si>
  <si>
    <t>Units_Produced</t>
  </si>
  <si>
    <t>Rejected_Units</t>
  </si>
  <si>
    <t>Downtime_Hours</t>
  </si>
  <si>
    <t>Operating_Hours</t>
  </si>
  <si>
    <t>Unit_Production_Cost_KES</t>
  </si>
  <si>
    <t>Quality_Status</t>
  </si>
  <si>
    <t>BAT-0001</t>
  </si>
  <si>
    <t>2025-02-02</t>
  </si>
  <si>
    <t>Mombasa Plant</t>
  </si>
  <si>
    <t>Line C</t>
  </si>
  <si>
    <t>Industrial Cleaners</t>
  </si>
  <si>
    <t>Day</t>
  </si>
  <si>
    <t>S. Kiptoo</t>
  </si>
  <si>
    <t>Review</t>
  </si>
  <si>
    <t>BAT-0002</t>
  </si>
  <si>
    <t>2025-10-10</t>
  </si>
  <si>
    <t>Nakuru Plant</t>
  </si>
  <si>
    <t>Line A</t>
  </si>
  <si>
    <t>Packaging Resin</t>
  </si>
  <si>
    <t>Night</t>
  </si>
  <si>
    <t>A. Wanjiku</t>
  </si>
  <si>
    <t>Pass</t>
  </si>
  <si>
    <t>BAT-0003</t>
  </si>
  <si>
    <t>2025-08-27</t>
  </si>
  <si>
    <t>Athi River Plant</t>
  </si>
  <si>
    <t>Protective Coatings</t>
  </si>
  <si>
    <t>BAT-0004</t>
  </si>
  <si>
    <t>2025-06-10</t>
  </si>
  <si>
    <t>Line E</t>
  </si>
  <si>
    <t>J. Mwangi</t>
  </si>
  <si>
    <t>BAT-0005</t>
  </si>
  <si>
    <t>2025-06-08</t>
  </si>
  <si>
    <t>Evening</t>
  </si>
  <si>
    <t>BAT-0006</t>
  </si>
  <si>
    <t>2025-11-10</t>
  </si>
  <si>
    <t>Construction Additives</t>
  </si>
  <si>
    <t>P. Otieno</t>
  </si>
  <si>
    <t>BAT-0007</t>
  </si>
  <si>
    <t>2025-02-01</t>
  </si>
  <si>
    <t>BAT-0008</t>
  </si>
  <si>
    <t>2025-09-12</t>
  </si>
  <si>
    <t>Water Treatment Chemicals</t>
  </si>
  <si>
    <t>BAT-0009</t>
  </si>
  <si>
    <t>2025-03-15</t>
  </si>
  <si>
    <t>BAT-0010</t>
  </si>
  <si>
    <t>2025-02-04</t>
  </si>
  <si>
    <t>construction additives</t>
  </si>
  <si>
    <t>BAT-0011</t>
  </si>
  <si>
    <t>2025-07-12</t>
  </si>
  <si>
    <t>BAT-0012</t>
  </si>
  <si>
    <t>2025-12-23</t>
  </si>
  <si>
    <t>Line B</t>
  </si>
  <si>
    <t>BAT-0013</t>
  </si>
  <si>
    <t>2025-09-26</t>
  </si>
  <si>
    <t>Line D</t>
  </si>
  <si>
    <t>BAT-0014</t>
  </si>
  <si>
    <t>2025-10-05</t>
  </si>
  <si>
    <t>BAT-0015</t>
  </si>
  <si>
    <t>2025-09-19</t>
  </si>
  <si>
    <t>BAT-0016</t>
  </si>
  <si>
    <t>2025-10-14</t>
  </si>
  <si>
    <t>F. Ali</t>
  </si>
  <si>
    <t>BAT-0017</t>
  </si>
  <si>
    <t>2025-07-07</t>
  </si>
  <si>
    <t>R. Njeri</t>
  </si>
  <si>
    <t>BAT-0018</t>
  </si>
  <si>
    <t>2025-02-16</t>
  </si>
  <si>
    <t>D. Kamau</t>
  </si>
  <si>
    <t>BAT-0019</t>
  </si>
  <si>
    <t>2025-11-03</t>
  </si>
  <si>
    <t>BAT-0020</t>
  </si>
  <si>
    <t>2025-06-14</t>
  </si>
  <si>
    <t>BAT-0021</t>
  </si>
  <si>
    <t>2025-07-02</t>
  </si>
  <si>
    <t>M. Hassan</t>
  </si>
  <si>
    <t>BAT-0022</t>
  </si>
  <si>
    <t>2025-05-16</t>
  </si>
  <si>
    <t>BAT-0023</t>
  </si>
  <si>
    <t>2025-03-08</t>
  </si>
  <si>
    <t>BAT-0024</t>
  </si>
  <si>
    <t>2025-12-05</t>
  </si>
  <si>
    <t>BAT-0025</t>
  </si>
  <si>
    <t>2025-10-13</t>
  </si>
  <si>
    <t>BAT-0026</t>
  </si>
  <si>
    <t>2025-08-24</t>
  </si>
  <si>
    <t>BAT-0027</t>
  </si>
  <si>
    <t>2025-05-27</t>
  </si>
  <si>
    <t>BAT-0028</t>
  </si>
  <si>
    <t>2025-10-28</t>
  </si>
  <si>
    <t>BAT-0029</t>
  </si>
  <si>
    <t>2025-07-19</t>
  </si>
  <si>
    <t>BAT-0030</t>
  </si>
  <si>
    <t>2025-06-11</t>
  </si>
  <si>
    <t>BAT-0031</t>
  </si>
  <si>
    <t>BAT-0032</t>
  </si>
  <si>
    <t>2025-03-24</t>
  </si>
  <si>
    <t>BAT-0033</t>
  </si>
  <si>
    <t>2025-02-03</t>
  </si>
  <si>
    <t>BAT-0034</t>
  </si>
  <si>
    <t>2025-07-22</t>
  </si>
  <si>
    <t>BAT-0035</t>
  </si>
  <si>
    <t>2025-11-21</t>
  </si>
  <si>
    <t>BAT-0036</t>
  </si>
  <si>
    <t>2025-01-24</t>
  </si>
  <si>
    <t>BAT-0037</t>
  </si>
  <si>
    <t>BAT-0038</t>
  </si>
  <si>
    <t>2025-10-30</t>
  </si>
  <si>
    <t>BAT-0039</t>
  </si>
  <si>
    <t>2025-04-12</t>
  </si>
  <si>
    <t>BAT-0040</t>
  </si>
  <si>
    <t>2025-08-19</t>
  </si>
  <si>
    <t>BAT-0041</t>
  </si>
  <si>
    <t>2025-03-02</t>
  </si>
  <si>
    <t>BAT-0042</t>
  </si>
  <si>
    <t>2025-10-04</t>
  </si>
  <si>
    <t>BAT-0043</t>
  </si>
  <si>
    <t>2025-09-13</t>
  </si>
  <si>
    <t>BAT-0044</t>
  </si>
  <si>
    <t>2025-05-10</t>
  </si>
  <si>
    <t>BAT-0045</t>
  </si>
  <si>
    <t>2025-01-25</t>
  </si>
  <si>
    <t>BAT-0046</t>
  </si>
  <si>
    <t>2025-12-21</t>
  </si>
  <si>
    <t>BAT-0047</t>
  </si>
  <si>
    <t>2025-06-12</t>
  </si>
  <si>
    <t>BAT-0048</t>
  </si>
  <si>
    <t>2025-11-22</t>
  </si>
  <si>
    <t>BAT-0049</t>
  </si>
  <si>
    <t>2025-09-05</t>
  </si>
  <si>
    <t>BAT-0050</t>
  </si>
  <si>
    <t>2025-10-12</t>
  </si>
  <si>
    <t>BAT-0051</t>
  </si>
  <si>
    <t>BAT-0052</t>
  </si>
  <si>
    <t>2025-03-13</t>
  </si>
  <si>
    <t>BAT-0053</t>
  </si>
  <si>
    <t>2025-05-13</t>
  </si>
  <si>
    <t>BAT-0054</t>
  </si>
  <si>
    <t>2025-06-20</t>
  </si>
  <si>
    <t>BAT-0055</t>
  </si>
  <si>
    <t>2025-07-01</t>
  </si>
  <si>
    <t>BAT-0056</t>
  </si>
  <si>
    <t>2025-01-16</t>
  </si>
  <si>
    <t>BAT-0057</t>
  </si>
  <si>
    <t>BAT-0058</t>
  </si>
  <si>
    <t>2025-02-26</t>
  </si>
  <si>
    <t>BAT-0059</t>
  </si>
  <si>
    <t>2025-09-29</t>
  </si>
  <si>
    <t>BAT-0060</t>
  </si>
  <si>
    <t>2025-09-07</t>
  </si>
  <si>
    <t>BAT-0061</t>
  </si>
  <si>
    <t>2025-12-03</t>
  </si>
  <si>
    <t>BAT-0062</t>
  </si>
  <si>
    <t>BAT-0063</t>
  </si>
  <si>
    <t>2025-05-14</t>
  </si>
  <si>
    <t>BAT-0064</t>
  </si>
  <si>
    <t>2025-12-20</t>
  </si>
  <si>
    <t>BAT-0065</t>
  </si>
  <si>
    <t>2025-05-30</t>
  </si>
  <si>
    <t>BAT-0066</t>
  </si>
  <si>
    <t>2025-04-29</t>
  </si>
  <si>
    <t>BAT-0067</t>
  </si>
  <si>
    <t>2025-11-27</t>
  </si>
  <si>
    <t>BAT-0068</t>
  </si>
  <si>
    <t>BAT-0069</t>
  </si>
  <si>
    <t>2025-01-28</t>
  </si>
  <si>
    <t>BAT-0070</t>
  </si>
  <si>
    <t>2025-06-21</t>
  </si>
  <si>
    <t>BAT-0071</t>
  </si>
  <si>
    <t>2025-10-18</t>
  </si>
  <si>
    <t>BAT-0072</t>
  </si>
  <si>
    <t>2025-03-11</t>
  </si>
  <si>
    <t>BAT-0073</t>
  </si>
  <si>
    <t>2025-06-18</t>
  </si>
  <si>
    <t>BAT-0074</t>
  </si>
  <si>
    <t>2025-02-17</t>
  </si>
  <si>
    <t>BAT-0075</t>
  </si>
  <si>
    <t>2025-09-08</t>
  </si>
  <si>
    <t>BAT-0076</t>
  </si>
  <si>
    <t>2025-06-23</t>
  </si>
  <si>
    <t>BAT-0077</t>
  </si>
  <si>
    <t>2025-05-01</t>
  </si>
  <si>
    <t>BAT-0078</t>
  </si>
  <si>
    <t>BAT-0079</t>
  </si>
  <si>
    <t>2025-07-26</t>
  </si>
  <si>
    <t>BAT-0080</t>
  </si>
  <si>
    <t>2025-09-02</t>
  </si>
  <si>
    <t>BAT-0081</t>
  </si>
  <si>
    <t>2025-12-10</t>
  </si>
  <si>
    <t>BAT-0082</t>
  </si>
  <si>
    <t>2025-06-09</t>
  </si>
  <si>
    <t>BAT-0083</t>
  </si>
  <si>
    <t>2025-02-28</t>
  </si>
  <si>
    <t>BAT-0084</t>
  </si>
  <si>
    <t>2025-10-31</t>
  </si>
  <si>
    <t>BAT-0085</t>
  </si>
  <si>
    <t>2025-08-18</t>
  </si>
  <si>
    <t>BAT-0086</t>
  </si>
  <si>
    <t>BAT-0087</t>
  </si>
  <si>
    <t>2025-02-05</t>
  </si>
  <si>
    <t>BAT-0088</t>
  </si>
  <si>
    <t>2025-04-25</t>
  </si>
  <si>
    <t>BAT-0089</t>
  </si>
  <si>
    <t>2025-10-08</t>
  </si>
  <si>
    <t>BAT-0090</t>
  </si>
  <si>
    <t>water treatment chemicals</t>
  </si>
  <si>
    <t>BAT-0091</t>
  </si>
  <si>
    <t>BAT-0092</t>
  </si>
  <si>
    <t>2025-10-21</t>
  </si>
  <si>
    <t>BAT-0093</t>
  </si>
  <si>
    <t>2025-11-04</t>
  </si>
  <si>
    <t>BAT-0094</t>
  </si>
  <si>
    <t>2025-05-22</t>
  </si>
  <si>
    <t>BAT-0095</t>
  </si>
  <si>
    <t>2025-11-24</t>
  </si>
  <si>
    <t>BAT-0096</t>
  </si>
  <si>
    <t>2025-04-16</t>
  </si>
  <si>
    <t>BAT-0097</t>
  </si>
  <si>
    <t>2025-03-29</t>
  </si>
  <si>
    <t>BAT-0098</t>
  </si>
  <si>
    <t>BAT-0099</t>
  </si>
  <si>
    <t>2025-08-21</t>
  </si>
  <si>
    <t>BAT-0100</t>
  </si>
  <si>
    <t>2025-02-21</t>
  </si>
  <si>
    <t>BAT-0101</t>
  </si>
  <si>
    <t>BAT-0102</t>
  </si>
  <si>
    <t>2025-03-14</t>
  </si>
  <si>
    <t>BAT-0103</t>
  </si>
  <si>
    <t>BAT-0104</t>
  </si>
  <si>
    <t>2025-01-03</t>
  </si>
  <si>
    <t>BAT-0105</t>
  </si>
  <si>
    <t>BAT-0106</t>
  </si>
  <si>
    <t>2025-10-15</t>
  </si>
  <si>
    <t>BAT-0107</t>
  </si>
  <si>
    <t>BAT-0108</t>
  </si>
  <si>
    <t>2025-08-31</t>
  </si>
  <si>
    <t>BAT-0109</t>
  </si>
  <si>
    <t>2025-06-22</t>
  </si>
  <si>
    <t>BAT-0110</t>
  </si>
  <si>
    <t>2025-09-15</t>
  </si>
  <si>
    <t>BAT-0111</t>
  </si>
  <si>
    <t>BAT-0112</t>
  </si>
  <si>
    <t>packaging resin</t>
  </si>
  <si>
    <t>BAT-0113</t>
  </si>
  <si>
    <t>BAT-0114</t>
  </si>
  <si>
    <t>2025-06-17</t>
  </si>
  <si>
    <t>BAT-0115</t>
  </si>
  <si>
    <t>2025-07-04</t>
  </si>
  <si>
    <t>BAT-0116</t>
  </si>
  <si>
    <t>2025-07-27</t>
  </si>
  <si>
    <t>BAT-0117</t>
  </si>
  <si>
    <t>2025-01-14</t>
  </si>
  <si>
    <t>BAT-0118</t>
  </si>
  <si>
    <t>BAT-0119</t>
  </si>
  <si>
    <t>2025-03-31</t>
  </si>
  <si>
    <t>BAT-0120</t>
  </si>
  <si>
    <t>2025-02-11</t>
  </si>
  <si>
    <t>BAT-0121</t>
  </si>
  <si>
    <t>BAT-0122</t>
  </si>
  <si>
    <t>2025-09-01</t>
  </si>
  <si>
    <t>BAT-0123</t>
  </si>
  <si>
    <t>BAT-0124</t>
  </si>
  <si>
    <t>BAT-0125</t>
  </si>
  <si>
    <t>2025-11-09</t>
  </si>
  <si>
    <t>BAT-0126</t>
  </si>
  <si>
    <t>BAT-0127</t>
  </si>
  <si>
    <t>2025-01-29</t>
  </si>
  <si>
    <t>BAT-0128</t>
  </si>
  <si>
    <t>2025-10-07</t>
  </si>
  <si>
    <t>BAT-0129</t>
  </si>
  <si>
    <t>2025-07-29</t>
  </si>
  <si>
    <t>BAT-0130</t>
  </si>
  <si>
    <t>2025-08-20</t>
  </si>
  <si>
    <t>BAT-0131</t>
  </si>
  <si>
    <t>BAT-0132</t>
  </si>
  <si>
    <t>BAT-0133</t>
  </si>
  <si>
    <t>BAT-0134</t>
  </si>
  <si>
    <t>2025-07-24</t>
  </si>
  <si>
    <t>BAT-0135</t>
  </si>
  <si>
    <t>BAT-0136</t>
  </si>
  <si>
    <t>2025-04-21</t>
  </si>
  <si>
    <t>BAT-0137</t>
  </si>
  <si>
    <t>2025-08-09</t>
  </si>
  <si>
    <t>BAT-0138</t>
  </si>
  <si>
    <t>2025-01-12</t>
  </si>
  <si>
    <t>BAT-0139</t>
  </si>
  <si>
    <t>2025-05-07</t>
  </si>
  <si>
    <t>BAT-0140</t>
  </si>
  <si>
    <t>BAT-0141</t>
  </si>
  <si>
    <t>2025-12-25</t>
  </si>
  <si>
    <t>BAT-0142</t>
  </si>
  <si>
    <t>2025-03-20</t>
  </si>
  <si>
    <t>BAT-0143</t>
  </si>
  <si>
    <t>2025-04-11</t>
  </si>
  <si>
    <t>BAT-0144</t>
  </si>
  <si>
    <t>BAT-0145</t>
  </si>
  <si>
    <t>2025-12-29</t>
  </si>
  <si>
    <t>BAT-0146</t>
  </si>
  <si>
    <t>2025-11-08</t>
  </si>
  <si>
    <t>BAT-0147</t>
  </si>
  <si>
    <t>2025-01-13</t>
  </si>
  <si>
    <t>BAT-0148</t>
  </si>
  <si>
    <t>2025-03-27</t>
  </si>
  <si>
    <t>BAT-0149</t>
  </si>
  <si>
    <t>2025-10-27</t>
  </si>
  <si>
    <t>BAT-0150</t>
  </si>
  <si>
    <t>2025-01-22</t>
  </si>
  <si>
    <t>BAT-0151</t>
  </si>
  <si>
    <t>BAT-0152</t>
  </si>
  <si>
    <t>2025-04-13</t>
  </si>
  <si>
    <t>BAT-0153</t>
  </si>
  <si>
    <t>2025-12-01</t>
  </si>
  <si>
    <t>BAT-0154</t>
  </si>
  <si>
    <t>2025-04-18</t>
  </si>
  <si>
    <t>BAT-0155</t>
  </si>
  <si>
    <t>BAT-0156</t>
  </si>
  <si>
    <t>2025-08-30</t>
  </si>
  <si>
    <t>BAT-0157</t>
  </si>
  <si>
    <t>BAT-0158</t>
  </si>
  <si>
    <t>2025-07-23</t>
  </si>
  <si>
    <t>BAT-0159</t>
  </si>
  <si>
    <t>BAT-0160</t>
  </si>
  <si>
    <t>BAT-0161</t>
  </si>
  <si>
    <t>2025-12-30</t>
  </si>
  <si>
    <t>BAT-0162</t>
  </si>
  <si>
    <t>BAT-0163</t>
  </si>
  <si>
    <t>BAT-0164</t>
  </si>
  <si>
    <t>2025-05-29</t>
  </si>
  <si>
    <t>BAT-0165</t>
  </si>
  <si>
    <t>2025-06-02</t>
  </si>
  <si>
    <t>BAT-0166</t>
  </si>
  <si>
    <t>2025-10-25</t>
  </si>
  <si>
    <t>BAT-0167</t>
  </si>
  <si>
    <t>2025-04-28</t>
  </si>
  <si>
    <t>BAT-0168</t>
  </si>
  <si>
    <t>BAT-0169</t>
  </si>
  <si>
    <t>2025-05-03</t>
  </si>
  <si>
    <t>BAT-0170</t>
  </si>
  <si>
    <t>2025-01-09</t>
  </si>
  <si>
    <t>BAT-0171</t>
  </si>
  <si>
    <t>2025-02-08</t>
  </si>
  <si>
    <t>BAT-0172</t>
  </si>
  <si>
    <t>BAT-0173</t>
  </si>
  <si>
    <t>2025-10-09</t>
  </si>
  <si>
    <t>BAT-0174</t>
  </si>
  <si>
    <t>2025-09-21</t>
  </si>
  <si>
    <t>BAT-0175</t>
  </si>
  <si>
    <t>BAT-0176</t>
  </si>
  <si>
    <t>BAT-0177</t>
  </si>
  <si>
    <t>BAT-0178</t>
  </si>
  <si>
    <t>BAT-0179</t>
  </si>
  <si>
    <t>2025-11-25</t>
  </si>
  <si>
    <t>BAT-0180</t>
  </si>
  <si>
    <t>BAT-0181</t>
  </si>
  <si>
    <t>2025-12-09</t>
  </si>
  <si>
    <t>BAT-0182</t>
  </si>
  <si>
    <t>2025-02-25</t>
  </si>
  <si>
    <t>BAT-0183</t>
  </si>
  <si>
    <t>BAT-0184</t>
  </si>
  <si>
    <t>BAT-0185</t>
  </si>
  <si>
    <t>2025-06-30</t>
  </si>
  <si>
    <t>BAT-0186</t>
  </si>
  <si>
    <t>BAT-0187</t>
  </si>
  <si>
    <t>BAT-0188</t>
  </si>
  <si>
    <t>2025-05-20</t>
  </si>
  <si>
    <t>BAT-0189</t>
  </si>
  <si>
    <t>BAT-0190</t>
  </si>
  <si>
    <t>BAT-0191</t>
  </si>
  <si>
    <t>BAT-0192</t>
  </si>
  <si>
    <t>BAT-0193</t>
  </si>
  <si>
    <t>2025-08-10</t>
  </si>
  <si>
    <t>BAT-0194</t>
  </si>
  <si>
    <t>BAT-0195</t>
  </si>
  <si>
    <t>2025-12-17</t>
  </si>
  <si>
    <t>BAT-0196</t>
  </si>
  <si>
    <t>BAT-0197</t>
  </si>
  <si>
    <t>2025-05-06</t>
  </si>
  <si>
    <t>BAT-0198</t>
  </si>
  <si>
    <t>2025-02-13</t>
  </si>
  <si>
    <t>BAT-0199</t>
  </si>
  <si>
    <t>2025-05-04</t>
  </si>
  <si>
    <t>BAT-0200</t>
  </si>
  <si>
    <t>2025-12-18</t>
  </si>
  <si>
    <t>BAT-0201</t>
  </si>
  <si>
    <t>BAT-0202</t>
  </si>
  <si>
    <t>2025-11-28</t>
  </si>
  <si>
    <t>BAT-0203</t>
  </si>
  <si>
    <t>BAT-0204</t>
  </si>
  <si>
    <t>BAT-0205</t>
  </si>
  <si>
    <t>2025-06-16</t>
  </si>
  <si>
    <t>BAT-0206</t>
  </si>
  <si>
    <t>2025-04-08</t>
  </si>
  <si>
    <t>BAT-0207</t>
  </si>
  <si>
    <t>2025-10-06</t>
  </si>
  <si>
    <t>BAT-0208</t>
  </si>
  <si>
    <t>BAT-0209</t>
  </si>
  <si>
    <t>2025-04-07</t>
  </si>
  <si>
    <t>BAT-0210</t>
  </si>
  <si>
    <t>BAT-0211</t>
  </si>
  <si>
    <t>2025-04-06</t>
  </si>
  <si>
    <t>BAT-0212</t>
  </si>
  <si>
    <t>BAT-0213</t>
  </si>
  <si>
    <t>BAT-0214</t>
  </si>
  <si>
    <t>BAT-0215</t>
  </si>
  <si>
    <t>BAT-0216</t>
  </si>
  <si>
    <t>2025-04-10</t>
  </si>
  <si>
    <t>BAT-0217</t>
  </si>
  <si>
    <t>BAT-0218</t>
  </si>
  <si>
    <t>BAT-0219</t>
  </si>
  <si>
    <t>2025-06-13</t>
  </si>
  <si>
    <t>BAT-0220</t>
  </si>
  <si>
    <t>2025-11-26</t>
  </si>
  <si>
    <t>BAT-0221</t>
  </si>
  <si>
    <t>BAT-0222</t>
  </si>
  <si>
    <t>BAT-0223</t>
  </si>
  <si>
    <t>2025-09-14</t>
  </si>
  <si>
    <t>BAT-0224</t>
  </si>
  <si>
    <t>BAT-0225</t>
  </si>
  <si>
    <t>BAT-0226</t>
  </si>
  <si>
    <t>2025-04-22</t>
  </si>
  <si>
    <t>BAT-0227</t>
  </si>
  <si>
    <t>2025-10-23</t>
  </si>
  <si>
    <t>BAT-0228</t>
  </si>
  <si>
    <t>2025-07-31</t>
  </si>
  <si>
    <t>BAT-0229</t>
  </si>
  <si>
    <t>BAT-0230</t>
  </si>
  <si>
    <t>2025-03-06</t>
  </si>
  <si>
    <t>BAT-0231</t>
  </si>
  <si>
    <t>2025-06-19</t>
  </si>
  <si>
    <t>BAT-0232</t>
  </si>
  <si>
    <t>BAT-0233</t>
  </si>
  <si>
    <t>2025-01-08</t>
  </si>
  <si>
    <t>BAT-0234</t>
  </si>
  <si>
    <t>BAT-0235</t>
  </si>
  <si>
    <t>2025-06-29</t>
  </si>
  <si>
    <t>BAT-0236</t>
  </si>
  <si>
    <t>2025-09-20</t>
  </si>
  <si>
    <t>BAT-0237</t>
  </si>
  <si>
    <t>BAT-0238</t>
  </si>
  <si>
    <t>2025-06-07</t>
  </si>
  <si>
    <t>BAT-0239</t>
  </si>
  <si>
    <t>2025-04-23</t>
  </si>
  <si>
    <t>BAT-0240</t>
  </si>
  <si>
    <t>2025-08-17</t>
  </si>
  <si>
    <t>BAT-0241</t>
  </si>
  <si>
    <t>BAT-0242</t>
  </si>
  <si>
    <t>2025-08-02</t>
  </si>
  <si>
    <t>BAT-0243</t>
  </si>
  <si>
    <t>BAT-0244</t>
  </si>
  <si>
    <t>2025-08-26</t>
  </si>
  <si>
    <t>BAT-0245</t>
  </si>
  <si>
    <t>BAT-0246</t>
  </si>
  <si>
    <t>2025-01-31</t>
  </si>
  <si>
    <t>BAT-0247</t>
  </si>
  <si>
    <t>BAT-0248</t>
  </si>
  <si>
    <t>2025-06-01</t>
  </si>
  <si>
    <t>BAT-0249</t>
  </si>
  <si>
    <t>BAT-0250</t>
  </si>
  <si>
    <t>BAT-0251</t>
  </si>
  <si>
    <t>2025-03-07</t>
  </si>
  <si>
    <t>BAT-0252</t>
  </si>
  <si>
    <t>BAT-0253</t>
  </si>
  <si>
    <t>2025-03-10</t>
  </si>
  <si>
    <t>BAT-0254</t>
  </si>
  <si>
    <t>BAT-0255</t>
  </si>
  <si>
    <t>BAT-0256</t>
  </si>
  <si>
    <t>2025-02-22</t>
  </si>
  <si>
    <t>BAT-0257</t>
  </si>
  <si>
    <t>BAT-0258</t>
  </si>
  <si>
    <t>2025-02-07</t>
  </si>
  <si>
    <t>BAT-0259</t>
  </si>
  <si>
    <t>2025-03-05</t>
  </si>
  <si>
    <t>BAT-0260</t>
  </si>
  <si>
    <t>2025-08-03</t>
  </si>
  <si>
    <t>BAT-0261</t>
  </si>
  <si>
    <t>2025-10-17</t>
  </si>
  <si>
    <t>BAT-0262</t>
  </si>
  <si>
    <t>2025-03-04</t>
  </si>
  <si>
    <t>BAT-0263</t>
  </si>
  <si>
    <t>2025-04-20</t>
  </si>
  <si>
    <t>BAT-0264</t>
  </si>
  <si>
    <t>2025-12-04</t>
  </si>
  <si>
    <t>BAT-0265</t>
  </si>
  <si>
    <t>2025-12-28</t>
  </si>
  <si>
    <t>BAT-0266</t>
  </si>
  <si>
    <t>2025-08-01</t>
  </si>
  <si>
    <t>BAT-0267</t>
  </si>
  <si>
    <t>BAT-0268</t>
  </si>
  <si>
    <t>BAT-0269</t>
  </si>
  <si>
    <t>2025-08-12</t>
  </si>
  <si>
    <t>BAT-0270</t>
  </si>
  <si>
    <t>2025-08-04</t>
  </si>
  <si>
    <t>BAT-0271</t>
  </si>
  <si>
    <t>BAT-0272</t>
  </si>
  <si>
    <t>BAT-0273</t>
  </si>
  <si>
    <t>BAT-0274</t>
  </si>
  <si>
    <t>2025-12-16</t>
  </si>
  <si>
    <t>BAT-0275</t>
  </si>
  <si>
    <t>BAT-0276</t>
  </si>
  <si>
    <t>2025-06-26</t>
  </si>
  <si>
    <t>BAT-0277</t>
  </si>
  <si>
    <t>BAT-0278</t>
  </si>
  <si>
    <t>BAT-0279</t>
  </si>
  <si>
    <t>BAT-0280</t>
  </si>
  <si>
    <t>BAT-0281</t>
  </si>
  <si>
    <t>BAT-0282</t>
  </si>
  <si>
    <t>2025-06-27</t>
  </si>
  <si>
    <t>BAT-0283</t>
  </si>
  <si>
    <t>BAT-0284</t>
  </si>
  <si>
    <t>BAT-0285</t>
  </si>
  <si>
    <t>BAT-0286</t>
  </si>
  <si>
    <t>BAT-0287</t>
  </si>
  <si>
    <t>BAT-0288</t>
  </si>
  <si>
    <t>2025-07-28</t>
  </si>
  <si>
    <t>BAT-0289</t>
  </si>
  <si>
    <t>2025-07-17</t>
  </si>
  <si>
    <t>BAT-0290</t>
  </si>
  <si>
    <t>BAT-0291</t>
  </si>
  <si>
    <t>2025-10-22</t>
  </si>
  <si>
    <t>BAT-0292</t>
  </si>
  <si>
    <t>BAT-0293</t>
  </si>
  <si>
    <t>2025-12-15</t>
  </si>
  <si>
    <t>BAT-0294</t>
  </si>
  <si>
    <t>2025-05-02</t>
  </si>
  <si>
    <t>BAT-0295</t>
  </si>
  <si>
    <t>2025-07-18</t>
  </si>
  <si>
    <t>BAT-0296</t>
  </si>
  <si>
    <t>2025-07-10</t>
  </si>
  <si>
    <t>BAT-0297</t>
  </si>
  <si>
    <t>2025-11-07</t>
  </si>
  <si>
    <t>BAT-0298</t>
  </si>
  <si>
    <t>BAT-0299</t>
  </si>
  <si>
    <t>2025-04-14</t>
  </si>
  <si>
    <t>BAT-0300</t>
  </si>
  <si>
    <t>BAT-0301</t>
  </si>
  <si>
    <t>BAT-0302</t>
  </si>
  <si>
    <t>2025-10-29</t>
  </si>
  <si>
    <t>BAT-0303</t>
  </si>
  <si>
    <t>2025-01-04</t>
  </si>
  <si>
    <t>BAT-0304</t>
  </si>
  <si>
    <t>BAT-0305</t>
  </si>
  <si>
    <t>BAT-0306</t>
  </si>
  <si>
    <t>BAT-0307</t>
  </si>
  <si>
    <t>BAT-0308</t>
  </si>
  <si>
    <t>BAT-0309</t>
  </si>
  <si>
    <t>2025-04-26</t>
  </si>
  <si>
    <t>BAT-0310</t>
  </si>
  <si>
    <t>2025-02-09</t>
  </si>
  <si>
    <t>BAT-0311</t>
  </si>
  <si>
    <t>BAT-0312</t>
  </si>
  <si>
    <t>2025-09-03</t>
  </si>
  <si>
    <t>BAT-0313</t>
  </si>
  <si>
    <t>BAT-0314</t>
  </si>
  <si>
    <t>BAT-0315</t>
  </si>
  <si>
    <t>BAT-0316</t>
  </si>
  <si>
    <t>2025-08-29</t>
  </si>
  <si>
    <t>BAT-0317</t>
  </si>
  <si>
    <t>2025-09-24</t>
  </si>
  <si>
    <t>BAT-0318</t>
  </si>
  <si>
    <t>2025-09-23</t>
  </si>
  <si>
    <t>BAT-0319</t>
  </si>
  <si>
    <t>BAT-0320</t>
  </si>
  <si>
    <t>BAT-0321</t>
  </si>
  <si>
    <t>BAT-0322</t>
  </si>
  <si>
    <t>BAT-0323</t>
  </si>
  <si>
    <t>2025-08-13</t>
  </si>
  <si>
    <t>BAT-0324</t>
  </si>
  <si>
    <t>BAT-0325</t>
  </si>
  <si>
    <t>2025-12-22</t>
  </si>
  <si>
    <t>BAT-0326</t>
  </si>
  <si>
    <t>2025-03-26</t>
  </si>
  <si>
    <t>BAT-0327</t>
  </si>
  <si>
    <t>2025-03-28</t>
  </si>
  <si>
    <t>BAT-0328</t>
  </si>
  <si>
    <t>BAT-0329</t>
  </si>
  <si>
    <t>BAT-0330</t>
  </si>
  <si>
    <t>BAT-0331</t>
  </si>
  <si>
    <t>BAT-0332</t>
  </si>
  <si>
    <t>BAT-0333</t>
  </si>
  <si>
    <t>2025-04-24</t>
  </si>
  <si>
    <t>BAT-0334</t>
  </si>
  <si>
    <t>BAT-0335</t>
  </si>
  <si>
    <t>Mombasa plant</t>
  </si>
  <si>
    <t>BAT-0336</t>
  </si>
  <si>
    <t>BAT-0337</t>
  </si>
  <si>
    <t>BAT-0338</t>
  </si>
  <si>
    <t>BAT-0339</t>
  </si>
  <si>
    <t>BAT-0340</t>
  </si>
  <si>
    <t>2025-12-14</t>
  </si>
  <si>
    <t>BAT-0341</t>
  </si>
  <si>
    <t>BAT-0342</t>
  </si>
  <si>
    <t>2025-04-17</t>
  </si>
  <si>
    <t>BAT-0343</t>
  </si>
  <si>
    <t>2025-08-15</t>
  </si>
  <si>
    <t>BAT-0344</t>
  </si>
  <si>
    <t>BAT-0345</t>
  </si>
  <si>
    <t>BAT-0346</t>
  </si>
  <si>
    <t>2025-04-04</t>
  </si>
  <si>
    <t>BAT-0347</t>
  </si>
  <si>
    <t>BAT-0348</t>
  </si>
  <si>
    <t>2025-12-08</t>
  </si>
  <si>
    <t>BAT-0349</t>
  </si>
  <si>
    <t>BAT-0350</t>
  </si>
  <si>
    <t>BAT-0351</t>
  </si>
  <si>
    <t>2025-07-14</t>
  </si>
  <si>
    <t>BAT-0352</t>
  </si>
  <si>
    <t>2025-01-17</t>
  </si>
  <si>
    <t>BAT-0353</t>
  </si>
  <si>
    <t>BAT-0354</t>
  </si>
  <si>
    <t>BAT-0355</t>
  </si>
  <si>
    <t>BAT-0356</t>
  </si>
  <si>
    <t>BAT-0357</t>
  </si>
  <si>
    <t>BAT-0358</t>
  </si>
  <si>
    <t>BAT-0359</t>
  </si>
  <si>
    <t>BAT-0360</t>
  </si>
  <si>
    <t>2025-10-01</t>
  </si>
  <si>
    <t>BAT-0361</t>
  </si>
  <si>
    <t>2025-11-05</t>
  </si>
  <si>
    <t>BAT-0362</t>
  </si>
  <si>
    <t>BAT-0363</t>
  </si>
  <si>
    <t>2025-03-23</t>
  </si>
  <si>
    <t>BAT-0364</t>
  </si>
  <si>
    <t>2025-11-23</t>
  </si>
  <si>
    <t>BAT-0365</t>
  </si>
  <si>
    <t>2025-02-12</t>
  </si>
  <si>
    <t>BAT-0366</t>
  </si>
  <si>
    <t>2025-07-09</t>
  </si>
  <si>
    <t>BAT-0367</t>
  </si>
  <si>
    <t>BAT-0368</t>
  </si>
  <si>
    <t>BAT-0369</t>
  </si>
  <si>
    <t>BAT-0370</t>
  </si>
  <si>
    <t>BAT-0371</t>
  </si>
  <si>
    <t>BAT-0372</t>
  </si>
  <si>
    <t>BAT-0373</t>
  </si>
  <si>
    <t>BAT-0374</t>
  </si>
  <si>
    <t>2025-05-17</t>
  </si>
  <si>
    <t>BAT-0375</t>
  </si>
  <si>
    <t>2025-11-20</t>
  </si>
  <si>
    <t>BAT-0376</t>
  </si>
  <si>
    <t>BAT-0377</t>
  </si>
  <si>
    <t>BAT-0378</t>
  </si>
  <si>
    <t>2025-09-30</t>
  </si>
  <si>
    <t>BAT-0379</t>
  </si>
  <si>
    <t>2025-05-19</t>
  </si>
  <si>
    <t>BAT-0380</t>
  </si>
  <si>
    <t>BAT-0381</t>
  </si>
  <si>
    <t>2025-01-02</t>
  </si>
  <si>
    <t>BAT-0382</t>
  </si>
  <si>
    <t>BAT-0383</t>
  </si>
  <si>
    <t>2025-12-12</t>
  </si>
  <si>
    <t>BAT-0384</t>
  </si>
  <si>
    <t>BAT-0385</t>
  </si>
  <si>
    <t>BAT-0386</t>
  </si>
  <si>
    <t>2025-02-14</t>
  </si>
  <si>
    <t>BAT-0387</t>
  </si>
  <si>
    <t>BAT-0388</t>
  </si>
  <si>
    <t>BAT-0389</t>
  </si>
  <si>
    <t>BAT-0390</t>
  </si>
  <si>
    <t>BAT-0391</t>
  </si>
  <si>
    <t>BAT-0392</t>
  </si>
  <si>
    <t>BAT-0393</t>
  </si>
  <si>
    <t>2025-05-15</t>
  </si>
  <si>
    <t>BAT-0394</t>
  </si>
  <si>
    <t>2025-08-07</t>
  </si>
  <si>
    <t>BAT-0395</t>
  </si>
  <si>
    <t>BAT-0396</t>
  </si>
  <si>
    <t>2025-11-16</t>
  </si>
  <si>
    <t>BAT-0397</t>
  </si>
  <si>
    <t>BAT-0398</t>
  </si>
  <si>
    <t>BAT-0399</t>
  </si>
  <si>
    <t>BAT-0400</t>
  </si>
  <si>
    <t>BAT-0401</t>
  </si>
  <si>
    <t>2025-12-31</t>
  </si>
  <si>
    <t>BAT-0402</t>
  </si>
  <si>
    <t>2025-10-11</t>
  </si>
  <si>
    <t>BAT-0403</t>
  </si>
  <si>
    <t>2025-04-27</t>
  </si>
  <si>
    <t>BAT-0404</t>
  </si>
  <si>
    <t>BAT-0405</t>
  </si>
  <si>
    <t>BAT-0406</t>
  </si>
  <si>
    <t>BAT-0407</t>
  </si>
  <si>
    <t>BAT-0408</t>
  </si>
  <si>
    <t>BAT-0409</t>
  </si>
  <si>
    <t>BAT-0410</t>
  </si>
  <si>
    <t>2025-01-06</t>
  </si>
  <si>
    <t>BAT-0411</t>
  </si>
  <si>
    <t>BAT-0412</t>
  </si>
  <si>
    <t>2025-03-25</t>
  </si>
  <si>
    <t>BAT-0413</t>
  </si>
  <si>
    <t>BAT-0414</t>
  </si>
  <si>
    <t>2025-02-18</t>
  </si>
  <si>
    <t>BAT-0415</t>
  </si>
  <si>
    <t>2025-01-07</t>
  </si>
  <si>
    <t>BAT-0416</t>
  </si>
  <si>
    <t>BAT-0417</t>
  </si>
  <si>
    <t>BAT-0418</t>
  </si>
  <si>
    <t>BAT-0419</t>
  </si>
  <si>
    <t>2025-04-19</t>
  </si>
  <si>
    <t>BAT-0420</t>
  </si>
  <si>
    <t>BAT-0421</t>
  </si>
  <si>
    <t>BAT-0422</t>
  </si>
  <si>
    <t>2025-09-11</t>
  </si>
  <si>
    <t>BAT-0423</t>
  </si>
  <si>
    <t>BAT-0424</t>
  </si>
  <si>
    <t>BAT-0425</t>
  </si>
  <si>
    <t>BAT-0426</t>
  </si>
  <si>
    <t>BAT-0427</t>
  </si>
  <si>
    <t>2025-11-12</t>
  </si>
  <si>
    <t>BAT-0428</t>
  </si>
  <si>
    <t>BAT-0429</t>
  </si>
  <si>
    <t>2025-01-10</t>
  </si>
  <si>
    <t>BAT-0430</t>
  </si>
  <si>
    <t>BAT-0431</t>
  </si>
  <si>
    <t>BAT-0432</t>
  </si>
  <si>
    <t>2025-09-27</t>
  </si>
  <si>
    <t>BAT-0433</t>
  </si>
  <si>
    <t>BAT-0434</t>
  </si>
  <si>
    <t>BAT-0435</t>
  </si>
  <si>
    <t>BAT-0436</t>
  </si>
  <si>
    <t>2025-02-15</t>
  </si>
  <si>
    <t>BAT-0437</t>
  </si>
  <si>
    <t>BAT-0438</t>
  </si>
  <si>
    <t>BAT-0439</t>
  </si>
  <si>
    <t>2025-01-30</t>
  </si>
  <si>
    <t>BAT-0440</t>
  </si>
  <si>
    <t>2025-05-26</t>
  </si>
  <si>
    <t>BAT-0441</t>
  </si>
  <si>
    <t>BAT-0442</t>
  </si>
  <si>
    <t>BAT-0443</t>
  </si>
  <si>
    <t>BAT-0444</t>
  </si>
  <si>
    <t>2025-06-28</t>
  </si>
  <si>
    <t>BAT-0445</t>
  </si>
  <si>
    <t>2025-07-05</t>
  </si>
  <si>
    <t>BAT-0446</t>
  </si>
  <si>
    <t>BAT-0447</t>
  </si>
  <si>
    <t>BAT-0448</t>
  </si>
  <si>
    <t>BAT-0449</t>
  </si>
  <si>
    <t>BAT-0450</t>
  </si>
  <si>
    <t>2025-04-15</t>
  </si>
  <si>
    <t>BAT-0451</t>
  </si>
  <si>
    <t>BAT-0452</t>
  </si>
  <si>
    <t>BAT-0453</t>
  </si>
  <si>
    <t>BAT-0454</t>
  </si>
  <si>
    <t>BAT-0455</t>
  </si>
  <si>
    <t>2025-08-06</t>
  </si>
  <si>
    <t>BAT-0456</t>
  </si>
  <si>
    <t>BAT-0457</t>
  </si>
  <si>
    <t>2025-02-24</t>
  </si>
  <si>
    <t>BAT-0458</t>
  </si>
  <si>
    <t>BAT-0459</t>
  </si>
  <si>
    <t>BAT-0460</t>
  </si>
  <si>
    <t>BAT-0461</t>
  </si>
  <si>
    <t>2025-09-22</t>
  </si>
  <si>
    <t>BAT-0462</t>
  </si>
  <si>
    <t>BAT-0463</t>
  </si>
  <si>
    <t>BAT-0464</t>
  </si>
  <si>
    <t>BAT-0465</t>
  </si>
  <si>
    <t>BAT-0466</t>
  </si>
  <si>
    <t>2025-12-19</t>
  </si>
  <si>
    <t>BAT-0467</t>
  </si>
  <si>
    <t>BAT-0468</t>
  </si>
  <si>
    <t>BAT-0469</t>
  </si>
  <si>
    <t>BAT-0470</t>
  </si>
  <si>
    <t>2025-12-07</t>
  </si>
  <si>
    <t>BAT-0471</t>
  </si>
  <si>
    <t>BAT-0472</t>
  </si>
  <si>
    <t>BAT-0473</t>
  </si>
  <si>
    <t>BAT-0474</t>
  </si>
  <si>
    <t>BAT-0475</t>
  </si>
  <si>
    <t>BAT-0476</t>
  </si>
  <si>
    <t>BAT-0477</t>
  </si>
  <si>
    <t>2025-11-06</t>
  </si>
  <si>
    <t>BAT-0478</t>
  </si>
  <si>
    <t>BAT-0479</t>
  </si>
  <si>
    <t>BAT-0480</t>
  </si>
  <si>
    <t>BAT-0481</t>
  </si>
  <si>
    <t>BAT-0482</t>
  </si>
  <si>
    <t>BAT-0483</t>
  </si>
  <si>
    <t>2025-04-02</t>
  </si>
  <si>
    <t>BAT-0484</t>
  </si>
  <si>
    <t>BAT-0485</t>
  </si>
  <si>
    <t>BAT-0486</t>
  </si>
  <si>
    <t>BAT-0487</t>
  </si>
  <si>
    <t>BAT-0488</t>
  </si>
  <si>
    <t>2025-07-13</t>
  </si>
  <si>
    <t>BAT-0489</t>
  </si>
  <si>
    <t>BAT-0490</t>
  </si>
  <si>
    <t>BAT-0491</t>
  </si>
  <si>
    <t>BAT-0492</t>
  </si>
  <si>
    <t>2025-11-13</t>
  </si>
  <si>
    <t>BAT-0493</t>
  </si>
  <si>
    <t>2025-10-02</t>
  </si>
  <si>
    <t>BAT-0494</t>
  </si>
  <si>
    <t>BAT-0495</t>
  </si>
  <si>
    <t>BAT-0496</t>
  </si>
  <si>
    <t>2025-05-31</t>
  </si>
  <si>
    <t>BAT-0497</t>
  </si>
  <si>
    <t>BAT-0498</t>
  </si>
  <si>
    <t>BAT-0499</t>
  </si>
  <si>
    <t>BAT-0500</t>
  </si>
  <si>
    <t>2025-06-05</t>
  </si>
  <si>
    <t>BAT-0501</t>
  </si>
  <si>
    <t>BAT-0502</t>
  </si>
  <si>
    <t>BAT-0503</t>
  </si>
  <si>
    <t>BAT-0504</t>
  </si>
  <si>
    <t>BAT-0505</t>
  </si>
  <si>
    <t>BAT-0506</t>
  </si>
  <si>
    <t>2025-06-15</t>
  </si>
  <si>
    <t>BAT-0507</t>
  </si>
  <si>
    <t>BAT-0508</t>
  </si>
  <si>
    <t>2025-04-01</t>
  </si>
  <si>
    <t>BAT-0509</t>
  </si>
  <si>
    <t>2025-04-09</t>
  </si>
  <si>
    <t>BAT-0510</t>
  </si>
  <si>
    <t>BAT-0511</t>
  </si>
  <si>
    <t>BAT-0512</t>
  </si>
  <si>
    <t>BAT-0513</t>
  </si>
  <si>
    <t>BAT-0514</t>
  </si>
  <si>
    <t>2025-10-26</t>
  </si>
  <si>
    <t>BAT-0515</t>
  </si>
  <si>
    <t>BAT-0516</t>
  </si>
  <si>
    <t>BAT-0517</t>
  </si>
  <si>
    <t>2025-11-18</t>
  </si>
  <si>
    <t>BAT-0518</t>
  </si>
  <si>
    <t>BAT-0519</t>
  </si>
  <si>
    <t>BAT-0520</t>
  </si>
  <si>
    <t>2025-08-05</t>
  </si>
  <si>
    <t>BAT-0521</t>
  </si>
  <si>
    <t>2025-05-11</t>
  </si>
  <si>
    <t>BAT-0522</t>
  </si>
  <si>
    <t>2025-02-23</t>
  </si>
  <si>
    <t>BAT-0523</t>
  </si>
  <si>
    <t>2025-03-12</t>
  </si>
  <si>
    <t>BAT-0524</t>
  </si>
  <si>
    <t>BAT-0525</t>
  </si>
  <si>
    <t>BAT-0526</t>
  </si>
  <si>
    <t>BAT-0527</t>
  </si>
  <si>
    <t>BAT-0528</t>
  </si>
  <si>
    <t>BAT-0529</t>
  </si>
  <si>
    <t>BAT-0530</t>
  </si>
  <si>
    <t>BAT-0531</t>
  </si>
  <si>
    <t>BAT-0532</t>
  </si>
  <si>
    <t>BAT-0533</t>
  </si>
  <si>
    <t>BAT-0534</t>
  </si>
  <si>
    <t>BAT-0535</t>
  </si>
  <si>
    <t>2025-07-30</t>
  </si>
  <si>
    <t>BAT-0536</t>
  </si>
  <si>
    <t>BAT-0537</t>
  </si>
  <si>
    <t>BAT-0538</t>
  </si>
  <si>
    <t>BAT-0539</t>
  </si>
  <si>
    <t>BAT-0540</t>
  </si>
  <si>
    <t>BAT-0541</t>
  </si>
  <si>
    <t>2025-09-16</t>
  </si>
  <si>
    <t>BAT-0542</t>
  </si>
  <si>
    <t>2025-01-21</t>
  </si>
  <si>
    <t>BAT-0543</t>
  </si>
  <si>
    <t>BAT-0544</t>
  </si>
  <si>
    <t>BAT-0545</t>
  </si>
  <si>
    <t>BAT-0546</t>
  </si>
  <si>
    <t>2025-01-20</t>
  </si>
  <si>
    <t>BAT-0547</t>
  </si>
  <si>
    <t>2025-06-06</t>
  </si>
  <si>
    <t>BAT-0548</t>
  </si>
  <si>
    <t>BAT-0549</t>
  </si>
  <si>
    <t>2025-07-08</t>
  </si>
  <si>
    <t>BAT-0550</t>
  </si>
  <si>
    <t>2025-09-06</t>
  </si>
  <si>
    <t>BAT-0551</t>
  </si>
  <si>
    <t>BAT-0552</t>
  </si>
  <si>
    <t>2025-05-24</t>
  </si>
  <si>
    <t>BAT-0553</t>
  </si>
  <si>
    <t>BAT-0554</t>
  </si>
  <si>
    <t>BAT-0555</t>
  </si>
  <si>
    <t>2025-12-26</t>
  </si>
  <si>
    <t>BAT-0556</t>
  </si>
  <si>
    <t>BAT-0557</t>
  </si>
  <si>
    <t>BAT-0558</t>
  </si>
  <si>
    <t>BAT-0559</t>
  </si>
  <si>
    <t>BAT-0560</t>
  </si>
  <si>
    <t>BAT-0561</t>
  </si>
  <si>
    <t>2025-07-15</t>
  </si>
  <si>
    <t>BAT-0562</t>
  </si>
  <si>
    <t>BAT-0563</t>
  </si>
  <si>
    <t>BAT-0564</t>
  </si>
  <si>
    <t>BAT-0565</t>
  </si>
  <si>
    <t>BAT-0566</t>
  </si>
  <si>
    <t>BAT-0567</t>
  </si>
  <si>
    <t>BAT-0568</t>
  </si>
  <si>
    <t>BAT-0569</t>
  </si>
  <si>
    <t>2025-08-23</t>
  </si>
  <si>
    <t>BAT-0570</t>
  </si>
  <si>
    <t>BAT-0571</t>
  </si>
  <si>
    <t>2025-12-13</t>
  </si>
  <si>
    <t>BAT-0572</t>
  </si>
  <si>
    <t>BAT-0573</t>
  </si>
  <si>
    <t>BAT-0574</t>
  </si>
  <si>
    <t>2025-01-18</t>
  </si>
  <si>
    <t>BAT-0575</t>
  </si>
  <si>
    <t>BAT-0576</t>
  </si>
  <si>
    <t>BAT-0577</t>
  </si>
  <si>
    <t>BAT-0578</t>
  </si>
  <si>
    <t>2025-07-11</t>
  </si>
  <si>
    <t>BAT-0579</t>
  </si>
  <si>
    <t>BAT-0580</t>
  </si>
  <si>
    <t>BAT-0581</t>
  </si>
  <si>
    <t>BAT-0582</t>
  </si>
  <si>
    <t>2025-11-01</t>
  </si>
  <si>
    <t>BAT-0583</t>
  </si>
  <si>
    <t>BAT-0584</t>
  </si>
  <si>
    <t>2025-01-19</t>
  </si>
  <si>
    <t>BAT-0585</t>
  </si>
  <si>
    <t>2025-05-28</t>
  </si>
  <si>
    <t>BAT-0586</t>
  </si>
  <si>
    <t>BAT-0587</t>
  </si>
  <si>
    <t>2025-09-09</t>
  </si>
  <si>
    <t>BAT-0588</t>
  </si>
  <si>
    <t>2025-02-06</t>
  </si>
  <si>
    <t>BAT-0589</t>
  </si>
  <si>
    <t>2025-11-02</t>
  </si>
  <si>
    <t>BAT-0590</t>
  </si>
  <si>
    <t>BAT-0591</t>
  </si>
  <si>
    <t>2025-10-20</t>
  </si>
  <si>
    <t>BAT-0592</t>
  </si>
  <si>
    <t>BAT-0593</t>
  </si>
  <si>
    <t>BAT-0594</t>
  </si>
  <si>
    <t>2025-12-24</t>
  </si>
  <si>
    <t>BAT-0595</t>
  </si>
  <si>
    <t>BAT-0596</t>
  </si>
  <si>
    <t>BAT-0597</t>
  </si>
  <si>
    <t>BAT-0598</t>
  </si>
  <si>
    <t>BAT-0599</t>
  </si>
  <si>
    <t>BAT-0600</t>
  </si>
  <si>
    <t>Shipment_ID</t>
  </si>
  <si>
    <t>Order_Date</t>
  </si>
  <si>
    <t>Customer</t>
  </si>
  <si>
    <t>Material_Category</t>
  </si>
  <si>
    <t>Dispatch_Depot</t>
  </si>
  <si>
    <t>Vehicle_ID</t>
  </si>
  <si>
    <t>Driver</t>
  </si>
  <si>
    <t>Quantity_Units</t>
  </si>
  <si>
    <t>Unit_Price_KES</t>
  </si>
  <si>
    <t>Order_Value_KES</t>
  </si>
  <si>
    <t>Distance_km</t>
  </si>
  <si>
    <t>Planned_Delivery_Date</t>
  </si>
  <si>
    <t>Actual_Delivery_Date</t>
  </si>
  <si>
    <t>Delivery_Status</t>
  </si>
  <si>
    <t>Transport_Cost_KES</t>
  </si>
  <si>
    <t>SHP-00001</t>
  </si>
  <si>
    <t>UrbanWorks Contractors</t>
  </si>
  <si>
    <t>Nairobi Depot</t>
  </si>
  <si>
    <t>TRK-026</t>
  </si>
  <si>
    <t>P. Maina</t>
  </si>
  <si>
    <t>Late</t>
  </si>
  <si>
    <t>SHP-00002</t>
  </si>
  <si>
    <t>Lake Region Water Services</t>
  </si>
  <si>
    <t>Industrial Cleaning Supplies</t>
  </si>
  <si>
    <t>Eldoret Depot</t>
  </si>
  <si>
    <t>TRK-013</t>
  </si>
  <si>
    <t>K. Barasa</t>
  </si>
  <si>
    <t>On Time</t>
  </si>
  <si>
    <t>SHP-00003</t>
  </si>
  <si>
    <t>Metro Packaging Ltd</t>
  </si>
  <si>
    <t>SHP-00004</t>
  </si>
  <si>
    <t>2025-01-15</t>
  </si>
  <si>
    <t>Nakuru Depot</t>
  </si>
  <si>
    <t>TRK-025</t>
  </si>
  <si>
    <t>M. Otieno</t>
  </si>
  <si>
    <t>SHP-00005</t>
  </si>
  <si>
    <t>Rift Valley Manufacturing</t>
  </si>
  <si>
    <t>TRK-012</t>
  </si>
  <si>
    <t>S. Chebet</t>
  </si>
  <si>
    <t>2025-03-17</t>
  </si>
  <si>
    <t>SHP-00006</t>
  </si>
  <si>
    <t>Mombasa Depot</t>
  </si>
  <si>
    <t>TRK-009</t>
  </si>
  <si>
    <t>D. Said</t>
  </si>
  <si>
    <t>SHP-00007</t>
  </si>
  <si>
    <t>Highland Agro Processors</t>
  </si>
  <si>
    <t>TRK-020</t>
  </si>
  <si>
    <t>SHP-00008</t>
  </si>
  <si>
    <t>Packaging Materials</t>
  </si>
  <si>
    <t>TRK-028</t>
  </si>
  <si>
    <t>SHP-00009</t>
  </si>
  <si>
    <t>Maintenance Parts</t>
  </si>
  <si>
    <t>TRK-030</t>
  </si>
  <si>
    <t>B. Kiprono</t>
  </si>
  <si>
    <t>SHP-00010</t>
  </si>
  <si>
    <t>TRK-011</t>
  </si>
  <si>
    <t>SHP-00011</t>
  </si>
  <si>
    <t>TRK-006</t>
  </si>
  <si>
    <t>SHP-00012</t>
  </si>
  <si>
    <t>TRK-014</t>
  </si>
  <si>
    <t>SHP-00013</t>
  </si>
  <si>
    <t>A. Hassan</t>
  </si>
  <si>
    <t>SHP-00014</t>
  </si>
  <si>
    <t>2025-07-16</t>
  </si>
  <si>
    <t>BlueWave Facilities</t>
  </si>
  <si>
    <t>TRK-018</t>
  </si>
  <si>
    <t>2025-07-20</t>
  </si>
  <si>
    <t>SHP-00015</t>
  </si>
  <si>
    <t>2025-07-25</t>
  </si>
  <si>
    <t>SHP-00016</t>
  </si>
  <si>
    <t>SHP-00017</t>
  </si>
  <si>
    <t>2025-12-06</t>
  </si>
  <si>
    <t>CoastBuild Ltd</t>
  </si>
  <si>
    <t>TRK-007</t>
  </si>
  <si>
    <t>SHP-00018</t>
  </si>
  <si>
    <t>SHP-00019</t>
  </si>
  <si>
    <t>TRK-019</t>
  </si>
  <si>
    <t>2025-12-11</t>
  </si>
  <si>
    <t>SHP-00020</t>
  </si>
  <si>
    <t>L. Wekesa</t>
  </si>
  <si>
    <t>SHP-00021</t>
  </si>
  <si>
    <t>2025-07-03</t>
  </si>
  <si>
    <t>Eastern Industrial Supplies</t>
  </si>
  <si>
    <t>SHP-00022</t>
  </si>
  <si>
    <t>E. Achieng</t>
  </si>
  <si>
    <t>SHP-00023</t>
  </si>
  <si>
    <t>SHP-00024</t>
  </si>
  <si>
    <t>TRK-024</t>
  </si>
  <si>
    <t>2025-10-16</t>
  </si>
  <si>
    <t>SHP-00025</t>
  </si>
  <si>
    <t>SHP-00026</t>
  </si>
  <si>
    <t>SHP-00027</t>
  </si>
  <si>
    <t>SHP-00028</t>
  </si>
  <si>
    <t>2025-02-27</t>
  </si>
  <si>
    <t>SHP-00029</t>
  </si>
  <si>
    <t>J. Mutua</t>
  </si>
  <si>
    <t>SHP-00030</t>
  </si>
  <si>
    <t>TRK-010</t>
  </si>
  <si>
    <t>SHP-00031</t>
  </si>
  <si>
    <t>TRK-005</t>
  </si>
  <si>
    <t>SHP-00032</t>
  </si>
  <si>
    <t>TRK-023</t>
  </si>
  <si>
    <t>SHP-00033</t>
  </si>
  <si>
    <t>TRK-027</t>
  </si>
  <si>
    <t>SHP-00034</t>
  </si>
  <si>
    <t>SHP-00035</t>
  </si>
  <si>
    <t>TRK-003</t>
  </si>
  <si>
    <t>SHP-00036</t>
  </si>
  <si>
    <t>SHP-00037</t>
  </si>
  <si>
    <t>2025-11-14</t>
  </si>
  <si>
    <t>2025-11-15</t>
  </si>
  <si>
    <t>SHP-00038</t>
  </si>
  <si>
    <t>TRK-021</t>
  </si>
  <si>
    <t>SHP-00039</t>
  </si>
  <si>
    <t>SHP-00040</t>
  </si>
  <si>
    <t>SHP-00041</t>
  </si>
  <si>
    <t>2025-10-19</t>
  </si>
  <si>
    <t>SHP-00042</t>
  </si>
  <si>
    <t>TRK-002</t>
  </si>
  <si>
    <t>SHP-00043</t>
  </si>
  <si>
    <t>2025-08-14</t>
  </si>
  <si>
    <t>2025-08-16</t>
  </si>
  <si>
    <t>SHP-00044</t>
  </si>
  <si>
    <t>SHP-00045</t>
  </si>
  <si>
    <t>2025-09-04</t>
  </si>
  <si>
    <t>SHP-00046</t>
  </si>
  <si>
    <t>SHP-00047</t>
  </si>
  <si>
    <t>SHP-00048</t>
  </si>
  <si>
    <t>SHP-00049</t>
  </si>
  <si>
    <t>TRK-016</t>
  </si>
  <si>
    <t>2025-05-08</t>
  </si>
  <si>
    <t>SHP-00050</t>
  </si>
  <si>
    <t>2025-08-25</t>
  </si>
  <si>
    <t>TRK-017</t>
  </si>
  <si>
    <t>SHP-00051</t>
  </si>
  <si>
    <t>2025-12-27</t>
  </si>
  <si>
    <t>SHP-00052</t>
  </si>
  <si>
    <t>SHP-00053</t>
  </si>
  <si>
    <t>SHP-00054</t>
  </si>
  <si>
    <t>TRK-029</t>
  </si>
  <si>
    <t>SHP-00055</t>
  </si>
  <si>
    <t>SHP-00056</t>
  </si>
  <si>
    <t>2025-11-17</t>
  </si>
  <si>
    <t>SHP-00057</t>
  </si>
  <si>
    <t>SHP-00058</t>
  </si>
  <si>
    <t>SHP-00059</t>
  </si>
  <si>
    <t>SHP-00060</t>
  </si>
  <si>
    <t>SHP-00061</t>
  </si>
  <si>
    <t>TRK-008</t>
  </si>
  <si>
    <t>SHP-00062</t>
  </si>
  <si>
    <t>SHP-00063</t>
  </si>
  <si>
    <t>SHP-00064</t>
  </si>
  <si>
    <t>SHP-00065</t>
  </si>
  <si>
    <t>2025-03-16</t>
  </si>
  <si>
    <t>SHP-00066</t>
  </si>
  <si>
    <t>2025-06-03</t>
  </si>
  <si>
    <t>SHP-00067</t>
  </si>
  <si>
    <t>SHP-00068</t>
  </si>
  <si>
    <t>2025-05-23</t>
  </si>
  <si>
    <t>TRK-001</t>
  </si>
  <si>
    <t>2025-05-25</t>
  </si>
  <si>
    <t>SHP-00069</t>
  </si>
  <si>
    <t>SHP-00070</t>
  </si>
  <si>
    <t>SHP-00071</t>
  </si>
  <si>
    <t>SHP-00072</t>
  </si>
  <si>
    <t>SHP-00073</t>
  </si>
  <si>
    <t>2025-03-30</t>
  </si>
  <si>
    <t>SHP-00074</t>
  </si>
  <si>
    <t>2025-04-05</t>
  </si>
  <si>
    <t>SHP-00075</t>
  </si>
  <si>
    <t>SHP-00076</t>
  </si>
  <si>
    <t>SHP-00077</t>
  </si>
  <si>
    <t>SHP-00078</t>
  </si>
  <si>
    <t>2025-01-23</t>
  </si>
  <si>
    <t>SHP-00079</t>
  </si>
  <si>
    <t>2025-11-19</t>
  </si>
  <si>
    <t>SHP-00080</t>
  </si>
  <si>
    <t>SHP-00081</t>
  </si>
  <si>
    <t>SHP-00082</t>
  </si>
  <si>
    <t>2025-01-11</t>
  </si>
  <si>
    <t>SHP-00083</t>
  </si>
  <si>
    <t>SHP-00084</t>
  </si>
  <si>
    <t>SHP-00085</t>
  </si>
  <si>
    <t>SHP-00086</t>
  </si>
  <si>
    <t>SHP-00087</t>
  </si>
  <si>
    <t>SHP-00088</t>
  </si>
  <si>
    <t>2025-05-09</t>
  </si>
  <si>
    <t>SHP-00089</t>
  </si>
  <si>
    <t>2025-07-06</t>
  </si>
  <si>
    <t>SHP-00090</t>
  </si>
  <si>
    <t>SHP-00091</t>
  </si>
  <si>
    <t>SHP-00092</t>
  </si>
  <si>
    <t>SHP-00093</t>
  </si>
  <si>
    <t>TRK-015</t>
  </si>
  <si>
    <t>2026-01-01</t>
  </si>
  <si>
    <t>2026-01-03</t>
  </si>
  <si>
    <t>SHP-00094</t>
  </si>
  <si>
    <t>SHP-00095</t>
  </si>
  <si>
    <t>2025-03-09</t>
  </si>
  <si>
    <t>SHP-00096</t>
  </si>
  <si>
    <t>SHP-00097</t>
  </si>
  <si>
    <t>SHP-00098</t>
  </si>
  <si>
    <t>SHP-00099</t>
  </si>
  <si>
    <t>SHP-00100</t>
  </si>
  <si>
    <t>SHP-00101</t>
  </si>
  <si>
    <t>2025-08-08</t>
  </si>
  <si>
    <t>SHP-00102</t>
  </si>
  <si>
    <t>SHP-00103</t>
  </si>
  <si>
    <t>2025-04-30</t>
  </si>
  <si>
    <t>SHP-00104</t>
  </si>
  <si>
    <t>SHP-00105</t>
  </si>
  <si>
    <t>SHP-00106</t>
  </si>
  <si>
    <t>SHP-00107</t>
  </si>
  <si>
    <t>TRK-004</t>
  </si>
  <si>
    <t>SHP-00108</t>
  </si>
  <si>
    <t>2025-04-03</t>
  </si>
  <si>
    <t>SHP-00109</t>
  </si>
  <si>
    <t>SHP-00110</t>
  </si>
  <si>
    <t>SHP-00111</t>
  </si>
  <si>
    <t>SHP-00112</t>
  </si>
  <si>
    <t>SHP-00113</t>
  </si>
  <si>
    <t>SHP-00114</t>
  </si>
  <si>
    <t>SHP-00115</t>
  </si>
  <si>
    <t>SHP-00116</t>
  </si>
  <si>
    <t>SHP-00117</t>
  </si>
  <si>
    <t>SHP-00118</t>
  </si>
  <si>
    <t>SHP-00119</t>
  </si>
  <si>
    <t>2025-12-02</t>
  </si>
  <si>
    <t>SHP-00120</t>
  </si>
  <si>
    <t>SHP-00121</t>
  </si>
  <si>
    <t>SHP-00122</t>
  </si>
  <si>
    <t>SHP-00123</t>
  </si>
  <si>
    <t>SHP-00124</t>
  </si>
  <si>
    <t>SHP-00125</t>
  </si>
  <si>
    <t>SHP-00126</t>
  </si>
  <si>
    <t>2025-11-11</t>
  </si>
  <si>
    <t>SHP-00127</t>
  </si>
  <si>
    <t>SHP-00128</t>
  </si>
  <si>
    <t>2025-09-25</t>
  </si>
  <si>
    <t>SHP-00129</t>
  </si>
  <si>
    <t>SHP-00130</t>
  </si>
  <si>
    <t>SHP-00131</t>
  </si>
  <si>
    <t>SHP-00132</t>
  </si>
  <si>
    <t>SHP-00133</t>
  </si>
  <si>
    <t>SHP-00134</t>
  </si>
  <si>
    <t>2025-03-18</t>
  </si>
  <si>
    <t>2025-03-21</t>
  </si>
  <si>
    <t>SHP-00135</t>
  </si>
  <si>
    <t>2025-05-18</t>
  </si>
  <si>
    <t>SHP-00136</t>
  </si>
  <si>
    <t>SHP-00137</t>
  </si>
  <si>
    <t>SHP-00138</t>
  </si>
  <si>
    <t>2025-10-03</t>
  </si>
  <si>
    <t>SHP-00139</t>
  </si>
  <si>
    <t>SHP-00140</t>
  </si>
  <si>
    <t>SHP-00141</t>
  </si>
  <si>
    <t>SHP-00142</t>
  </si>
  <si>
    <t>SHP-00143</t>
  </si>
  <si>
    <t>SHP-00144</t>
  </si>
  <si>
    <t>2025-10-24</t>
  </si>
  <si>
    <t>SHP-00145</t>
  </si>
  <si>
    <t>SHP-00146</t>
  </si>
  <si>
    <t>SHP-00147</t>
  </si>
  <si>
    <t>SHP-00148</t>
  </si>
  <si>
    <t>SHP-00149</t>
  </si>
  <si>
    <t>SHP-00150</t>
  </si>
  <si>
    <t>SHP-00151</t>
  </si>
  <si>
    <t>SHP-00152</t>
  </si>
  <si>
    <t>2025-09-18</t>
  </si>
  <si>
    <t>SHP-00153</t>
  </si>
  <si>
    <t>SHP-00154</t>
  </si>
  <si>
    <t>2025-05-05</t>
  </si>
  <si>
    <t>SHP-00155</t>
  </si>
  <si>
    <t>SHP-00156</t>
  </si>
  <si>
    <t>SHP-00157</t>
  </si>
  <si>
    <t>SHP-00158</t>
  </si>
  <si>
    <t>SHP-00159</t>
  </si>
  <si>
    <t>SHP-00160</t>
  </si>
  <si>
    <t>SHP-00161</t>
  </si>
  <si>
    <t>SHP-00162</t>
  </si>
  <si>
    <t>SHP-00163</t>
  </si>
  <si>
    <t>SHP-00164</t>
  </si>
  <si>
    <t>TRK-022</t>
  </si>
  <si>
    <t>SHP-00165</t>
  </si>
  <si>
    <t>SHP-00166</t>
  </si>
  <si>
    <t>SHP-00167</t>
  </si>
  <si>
    <t>SHP-00168</t>
  </si>
  <si>
    <t>2025-02-20</t>
  </si>
  <si>
    <t>SHP-00169</t>
  </si>
  <si>
    <t>SHP-00170</t>
  </si>
  <si>
    <t>SHP-00171</t>
  </si>
  <si>
    <t>SHP-00172</t>
  </si>
  <si>
    <t>SHP-00173</t>
  </si>
  <si>
    <t>SHP-00174</t>
  </si>
  <si>
    <t>2025-03-01</t>
  </si>
  <si>
    <t>SHP-00175</t>
  </si>
  <si>
    <t>SHP-00176</t>
  </si>
  <si>
    <t>SHP-00177</t>
  </si>
  <si>
    <t>SHP-00178</t>
  </si>
  <si>
    <t>SHP-00179</t>
  </si>
  <si>
    <t>SHP-00180</t>
  </si>
  <si>
    <t>SHP-00181</t>
  </si>
  <si>
    <t>2025-09-17</t>
  </si>
  <si>
    <t>SHP-00182</t>
  </si>
  <si>
    <t>SHP-00183</t>
  </si>
  <si>
    <t>SHP-00184</t>
  </si>
  <si>
    <t>2025-06-25</t>
  </si>
  <si>
    <t>SHP-00185</t>
  </si>
  <si>
    <t>SHP-00186</t>
  </si>
  <si>
    <t>SHP-00187</t>
  </si>
  <si>
    <t>SHP-00188</t>
  </si>
  <si>
    <t>SHP-00189</t>
  </si>
  <si>
    <t>SHP-00190</t>
  </si>
  <si>
    <t>SHP-00191</t>
  </si>
  <si>
    <t>SHP-00192</t>
  </si>
  <si>
    <t>2025-09-10</t>
  </si>
  <si>
    <t>SHP-00193</t>
  </si>
  <si>
    <t>SHP-00194</t>
  </si>
  <si>
    <t>SHP-00195</t>
  </si>
  <si>
    <t>SHP-00196</t>
  </si>
  <si>
    <t>SHP-00197</t>
  </si>
  <si>
    <t>SHP-00198</t>
  </si>
  <si>
    <t>SHP-00199</t>
  </si>
  <si>
    <t>SHP-00200</t>
  </si>
  <si>
    <t>2025-08-22</t>
  </si>
  <si>
    <t>SHP-00201</t>
  </si>
  <si>
    <t>SHP-00202</t>
  </si>
  <si>
    <t>2025-08-11</t>
  </si>
  <si>
    <t>SHP-00203</t>
  </si>
  <si>
    <t>SHP-00204</t>
  </si>
  <si>
    <t>SHP-00205</t>
  </si>
  <si>
    <t>SHP-00206</t>
  </si>
  <si>
    <t>SHP-00207</t>
  </si>
  <si>
    <t>SHP-00208</t>
  </si>
  <si>
    <t>SHP-00209</t>
  </si>
  <si>
    <t>SHP-00210</t>
  </si>
  <si>
    <t>SHP-00211</t>
  </si>
  <si>
    <t>SHP-00212</t>
  </si>
  <si>
    <t>SHP-00213</t>
  </si>
  <si>
    <t>SHP-00214</t>
  </si>
  <si>
    <t>SHP-00215</t>
  </si>
  <si>
    <t>SHP-00216</t>
  </si>
  <si>
    <t>SHP-00217</t>
  </si>
  <si>
    <t>SHP-00218</t>
  </si>
  <si>
    <t>2025-09-28</t>
  </si>
  <si>
    <t>SHP-00219</t>
  </si>
  <si>
    <t>SHP-00220</t>
  </si>
  <si>
    <t>2025-06-24</t>
  </si>
  <si>
    <t>SHP-00221</t>
  </si>
  <si>
    <t>2025-03-19</t>
  </si>
  <si>
    <t>SHP-00222</t>
  </si>
  <si>
    <t>SHP-00223</t>
  </si>
  <si>
    <t>SHP-00224</t>
  </si>
  <si>
    <t>SHP-00225</t>
  </si>
  <si>
    <t>SHP-00226</t>
  </si>
  <si>
    <t>SHP-00227</t>
  </si>
  <si>
    <t>SHP-00228</t>
  </si>
  <si>
    <t>SHP-00229</t>
  </si>
  <si>
    <t>SHP-00230</t>
  </si>
  <si>
    <t>2025-03-03</t>
  </si>
  <si>
    <t>SHP-00231</t>
  </si>
  <si>
    <t>SHP-00232</t>
  </si>
  <si>
    <t>SHP-00233</t>
  </si>
  <si>
    <t>SHP-00234</t>
  </si>
  <si>
    <t>SHP-00235</t>
  </si>
  <si>
    <t>SHP-00236</t>
  </si>
  <si>
    <t>SHP-00237</t>
  </si>
  <si>
    <t>SHP-00238</t>
  </si>
  <si>
    <t>SHP-00239</t>
  </si>
  <si>
    <t>SHP-00240</t>
  </si>
  <si>
    <t>SHP-00241</t>
  </si>
  <si>
    <t>SHP-00242</t>
  </si>
  <si>
    <t>SHP-00243</t>
  </si>
  <si>
    <t>2025-02-19</t>
  </si>
  <si>
    <t>SHP-00244</t>
  </si>
  <si>
    <t>2026-01-05</t>
  </si>
  <si>
    <t>SHP-00245</t>
  </si>
  <si>
    <t>SHP-00246</t>
  </si>
  <si>
    <t>2025-11-29</t>
  </si>
  <si>
    <t>SHP-00247</t>
  </si>
  <si>
    <t>SHP-00248</t>
  </si>
  <si>
    <t>SHP-00249</t>
  </si>
  <si>
    <t>SHP-00250</t>
  </si>
  <si>
    <t>SHP-00251</t>
  </si>
  <si>
    <t>SHP-00252</t>
  </si>
  <si>
    <t>SHP-00253</t>
  </si>
  <si>
    <t>SHP-00254</t>
  </si>
  <si>
    <t>SHP-00255</t>
  </si>
  <si>
    <t>SHP-00256</t>
  </si>
  <si>
    <t>SHP-00257</t>
  </si>
  <si>
    <t>SHP-00258</t>
  </si>
  <si>
    <t>SHP-00259</t>
  </si>
  <si>
    <t>SHP-00260</t>
  </si>
  <si>
    <t>SHP-00261</t>
  </si>
  <si>
    <t>SHP-00262</t>
  </si>
  <si>
    <t>SHP-00263</t>
  </si>
  <si>
    <t>SHP-00264</t>
  </si>
  <si>
    <t>SHP-00265</t>
  </si>
  <si>
    <t>SHP-00266</t>
  </si>
  <si>
    <t>SHP-00267</t>
  </si>
  <si>
    <t>SHP-00268</t>
  </si>
  <si>
    <t>SHP-00269</t>
  </si>
  <si>
    <t>SHP-00270</t>
  </si>
  <si>
    <t>SHP-00271</t>
  </si>
  <si>
    <t>SHP-00272</t>
  </si>
  <si>
    <t>SHP-00273</t>
  </si>
  <si>
    <t>SHP-00274</t>
  </si>
  <si>
    <t>SHP-00275</t>
  </si>
  <si>
    <t>SHP-00276</t>
  </si>
  <si>
    <t>SHP-00277</t>
  </si>
  <si>
    <t>SHP-00278</t>
  </si>
  <si>
    <t>SHP-00279</t>
  </si>
  <si>
    <t>SHP-00280</t>
  </si>
  <si>
    <t>SHP-00281</t>
  </si>
  <si>
    <t>SHP-00282</t>
  </si>
  <si>
    <t>SHP-00283</t>
  </si>
  <si>
    <t>SHP-00284</t>
  </si>
  <si>
    <t>SHP-00285</t>
  </si>
  <si>
    <t>SHP-00286</t>
  </si>
  <si>
    <t>SHP-00287</t>
  </si>
  <si>
    <t>SHP-00288</t>
  </si>
  <si>
    <t>2025-07-21</t>
  </si>
  <si>
    <t>SHP-00289</t>
  </si>
  <si>
    <t>SHP-00290</t>
  </si>
  <si>
    <t>SHP-00291</t>
  </si>
  <si>
    <t>SHP-00292</t>
  </si>
  <si>
    <t>SHP-00293</t>
  </si>
  <si>
    <t>SHP-00294</t>
  </si>
  <si>
    <t>SHP-00295</t>
  </si>
  <si>
    <t>2025-06-04</t>
  </si>
  <si>
    <t>SHP-00296</t>
  </si>
  <si>
    <t>SHP-00297</t>
  </si>
  <si>
    <t>SHP-00298</t>
  </si>
  <si>
    <t>SHP-00299</t>
  </si>
  <si>
    <t>SHP-00300</t>
  </si>
  <si>
    <t>SHP-00301</t>
  </si>
  <si>
    <t>SHP-00302</t>
  </si>
  <si>
    <t>SHP-00303</t>
  </si>
  <si>
    <t>SHP-00304</t>
  </si>
  <si>
    <t>SHP-00305</t>
  </si>
  <si>
    <t>SHP-00306</t>
  </si>
  <si>
    <t>SHP-00307</t>
  </si>
  <si>
    <t>SHP-00308</t>
  </si>
  <si>
    <t>SHP-00309</t>
  </si>
  <si>
    <t>SHP-00310</t>
  </si>
  <si>
    <t>SHP-00311</t>
  </si>
  <si>
    <t>SHP-00312</t>
  </si>
  <si>
    <t>SHP-00313</t>
  </si>
  <si>
    <t>SHP-00314</t>
  </si>
  <si>
    <t>SHP-00315</t>
  </si>
  <si>
    <t>SHP-00316</t>
  </si>
  <si>
    <t>SHP-00317</t>
  </si>
  <si>
    <t>SHP-00318</t>
  </si>
  <si>
    <t>SHP-00319</t>
  </si>
  <si>
    <t>SHP-00320</t>
  </si>
  <si>
    <t>SHP-00321</t>
  </si>
  <si>
    <t>SHP-00322</t>
  </si>
  <si>
    <t>SHP-00323</t>
  </si>
  <si>
    <t>SHP-00324</t>
  </si>
  <si>
    <t>SHP-00325</t>
  </si>
  <si>
    <t>SHP-00326</t>
  </si>
  <si>
    <t>SHP-00327</t>
  </si>
  <si>
    <t>SHP-00328</t>
  </si>
  <si>
    <t>SHP-00329</t>
  </si>
  <si>
    <t>SHP-00330</t>
  </si>
  <si>
    <t>SHP-00331</t>
  </si>
  <si>
    <t>SHP-00332</t>
  </si>
  <si>
    <t>SHP-00333</t>
  </si>
  <si>
    <t>SHP-00334</t>
  </si>
  <si>
    <t>SHP-00335</t>
  </si>
  <si>
    <t>SHP-00336</t>
  </si>
  <si>
    <t>SHP-00337</t>
  </si>
  <si>
    <t>SHP-00338</t>
  </si>
  <si>
    <t>SHP-00339</t>
  </si>
  <si>
    <t>SHP-00340</t>
  </si>
  <si>
    <t>SHP-00341</t>
  </si>
  <si>
    <t>SHP-00342</t>
  </si>
  <si>
    <t>SHP-00343</t>
  </si>
  <si>
    <t>SHP-00344</t>
  </si>
  <si>
    <t>SHP-00345</t>
  </si>
  <si>
    <t>SHP-00346</t>
  </si>
  <si>
    <t>SHP-00347</t>
  </si>
  <si>
    <t>SHP-00348</t>
  </si>
  <si>
    <t>SHP-00349</t>
  </si>
  <si>
    <t>SHP-00350</t>
  </si>
  <si>
    <t>SHP-00351</t>
  </si>
  <si>
    <t>SHP-00352</t>
  </si>
  <si>
    <t>SHP-00353</t>
  </si>
  <si>
    <t>SHP-00354</t>
  </si>
  <si>
    <t>SHP-00355</t>
  </si>
  <si>
    <t>SHP-00356</t>
  </si>
  <si>
    <t>SHP-00357</t>
  </si>
  <si>
    <t>SHP-00358</t>
  </si>
  <si>
    <t>SHP-00359</t>
  </si>
  <si>
    <t>SHP-00360</t>
  </si>
  <si>
    <t>SHP-00361</t>
  </si>
  <si>
    <t>SHP-00362</t>
  </si>
  <si>
    <t>SHP-00363</t>
  </si>
  <si>
    <t>SHP-00364</t>
  </si>
  <si>
    <t>SHP-00365</t>
  </si>
  <si>
    <t>SHP-00366</t>
  </si>
  <si>
    <t>SHP-00367</t>
  </si>
  <si>
    <t>SHP-00368</t>
  </si>
  <si>
    <t>SHP-00369</t>
  </si>
  <si>
    <t>SHP-00370</t>
  </si>
  <si>
    <t>SHP-00371</t>
  </si>
  <si>
    <t>SHP-00372</t>
  </si>
  <si>
    <t>SHP-00373</t>
  </si>
  <si>
    <t>SHP-00374</t>
  </si>
  <si>
    <t>SHP-00375</t>
  </si>
  <si>
    <t>SHP-00376</t>
  </si>
  <si>
    <t>SHP-00377</t>
  </si>
  <si>
    <t>2025-05-12</t>
  </si>
  <si>
    <t>SHP-00378</t>
  </si>
  <si>
    <t>2025-01-05</t>
  </si>
  <si>
    <t>SHP-00379</t>
  </si>
  <si>
    <t>SHP-00380</t>
  </si>
  <si>
    <t>SHP-00381</t>
  </si>
  <si>
    <t>SHP-00382</t>
  </si>
  <si>
    <t>SHP-00383</t>
  </si>
  <si>
    <t>SHP-00384</t>
  </si>
  <si>
    <t>SHP-00385</t>
  </si>
  <si>
    <t>SHP-00386</t>
  </si>
  <si>
    <t>SHP-00387</t>
  </si>
  <si>
    <t>SHP-00388</t>
  </si>
  <si>
    <t>SHP-00389</t>
  </si>
  <si>
    <t>SHP-00390</t>
  </si>
  <si>
    <t>SHP-00391</t>
  </si>
  <si>
    <t>SHP-00392</t>
  </si>
  <si>
    <t>SHP-00393</t>
  </si>
  <si>
    <t>SHP-00394</t>
  </si>
  <si>
    <t>SHP-00395</t>
  </si>
  <si>
    <t>SHP-00396</t>
  </si>
  <si>
    <t>SHP-00397</t>
  </si>
  <si>
    <t>SHP-00398</t>
  </si>
  <si>
    <t>SHP-00399</t>
  </si>
  <si>
    <t>SHP-00400</t>
  </si>
  <si>
    <t>SHP-00401</t>
  </si>
  <si>
    <t>SHP-00402</t>
  </si>
  <si>
    <t>SHP-00403</t>
  </si>
  <si>
    <t>2025-08-28</t>
  </si>
  <si>
    <t>SHP-00404</t>
  </si>
  <si>
    <t>SHP-00405</t>
  </si>
  <si>
    <t>SHP-00406</t>
  </si>
  <si>
    <t>SHP-00407</t>
  </si>
  <si>
    <t>SHP-00408</t>
  </si>
  <si>
    <t>SHP-00409</t>
  </si>
  <si>
    <t>SHP-00410</t>
  </si>
  <si>
    <t>SHP-00411</t>
  </si>
  <si>
    <t>SHP-00412</t>
  </si>
  <si>
    <t>SHP-00413</t>
  </si>
  <si>
    <t>2025-03-22</t>
  </si>
  <si>
    <t>SHP-00414</t>
  </si>
  <si>
    <t>SHP-00415</t>
  </si>
  <si>
    <t>SHP-00416</t>
  </si>
  <si>
    <t>SHP-00417</t>
  </si>
  <si>
    <t>SHP-00418</t>
  </si>
  <si>
    <t>SHP-00419</t>
  </si>
  <si>
    <t>SHP-00420</t>
  </si>
  <si>
    <t>SHP-00421</t>
  </si>
  <si>
    <t>SHP-00422</t>
  </si>
  <si>
    <t>SHP-00423</t>
  </si>
  <si>
    <t>SHP-00424</t>
  </si>
  <si>
    <t>SHP-00425</t>
  </si>
  <si>
    <t>SHP-00426</t>
  </si>
  <si>
    <t>SHP-00427</t>
  </si>
  <si>
    <t>SHP-00428</t>
  </si>
  <si>
    <t>SHP-00429</t>
  </si>
  <si>
    <t>SHP-00430</t>
  </si>
  <si>
    <t>SHP-00431</t>
  </si>
  <si>
    <t>SHP-00432</t>
  </si>
  <si>
    <t>SHP-00433</t>
  </si>
  <si>
    <t>SHP-00434</t>
  </si>
  <si>
    <t>SHP-00435</t>
  </si>
  <si>
    <t>SHP-00436</t>
  </si>
  <si>
    <t>SHP-00437</t>
  </si>
  <si>
    <t>SHP-00438</t>
  </si>
  <si>
    <t>SHP-00439</t>
  </si>
  <si>
    <t>SHP-00440</t>
  </si>
  <si>
    <t>SHP-00441</t>
  </si>
  <si>
    <t>SHP-00442</t>
  </si>
  <si>
    <t>SHP-00443</t>
  </si>
  <si>
    <t>SHP-00444</t>
  </si>
  <si>
    <t>SHP-00445</t>
  </si>
  <si>
    <t>SHP-00446</t>
  </si>
  <si>
    <t>SHP-00447</t>
  </si>
  <si>
    <t>SHP-00448</t>
  </si>
  <si>
    <t>SHP-00449</t>
  </si>
  <si>
    <t>SHP-00450</t>
  </si>
  <si>
    <t>SHP-00451</t>
  </si>
  <si>
    <t>SHP-00452</t>
  </si>
  <si>
    <t>SHP-00453</t>
  </si>
  <si>
    <t>SHP-00454</t>
  </si>
  <si>
    <t>SHP-00455</t>
  </si>
  <si>
    <t>SHP-00456</t>
  </si>
  <si>
    <t>SHP-00457</t>
  </si>
  <si>
    <t>SHP-00458</t>
  </si>
  <si>
    <t>SHP-00459</t>
  </si>
  <si>
    <t>SHP-00460</t>
  </si>
  <si>
    <t>SHP-00461</t>
  </si>
  <si>
    <t>SHP-00462</t>
  </si>
  <si>
    <t>SHP-00463</t>
  </si>
  <si>
    <t>SHP-00464</t>
  </si>
  <si>
    <t>SHP-00465</t>
  </si>
  <si>
    <t>SHP-00466</t>
  </si>
  <si>
    <t>SHP-00467</t>
  </si>
  <si>
    <t>2025-01-26</t>
  </si>
  <si>
    <t>2025-01-27</t>
  </si>
  <si>
    <t>SHP-00468</t>
  </si>
  <si>
    <t>SHP-00469</t>
  </si>
  <si>
    <t>SHP-00470</t>
  </si>
  <si>
    <t>SHP-00471</t>
  </si>
  <si>
    <t>SHP-00472</t>
  </si>
  <si>
    <t>SHP-00473</t>
  </si>
  <si>
    <t>SHP-00474</t>
  </si>
  <si>
    <t>SHP-00475</t>
  </si>
  <si>
    <t>SHP-00476</t>
  </si>
  <si>
    <t>SHP-00477</t>
  </si>
  <si>
    <t>SHP-00478</t>
  </si>
  <si>
    <t>SHP-00479</t>
  </si>
  <si>
    <t>SHP-00480</t>
  </si>
  <si>
    <t>SHP-00481</t>
  </si>
  <si>
    <t>SHP-00482</t>
  </si>
  <si>
    <t>SHP-00483</t>
  </si>
  <si>
    <t>SHP-00484</t>
  </si>
  <si>
    <t>SHP-00485</t>
  </si>
  <si>
    <t>SHP-00486</t>
  </si>
  <si>
    <t>SHP-00487</t>
  </si>
  <si>
    <t>2025-05-21</t>
  </si>
  <si>
    <t>SHP-00488</t>
  </si>
  <si>
    <t>SHP-00489</t>
  </si>
  <si>
    <t>SHP-00490</t>
  </si>
  <si>
    <t>SHP-00491</t>
  </si>
  <si>
    <t>SHP-00492</t>
  </si>
  <si>
    <t>SHP-00493</t>
  </si>
  <si>
    <t>SHP-00494</t>
  </si>
  <si>
    <t>SHP-00495</t>
  </si>
  <si>
    <t>SHP-00496</t>
  </si>
  <si>
    <t>SHP-00497</t>
  </si>
  <si>
    <t>SHP-00498</t>
  </si>
  <si>
    <t>SHP-00499</t>
  </si>
  <si>
    <t>SHP-00500</t>
  </si>
  <si>
    <t>SHP-00501</t>
  </si>
  <si>
    <t>SHP-00502</t>
  </si>
  <si>
    <t>SHP-00503</t>
  </si>
  <si>
    <t>SHP-00504</t>
  </si>
  <si>
    <t>SHP-00505</t>
  </si>
  <si>
    <t>SHP-00506</t>
  </si>
  <si>
    <t>SHP-00507</t>
  </si>
  <si>
    <t>SHP-00508</t>
  </si>
  <si>
    <t>SHP-00509</t>
  </si>
  <si>
    <t>SHP-00510</t>
  </si>
  <si>
    <t>SHP-00511</t>
  </si>
  <si>
    <t>SHP-00512</t>
  </si>
  <si>
    <t>SHP-00513</t>
  </si>
  <si>
    <t>SHP-00514</t>
  </si>
  <si>
    <t>SHP-00515</t>
  </si>
  <si>
    <t>SHP-00516</t>
  </si>
  <si>
    <t>SHP-00517</t>
  </si>
  <si>
    <t>SHP-00518</t>
  </si>
  <si>
    <t>SHP-00519</t>
  </si>
  <si>
    <t>SHP-00520</t>
  </si>
  <si>
    <t>SHP-00521</t>
  </si>
  <si>
    <t>SHP-00522</t>
  </si>
  <si>
    <t>SHP-00523</t>
  </si>
  <si>
    <t>SHP-00524</t>
  </si>
  <si>
    <t>SHP-00525</t>
  </si>
  <si>
    <t>SHP-00526</t>
  </si>
  <si>
    <t>SHP-00527</t>
  </si>
  <si>
    <t>SHP-00528</t>
  </si>
  <si>
    <t>SHP-00529</t>
  </si>
  <si>
    <t>SHP-00530</t>
  </si>
  <si>
    <t>SHP-00531</t>
  </si>
  <si>
    <t>SHP-00532</t>
  </si>
  <si>
    <t>SHP-00533</t>
  </si>
  <si>
    <t>SHP-00534</t>
  </si>
  <si>
    <t>SHP-00535</t>
  </si>
  <si>
    <t>SHP-00536</t>
  </si>
  <si>
    <t>SHP-00537</t>
  </si>
  <si>
    <t>SHP-00538</t>
  </si>
  <si>
    <t>SHP-00539</t>
  </si>
  <si>
    <t>SHP-00540</t>
  </si>
  <si>
    <t>SHP-00541</t>
  </si>
  <si>
    <t>SHP-00542</t>
  </si>
  <si>
    <t>SHP-00543</t>
  </si>
  <si>
    <t>SHP-00544</t>
  </si>
  <si>
    <t>SHP-00545</t>
  </si>
  <si>
    <t>SHP-00546</t>
  </si>
  <si>
    <t>SHP-00547</t>
  </si>
  <si>
    <t>SHP-00548</t>
  </si>
  <si>
    <t>SHP-00549</t>
  </si>
  <si>
    <t>SHP-00550</t>
  </si>
  <si>
    <t>SHP-00551</t>
  </si>
  <si>
    <t>SHP-00552</t>
  </si>
  <si>
    <t>SHP-00553</t>
  </si>
  <si>
    <t>SHP-00554</t>
  </si>
  <si>
    <t>SHP-00555</t>
  </si>
  <si>
    <t>SHP-00556</t>
  </si>
  <si>
    <t>SHP-00557</t>
  </si>
  <si>
    <t>SHP-00558</t>
  </si>
  <si>
    <t>SHP-00559</t>
  </si>
  <si>
    <t>SHP-00560</t>
  </si>
  <si>
    <t>SHP-00561</t>
  </si>
  <si>
    <t>SHP-00562</t>
  </si>
  <si>
    <t>SHP-00563</t>
  </si>
  <si>
    <t>SHP-00564</t>
  </si>
  <si>
    <t>SHP-00565</t>
  </si>
  <si>
    <t>SHP-00566</t>
  </si>
  <si>
    <t>SHP-00567</t>
  </si>
  <si>
    <t>SHP-00568</t>
  </si>
  <si>
    <t>SHP-00569</t>
  </si>
  <si>
    <t>SHP-00570</t>
  </si>
  <si>
    <t>SHP-00571</t>
  </si>
  <si>
    <t>SHP-00572</t>
  </si>
  <si>
    <t>SHP-00573</t>
  </si>
  <si>
    <t>SHP-00574</t>
  </si>
  <si>
    <t>SHP-00575</t>
  </si>
  <si>
    <t>SHP-00576</t>
  </si>
  <si>
    <t>SHP-00577</t>
  </si>
  <si>
    <t>SHP-00578</t>
  </si>
  <si>
    <t>SHP-00579</t>
  </si>
  <si>
    <t>SHP-00580</t>
  </si>
  <si>
    <t>SHP-00581</t>
  </si>
  <si>
    <t>SHP-00582</t>
  </si>
  <si>
    <t>SHP-00583</t>
  </si>
  <si>
    <t>SHP-00584</t>
  </si>
  <si>
    <t>SHP-00585</t>
  </si>
  <si>
    <t>SHP-00586</t>
  </si>
  <si>
    <t>SHP-00587</t>
  </si>
  <si>
    <t>SHP-00588</t>
  </si>
  <si>
    <t>SHP-00589</t>
  </si>
  <si>
    <t>SHP-00590</t>
  </si>
  <si>
    <t>SHP-00591</t>
  </si>
  <si>
    <t>SHP-00592</t>
  </si>
  <si>
    <t>SHP-00593</t>
  </si>
  <si>
    <t>SHP-00594</t>
  </si>
  <si>
    <t>SHP-00595</t>
  </si>
  <si>
    <t>SHP-00596</t>
  </si>
  <si>
    <t>SHP-00597</t>
  </si>
  <si>
    <t>SHP-00598</t>
  </si>
  <si>
    <t>SHP-00599</t>
  </si>
  <si>
    <t>SHP-00600</t>
  </si>
  <si>
    <t>SHP-00601</t>
  </si>
  <si>
    <t>SHP-00602</t>
  </si>
  <si>
    <t>SHP-00603</t>
  </si>
  <si>
    <t>SHP-00604</t>
  </si>
  <si>
    <t>SHP-00605</t>
  </si>
  <si>
    <t>SHP-00606</t>
  </si>
  <si>
    <t>SHP-00607</t>
  </si>
  <si>
    <t>SHP-00608</t>
  </si>
  <si>
    <t>SHP-00609</t>
  </si>
  <si>
    <t>SHP-00610</t>
  </si>
  <si>
    <t>SHP-00611</t>
  </si>
  <si>
    <t>SHP-00612</t>
  </si>
  <si>
    <t>SHP-00613</t>
  </si>
  <si>
    <t>SHP-00614</t>
  </si>
  <si>
    <t>SHP-00615</t>
  </si>
  <si>
    <t>SHP-00616</t>
  </si>
  <si>
    <t>SHP-00617</t>
  </si>
  <si>
    <t>SHP-00618</t>
  </si>
  <si>
    <t>SHP-00619</t>
  </si>
  <si>
    <t>SHP-00620</t>
  </si>
  <si>
    <t>SHP-00621</t>
  </si>
  <si>
    <t>SHP-00622</t>
  </si>
  <si>
    <t>SHP-00623</t>
  </si>
  <si>
    <t>SHP-00624</t>
  </si>
  <si>
    <t>SHP-00625</t>
  </si>
  <si>
    <t>SHP-00626</t>
  </si>
  <si>
    <t>SHP-00627</t>
  </si>
  <si>
    <t>SHP-00628</t>
  </si>
  <si>
    <t>SHP-00629</t>
  </si>
  <si>
    <t>SHP-00630</t>
  </si>
  <si>
    <t>SHP-00631</t>
  </si>
  <si>
    <t>SHP-00632</t>
  </si>
  <si>
    <t>SHP-00633</t>
  </si>
  <si>
    <t>SHP-00634</t>
  </si>
  <si>
    <t>SHP-00635</t>
  </si>
  <si>
    <t>SHP-00636</t>
  </si>
  <si>
    <t>SHP-00637</t>
  </si>
  <si>
    <t>SHP-00638</t>
  </si>
  <si>
    <t>SHP-00639</t>
  </si>
  <si>
    <t>SHP-00640</t>
  </si>
  <si>
    <t>SHP-00641</t>
  </si>
  <si>
    <t>SHP-00642</t>
  </si>
  <si>
    <t>2025-11-30</t>
  </si>
  <si>
    <t>SHP-00643</t>
  </si>
  <si>
    <t>SHP-00644</t>
  </si>
  <si>
    <t>SHP-00645</t>
  </si>
  <si>
    <t>SHP-00646</t>
  </si>
  <si>
    <t>SHP-00647</t>
  </si>
  <si>
    <t>SHP-00648</t>
  </si>
  <si>
    <t>SHP-00649</t>
  </si>
  <si>
    <t>SHP-00650</t>
  </si>
  <si>
    <t>SHP-00651</t>
  </si>
  <si>
    <t>SHP-00652</t>
  </si>
  <si>
    <t>SHP-00653</t>
  </si>
  <si>
    <t>SHP-00654</t>
  </si>
  <si>
    <t>SHP-00655</t>
  </si>
  <si>
    <t>SHP-00656</t>
  </si>
  <si>
    <t>SHP-00657</t>
  </si>
  <si>
    <t>SHP-00658</t>
  </si>
  <si>
    <t>SHP-00659</t>
  </si>
  <si>
    <t>SHP-00660</t>
  </si>
  <si>
    <t>SHP-00661</t>
  </si>
  <si>
    <t>SHP-00662</t>
  </si>
  <si>
    <t>SHP-00663</t>
  </si>
  <si>
    <t>SHP-00664</t>
  </si>
  <si>
    <t>SHP-00665</t>
  </si>
  <si>
    <t>SHP-00666</t>
  </si>
  <si>
    <t>SHP-00667</t>
  </si>
  <si>
    <t>SHP-00668</t>
  </si>
  <si>
    <t>SHP-00669</t>
  </si>
  <si>
    <t>SHP-00670</t>
  </si>
  <si>
    <t>SHP-00671</t>
  </si>
  <si>
    <t>SHP-00672</t>
  </si>
  <si>
    <t>2025-02-10</t>
  </si>
  <si>
    <t>SHP-00673</t>
  </si>
  <si>
    <t>SHP-00674</t>
  </si>
  <si>
    <t>SHP-00675</t>
  </si>
  <si>
    <t>SHP-00676</t>
  </si>
  <si>
    <t>SHP-00677</t>
  </si>
  <si>
    <t>SHP-00678</t>
  </si>
  <si>
    <t>SHP-00679</t>
  </si>
  <si>
    <t>SHP-00680</t>
  </si>
  <si>
    <t>SHP-00681</t>
  </si>
  <si>
    <t>SHP-00682</t>
  </si>
  <si>
    <t>SHP-00683</t>
  </si>
  <si>
    <t>SHP-00684</t>
  </si>
  <si>
    <t>SHP-00685</t>
  </si>
  <si>
    <t>SHP-00686</t>
  </si>
  <si>
    <t>SHP-00687</t>
  </si>
  <si>
    <t>SHP-00688</t>
  </si>
  <si>
    <t>SHP-00689</t>
  </si>
  <si>
    <t>SHP-00690</t>
  </si>
  <si>
    <t>SHP-00691</t>
  </si>
  <si>
    <t>SHP-00692</t>
  </si>
  <si>
    <t>SHP-00693</t>
  </si>
  <si>
    <t>SHP-00694</t>
  </si>
  <si>
    <t>SHP-00695</t>
  </si>
  <si>
    <t>SHP-00696</t>
  </si>
  <si>
    <t>SHP-00697</t>
  </si>
  <si>
    <t>SHP-00698</t>
  </si>
  <si>
    <t>SHP-00699</t>
  </si>
  <si>
    <t>SHP-00700</t>
  </si>
  <si>
    <t>SHP-00701</t>
  </si>
  <si>
    <t>SHP-00702</t>
  </si>
  <si>
    <t>SHP-00703</t>
  </si>
  <si>
    <t>SHP-00704</t>
  </si>
  <si>
    <t>SHP-00705</t>
  </si>
  <si>
    <t>SHP-00706</t>
  </si>
  <si>
    <t>SHP-00707</t>
  </si>
  <si>
    <t>SHP-00708</t>
  </si>
  <si>
    <t>SHP-00709</t>
  </si>
  <si>
    <t>SHP-00710</t>
  </si>
  <si>
    <t>SHP-00711</t>
  </si>
  <si>
    <t>SHP-00712</t>
  </si>
  <si>
    <t>SHP-00713</t>
  </si>
  <si>
    <t>SHP-00714</t>
  </si>
  <si>
    <t>SHP-00715</t>
  </si>
  <si>
    <t>SHP-00716</t>
  </si>
  <si>
    <t>SHP-00717</t>
  </si>
  <si>
    <t>SHP-00718</t>
  </si>
  <si>
    <t>SHP-00719</t>
  </si>
  <si>
    <t>SHP-00720</t>
  </si>
  <si>
    <t>SHP-00721</t>
  </si>
  <si>
    <t>SHP-00722</t>
  </si>
  <si>
    <t>SHP-00723</t>
  </si>
  <si>
    <t>SHP-00724</t>
  </si>
  <si>
    <t>SHP-00725</t>
  </si>
  <si>
    <t>SHP-00726</t>
  </si>
  <si>
    <t>SHP-00727</t>
  </si>
  <si>
    <t>SHP-00728</t>
  </si>
  <si>
    <t>SHP-00729</t>
  </si>
  <si>
    <t>SHP-00730</t>
  </si>
  <si>
    <t>SHP-00731</t>
  </si>
  <si>
    <t>SHP-00732</t>
  </si>
  <si>
    <t>SHP-00733</t>
  </si>
  <si>
    <t>SHP-00734</t>
  </si>
  <si>
    <t>SHP-00735</t>
  </si>
  <si>
    <t>SHP-00736</t>
  </si>
  <si>
    <t>SHP-00737</t>
  </si>
  <si>
    <t>SHP-00738</t>
  </si>
  <si>
    <t>SHP-00739</t>
  </si>
  <si>
    <t>SHP-00740</t>
  </si>
  <si>
    <t>SHP-00741</t>
  </si>
  <si>
    <t>SHP-00742</t>
  </si>
  <si>
    <t>SHP-00743</t>
  </si>
  <si>
    <t>SHP-00744</t>
  </si>
  <si>
    <t>SHP-00745</t>
  </si>
  <si>
    <t>SHP-00746</t>
  </si>
  <si>
    <t>SHP-00747</t>
  </si>
  <si>
    <t>SHP-00748</t>
  </si>
  <si>
    <t>SHP-00749</t>
  </si>
  <si>
    <t>SHP-00750</t>
  </si>
  <si>
    <t>SHP-00751</t>
  </si>
  <si>
    <t>SHP-00752</t>
  </si>
  <si>
    <t>SHP-00753</t>
  </si>
  <si>
    <t>SHP-00754</t>
  </si>
  <si>
    <t>SHP-00755</t>
  </si>
  <si>
    <t>SHP-00756</t>
  </si>
  <si>
    <t>SHP-00757</t>
  </si>
  <si>
    <t>SHP-00758</t>
  </si>
  <si>
    <t>SHP-00759</t>
  </si>
  <si>
    <t>SHP-00760</t>
  </si>
  <si>
    <t>SHP-00761</t>
  </si>
  <si>
    <t>SHP-00762</t>
  </si>
  <si>
    <t>SHP-00763</t>
  </si>
  <si>
    <t>SHP-00764</t>
  </si>
  <si>
    <t>SHP-00765</t>
  </si>
  <si>
    <t>SHP-00766</t>
  </si>
  <si>
    <t>SHP-00767</t>
  </si>
  <si>
    <t>SHP-00768</t>
  </si>
  <si>
    <t>SHP-00769</t>
  </si>
  <si>
    <t>SHP-00770</t>
  </si>
  <si>
    <t>SHP-00771</t>
  </si>
  <si>
    <t>SHP-00772</t>
  </si>
  <si>
    <t>SHP-00773</t>
  </si>
  <si>
    <t>SHP-00774</t>
  </si>
  <si>
    <t>SHP-00775</t>
  </si>
  <si>
    <t>SHP-00776</t>
  </si>
  <si>
    <t>SHP-00777</t>
  </si>
  <si>
    <t>SHP-00778</t>
  </si>
  <si>
    <t>SHP-00779</t>
  </si>
  <si>
    <t>SHP-00780</t>
  </si>
  <si>
    <t>SHP-00781</t>
  </si>
  <si>
    <t>SHP-00782</t>
  </si>
  <si>
    <t>SHP-00783</t>
  </si>
  <si>
    <t>SHP-00784</t>
  </si>
  <si>
    <t>SHP-00785</t>
  </si>
  <si>
    <t>SHP-00786</t>
  </si>
  <si>
    <t>SHP-00787</t>
  </si>
  <si>
    <t>SHP-00788</t>
  </si>
  <si>
    <t>SHP-00789</t>
  </si>
  <si>
    <t>SHP-00790</t>
  </si>
  <si>
    <t>SHP-00791</t>
  </si>
  <si>
    <t>SHP-00792</t>
  </si>
  <si>
    <t>SHP-00793</t>
  </si>
  <si>
    <t>SHP-00794</t>
  </si>
  <si>
    <t>SHP-00795</t>
  </si>
  <si>
    <t>SHP-00796</t>
  </si>
  <si>
    <t>SHP-00797</t>
  </si>
  <si>
    <t>SHP-00798</t>
  </si>
  <si>
    <t>SHP-00799</t>
  </si>
  <si>
    <t>SHP-00800</t>
  </si>
  <si>
    <t>Total_Production_Cost</t>
  </si>
  <si>
    <t>Rejected_Units_Cost</t>
  </si>
  <si>
    <t>Row Labels</t>
  </si>
  <si>
    <t>Grand Total</t>
  </si>
  <si>
    <t>Column Labels</t>
  </si>
  <si>
    <t>Total_production_cost_percompany.</t>
  </si>
  <si>
    <t>Sum of Units_Produced</t>
  </si>
  <si>
    <t>Accepted_Units</t>
  </si>
  <si>
    <t>Production_Month</t>
  </si>
  <si>
    <t xml:space="preserve"> Downtime_Hours</t>
  </si>
  <si>
    <t xml:space="preserve"> Operating_Hours</t>
  </si>
  <si>
    <t>Total_Cost</t>
  </si>
  <si>
    <t>Sum of Total_Cost</t>
  </si>
  <si>
    <t>Planned_Delivery_Months</t>
  </si>
  <si>
    <t>Actual_Delivery_Months</t>
  </si>
  <si>
    <t>Order_Date_Months</t>
  </si>
  <si>
    <t>Jan</t>
  </si>
  <si>
    <t>Feb</t>
  </si>
  <si>
    <t>Mar</t>
  </si>
  <si>
    <t>Apr</t>
  </si>
  <si>
    <t>May</t>
  </si>
  <si>
    <t>Jun</t>
  </si>
  <si>
    <t>Jul</t>
  </si>
  <si>
    <t>Aug</t>
  </si>
  <si>
    <t>Sep</t>
  </si>
  <si>
    <t>Oct</t>
  </si>
  <si>
    <t>Nov</t>
  </si>
  <si>
    <t>Dec</t>
  </si>
  <si>
    <t>2025</t>
  </si>
  <si>
    <t>Delay_Duration</t>
  </si>
  <si>
    <t>Delivery_Duration</t>
  </si>
  <si>
    <t>Sum of Total_Production_Cost</t>
  </si>
  <si>
    <t>Sum of Rejected_Units</t>
  </si>
  <si>
    <t>Sum of Accepted_Units</t>
  </si>
  <si>
    <t>Total_units</t>
  </si>
  <si>
    <t>Sum of Target_Units</t>
  </si>
  <si>
    <t>Production_Operations_Dashboard</t>
  </si>
  <si>
    <t>Sum of Quantity_Units</t>
  </si>
  <si>
    <t>Industrial_Logistics_Dashboard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</si>
</sst>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Ksh-441]\ #,##0.00"/>
    <numFmt numFmtId="165" formatCode="_([$KES]\ * #,##0.00_);_([$KES]\ * \(#,##0.00\);_([$KES]\ * &quot;-&quot;??_);_(@_)"/>
    <numFmt numFmtId="166" formatCode="_-[$Ksh-441]\ * #,##0.00_-;\-[$Ksh-441]\ * #,##0.00_-;_-[$Ksh-441]\ * &quot;-&quot;??_-;_-@_-"/>
    <numFmt numFmtId="167" formatCode="mmmm\ yyyy"/>
    <numFmt numFmtId="168" formatCode="mmmm"/>
  </numFmts>
  <fonts count="9"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22"/>
      <color theme="1"/>
      <name val="Calibri"/>
      <family val="2"/>
      <scheme val="minor"/>
    </font>
    <font>
      <sz val="22"/>
      <color theme="3"/>
      <name val="Calibri"/>
      <family val="2"/>
      <scheme val="minor"/>
    </font>
    <font>
      <sz val="22"/>
      <color theme="0" tint="-4.9989318521683403E-2"/>
      <name val="Calibri"/>
      <family val="2"/>
      <scheme val="minor"/>
    </font>
    <font>
      <sz val="20"/>
      <color theme="0" tint="-4.9989318521683403E-2"/>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rgb="FF23415A"/>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0">
    <xf numFmtId="0" fontId="0" fillId="0" borderId="0" xfId="0"/>
    <xf numFmtId="0" fontId="1" fillId="2" borderId="1" xfId="0" applyFont="1" applyFill="1" applyBorder="1" applyAlignment="1">
      <alignment vertical="center" wrapText="1"/>
    </xf>
    <xf numFmtId="165" fontId="1" fillId="2" borderId="1" xfId="0" applyNumberFormat="1" applyFont="1" applyFill="1"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1" fillId="2" borderId="1" xfId="0" applyNumberFormat="1" applyFont="1" applyFill="1" applyBorder="1" applyAlignment="1">
      <alignment vertical="center" wrapText="1"/>
    </xf>
    <xf numFmtId="166" fontId="0" fillId="0" borderId="0" xfId="0" applyNumberFormat="1"/>
    <xf numFmtId="166" fontId="3" fillId="2" borderId="1" xfId="1" applyNumberFormat="1" applyFont="1" applyFill="1" applyBorder="1" applyAlignment="1">
      <alignment vertical="center" wrapText="1"/>
    </xf>
    <xf numFmtId="166" fontId="0" fillId="0" borderId="0" xfId="1" applyNumberFormat="1" applyFont="1"/>
    <xf numFmtId="166" fontId="3" fillId="2" borderId="1" xfId="0" applyNumberFormat="1" applyFont="1" applyFill="1" applyBorder="1" applyAlignment="1">
      <alignment vertical="center" wrapText="1"/>
    </xf>
    <xf numFmtId="14" fontId="1" fillId="2" borderId="1" xfId="0" applyNumberFormat="1" applyFont="1" applyFill="1" applyBorder="1" applyAlignment="1">
      <alignment vertical="center" wrapText="1"/>
    </xf>
    <xf numFmtId="14" fontId="0" fillId="0" borderId="0" xfId="0" applyNumberFormat="1"/>
    <xf numFmtId="166" fontId="1" fillId="2" borderId="0" xfId="0" applyNumberFormat="1" applyFont="1" applyFill="1" applyBorder="1" applyAlignment="1">
      <alignment vertical="center" wrapText="1"/>
    </xf>
    <xf numFmtId="167" fontId="1" fillId="2" borderId="1" xfId="0" applyNumberFormat="1" applyFont="1" applyFill="1" applyBorder="1" applyAlignment="1">
      <alignment vertical="center" wrapText="1"/>
    </xf>
    <xf numFmtId="167" fontId="0" fillId="0" borderId="0" xfId="0" applyNumberFormat="1"/>
    <xf numFmtId="167" fontId="0" fillId="0" borderId="0" xfId="0" applyNumberFormat="1" applyAlignment="1">
      <alignment horizontal="left" indent="1"/>
    </xf>
    <xf numFmtId="0" fontId="3" fillId="2" borderId="0" xfId="0" applyNumberFormat="1" applyFont="1" applyFill="1" applyBorder="1" applyAlignment="1">
      <alignment vertical="center" wrapText="1"/>
    </xf>
    <xf numFmtId="1" fontId="3" fillId="2" borderId="0" xfId="0" applyNumberFormat="1" applyFont="1" applyFill="1" applyBorder="1" applyAlignment="1">
      <alignment vertical="center" wrapText="1"/>
    </xf>
    <xf numFmtId="1" fontId="0" fillId="0" borderId="0" xfId="0" applyNumberFormat="1"/>
    <xf numFmtId="0" fontId="1" fillId="2" borderId="0" xfId="0" applyFont="1" applyFill="1" applyBorder="1" applyAlignment="1">
      <alignment vertical="center" wrapText="1"/>
    </xf>
    <xf numFmtId="0" fontId="4" fillId="0" borderId="0" xfId="0" applyFont="1" applyAlignment="1">
      <alignment horizontal="center"/>
    </xf>
    <xf numFmtId="14" fontId="0" fillId="0" borderId="0" xfId="0" applyNumberFormat="1" applyAlignment="1">
      <alignment horizontal="left"/>
    </xf>
    <xf numFmtId="168" fontId="3" fillId="2" borderId="1" xfId="0" applyNumberFormat="1" applyFont="1" applyFill="1" applyBorder="1" applyAlignment="1">
      <alignment vertical="center" wrapText="1"/>
    </xf>
    <xf numFmtId="168" fontId="0" fillId="0" borderId="0" xfId="0" applyNumberFormat="1"/>
    <xf numFmtId="0" fontId="6" fillId="3" borderId="0" xfId="0" applyFont="1" applyFill="1" applyAlignment="1">
      <alignment horizontal="center"/>
    </xf>
    <xf numFmtId="0" fontId="5" fillId="3" borderId="0" xfId="0" applyFont="1" applyFill="1" applyAlignment="1">
      <alignment horizontal="center"/>
    </xf>
    <xf numFmtId="0" fontId="7" fillId="3" borderId="0" xfId="0" applyFont="1" applyFill="1" applyAlignment="1">
      <alignment horizontal="center"/>
    </xf>
    <xf numFmtId="0" fontId="8" fillId="3" borderId="0" xfId="0" applyFont="1" applyFill="1" applyAlignment="1">
      <alignment horizontal="center"/>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Poduction_Quality_Perfomance.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655112651646445E-3"/>
              <c:y val="-8.978675645342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7.4758571123150347E-2"/>
          <c:y val="0.28359955636858525"/>
          <c:w val="0.53824447204064829"/>
          <c:h val="0.52284016896877794"/>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5-4978-AB95-19535EEE3E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5-4978-AB95-19535EEE3E5F}"/>
              </c:ext>
            </c:extLst>
          </c:dPt>
          <c:dLbls>
            <c:dLbl>
              <c:idx val="0"/>
              <c:layout>
                <c:manualLayout>
                  <c:x val="8.6655112651646445E-3"/>
                  <c:y val="-8.97867564534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95-4978-AB95-19535EEE3E5F}"/>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 Rejected_Units</c:v>
              </c:pt>
              <c:pt idx="1">
                <c:v>Sum of Units_Produced</c:v>
              </c:pt>
            </c:strLit>
          </c:cat>
          <c:val>
            <c:numLit>
              <c:formatCode>General</c:formatCode>
              <c:ptCount val="2"/>
              <c:pt idx="0">
                <c:v>13424</c:v>
              </c:pt>
              <c:pt idx="1">
                <c:v>719038</c:v>
              </c:pt>
            </c:numLit>
          </c:val>
          <c:extLst>
            <c:ext xmlns:c16="http://schemas.microsoft.com/office/drawing/2014/chart" uri="{C3380CC4-5D6E-409C-BE32-E72D297353CC}">
              <c16:uniqueId val="{00000004-5F95-4978-AB95-19535EEE3E5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Company_Operational_Perfomance.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788835219127021"/>
          <c:y val="0.13221784776902887"/>
          <c:w val="0.54035783027121609"/>
          <c:h val="0.65853091280256637"/>
        </c:manualLayout>
      </c:layout>
      <c:barChart>
        <c:barDir val="col"/>
        <c:grouping val="clustered"/>
        <c:varyColors val="0"/>
        <c:ser>
          <c:idx val="0"/>
          <c:order val="0"/>
          <c:tx>
            <c:strRef>
              <c:f>Sheet1!$B$65</c:f>
              <c:strCache>
                <c:ptCount val="1"/>
                <c:pt idx="0">
                  <c:v> Downtime_Hours</c:v>
                </c:pt>
              </c:strCache>
            </c:strRef>
          </c:tx>
          <c:spPr>
            <a:solidFill>
              <a:schemeClr val="accent1"/>
            </a:solidFill>
            <a:ln>
              <a:noFill/>
            </a:ln>
            <a:effectLst/>
          </c:spPr>
          <c:invertIfNegative val="0"/>
          <c:cat>
            <c:strRef>
              <c:f>Sheet1!$A$66:$A$69</c:f>
              <c:strCache>
                <c:ptCount val="3"/>
                <c:pt idx="0">
                  <c:v>Athi River Plant</c:v>
                </c:pt>
                <c:pt idx="1">
                  <c:v>Mombasa Plant</c:v>
                </c:pt>
                <c:pt idx="2">
                  <c:v>Nakuru Plant</c:v>
                </c:pt>
              </c:strCache>
            </c:strRef>
          </c:cat>
          <c:val>
            <c:numRef>
              <c:f>Sheet1!$B$66:$B$69</c:f>
              <c:numCache>
                <c:formatCode>General</c:formatCode>
                <c:ptCount val="3"/>
                <c:pt idx="0">
                  <c:v>205</c:v>
                </c:pt>
                <c:pt idx="1">
                  <c:v>198</c:v>
                </c:pt>
                <c:pt idx="2">
                  <c:v>197</c:v>
                </c:pt>
              </c:numCache>
            </c:numRef>
          </c:val>
          <c:extLst>
            <c:ext xmlns:c16="http://schemas.microsoft.com/office/drawing/2014/chart" uri="{C3380CC4-5D6E-409C-BE32-E72D297353CC}">
              <c16:uniqueId val="{00000000-22D9-449E-AA04-A2CB95C11CF0}"/>
            </c:ext>
          </c:extLst>
        </c:ser>
        <c:ser>
          <c:idx val="1"/>
          <c:order val="1"/>
          <c:tx>
            <c:strRef>
              <c:f>Sheet1!$C$65</c:f>
              <c:strCache>
                <c:ptCount val="1"/>
                <c:pt idx="0">
                  <c:v> Operating_Hours</c:v>
                </c:pt>
              </c:strCache>
            </c:strRef>
          </c:tx>
          <c:spPr>
            <a:solidFill>
              <a:schemeClr val="accent2"/>
            </a:solidFill>
            <a:ln>
              <a:noFill/>
            </a:ln>
            <a:effectLst/>
          </c:spPr>
          <c:invertIfNegative val="0"/>
          <c:cat>
            <c:strRef>
              <c:f>Sheet1!$A$66:$A$69</c:f>
              <c:strCache>
                <c:ptCount val="3"/>
                <c:pt idx="0">
                  <c:v>Athi River Plant</c:v>
                </c:pt>
                <c:pt idx="1">
                  <c:v>Mombasa Plant</c:v>
                </c:pt>
                <c:pt idx="2">
                  <c:v>Nakuru Plant</c:v>
                </c:pt>
              </c:strCache>
            </c:strRef>
          </c:cat>
          <c:val>
            <c:numRef>
              <c:f>Sheet1!$C$66:$C$69</c:f>
              <c:numCache>
                <c:formatCode>General</c:formatCode>
                <c:ptCount val="3"/>
                <c:pt idx="0">
                  <c:v>1489.3999999999994</c:v>
                </c:pt>
                <c:pt idx="1">
                  <c:v>1425.0000000000007</c:v>
                </c:pt>
                <c:pt idx="2">
                  <c:v>1434.0999999999992</c:v>
                </c:pt>
              </c:numCache>
            </c:numRef>
          </c:val>
          <c:extLst>
            <c:ext xmlns:c16="http://schemas.microsoft.com/office/drawing/2014/chart" uri="{C3380CC4-5D6E-409C-BE32-E72D297353CC}">
              <c16:uniqueId val="{00000001-22D9-449E-AA04-A2CB95C11CF0}"/>
            </c:ext>
          </c:extLst>
        </c:ser>
        <c:dLbls>
          <c:showLegendKey val="0"/>
          <c:showVal val="0"/>
          <c:showCatName val="0"/>
          <c:showSerName val="0"/>
          <c:showPercent val="0"/>
          <c:showBubbleSize val="0"/>
        </c:dLbls>
        <c:gapWidth val="219"/>
        <c:overlap val="-27"/>
        <c:axId val="524104384"/>
        <c:axId val="524103728"/>
      </c:barChart>
      <c:catAx>
        <c:axId val="52410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3728"/>
        <c:crosses val="autoZero"/>
        <c:auto val="1"/>
        <c:lblAlgn val="ctr"/>
        <c:lblOffset val="100"/>
        <c:noMultiLvlLbl val="0"/>
      </c:catAx>
      <c:valAx>
        <c:axId val="52410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Total_Production_Cost_per_Company.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23706537100922587"/>
          <c:y val="0.16522508550067605"/>
          <c:w val="0.63773431246626089"/>
          <c:h val="0.65853091280256637"/>
        </c:manualLayout>
      </c:layout>
      <c:barChart>
        <c:barDir val="bar"/>
        <c:grouping val="clustered"/>
        <c:varyColors val="0"/>
        <c:ser>
          <c:idx val="0"/>
          <c:order val="0"/>
          <c:tx>
            <c:strRef>
              <c:f>Sheet1!$B$3:$B$4</c:f>
              <c:strCache>
                <c:ptCount val="1"/>
                <c:pt idx="0">
                  <c:v>Construction Additives</c:v>
                </c:pt>
              </c:strCache>
            </c:strRef>
          </c:tx>
          <c:spPr>
            <a:solidFill>
              <a:schemeClr val="accent1"/>
            </a:solidFill>
            <a:ln>
              <a:noFill/>
            </a:ln>
            <a:effectLst/>
          </c:spPr>
          <c:invertIfNegative val="0"/>
          <c:cat>
            <c:strRef>
              <c:f>Sheet1!$A$5:$A$8</c:f>
              <c:strCache>
                <c:ptCount val="3"/>
                <c:pt idx="0">
                  <c:v>Athi River Plant</c:v>
                </c:pt>
                <c:pt idx="1">
                  <c:v>Mombasa Plant</c:v>
                </c:pt>
                <c:pt idx="2">
                  <c:v>Nakuru Plant</c:v>
                </c:pt>
              </c:strCache>
            </c:strRef>
          </c:cat>
          <c:val>
            <c:numRef>
              <c:f>Sheet1!$B$5:$B$8</c:f>
              <c:numCache>
                <c:formatCode>General</c:formatCode>
                <c:ptCount val="3"/>
                <c:pt idx="0">
                  <c:v>2931697.07</c:v>
                </c:pt>
                <c:pt idx="1">
                  <c:v>3549031.3899999997</c:v>
                </c:pt>
                <c:pt idx="2">
                  <c:v>3638109.9</c:v>
                </c:pt>
              </c:numCache>
            </c:numRef>
          </c:val>
          <c:extLst>
            <c:ext xmlns:c16="http://schemas.microsoft.com/office/drawing/2014/chart" uri="{C3380CC4-5D6E-409C-BE32-E72D297353CC}">
              <c16:uniqueId val="{00000000-B69D-4A09-8C3A-C087478E9CD4}"/>
            </c:ext>
          </c:extLst>
        </c:ser>
        <c:ser>
          <c:idx val="1"/>
          <c:order val="1"/>
          <c:tx>
            <c:strRef>
              <c:f>Sheet1!$C$3:$C$4</c:f>
              <c:strCache>
                <c:ptCount val="1"/>
                <c:pt idx="0">
                  <c:v>Industrial Cleaners</c:v>
                </c:pt>
              </c:strCache>
            </c:strRef>
          </c:tx>
          <c:spPr>
            <a:solidFill>
              <a:schemeClr val="accent2"/>
            </a:solidFill>
            <a:ln>
              <a:noFill/>
            </a:ln>
            <a:effectLst/>
          </c:spPr>
          <c:invertIfNegative val="0"/>
          <c:cat>
            <c:strRef>
              <c:f>Sheet1!$A$5:$A$8</c:f>
              <c:strCache>
                <c:ptCount val="3"/>
                <c:pt idx="0">
                  <c:v>Athi River Plant</c:v>
                </c:pt>
                <c:pt idx="1">
                  <c:v>Mombasa Plant</c:v>
                </c:pt>
                <c:pt idx="2">
                  <c:v>Nakuru Plant</c:v>
                </c:pt>
              </c:strCache>
            </c:strRef>
          </c:cat>
          <c:val>
            <c:numRef>
              <c:f>Sheet1!$C$5:$C$8</c:f>
              <c:numCache>
                <c:formatCode>General</c:formatCode>
                <c:ptCount val="3"/>
                <c:pt idx="0">
                  <c:v>3835277.0500000003</c:v>
                </c:pt>
                <c:pt idx="1">
                  <c:v>4708701.0500000007</c:v>
                </c:pt>
                <c:pt idx="2">
                  <c:v>3979502.58</c:v>
                </c:pt>
              </c:numCache>
            </c:numRef>
          </c:val>
          <c:extLst>
            <c:ext xmlns:c16="http://schemas.microsoft.com/office/drawing/2014/chart" uri="{C3380CC4-5D6E-409C-BE32-E72D297353CC}">
              <c16:uniqueId val="{00000002-31E3-4065-B8A8-E806F9470230}"/>
            </c:ext>
          </c:extLst>
        </c:ser>
        <c:ser>
          <c:idx val="2"/>
          <c:order val="2"/>
          <c:tx>
            <c:strRef>
              <c:f>Sheet1!$D$3:$D$4</c:f>
              <c:strCache>
                <c:ptCount val="1"/>
                <c:pt idx="0">
                  <c:v>Packaging Resin</c:v>
                </c:pt>
              </c:strCache>
            </c:strRef>
          </c:tx>
          <c:spPr>
            <a:solidFill>
              <a:schemeClr val="accent3"/>
            </a:solidFill>
            <a:ln>
              <a:noFill/>
            </a:ln>
            <a:effectLst/>
          </c:spPr>
          <c:invertIfNegative val="0"/>
          <c:cat>
            <c:strRef>
              <c:f>Sheet1!$A$5:$A$8</c:f>
              <c:strCache>
                <c:ptCount val="3"/>
                <c:pt idx="0">
                  <c:v>Athi River Plant</c:v>
                </c:pt>
                <c:pt idx="1">
                  <c:v>Mombasa Plant</c:v>
                </c:pt>
                <c:pt idx="2">
                  <c:v>Nakuru Plant</c:v>
                </c:pt>
              </c:strCache>
            </c:strRef>
          </c:cat>
          <c:val>
            <c:numRef>
              <c:f>Sheet1!$D$5:$D$8</c:f>
              <c:numCache>
                <c:formatCode>General</c:formatCode>
                <c:ptCount val="3"/>
                <c:pt idx="0">
                  <c:v>4184172.3900000011</c:v>
                </c:pt>
                <c:pt idx="1">
                  <c:v>4314451.9399999995</c:v>
                </c:pt>
                <c:pt idx="2">
                  <c:v>3908928.7099999995</c:v>
                </c:pt>
              </c:numCache>
            </c:numRef>
          </c:val>
          <c:extLst>
            <c:ext xmlns:c16="http://schemas.microsoft.com/office/drawing/2014/chart" uri="{C3380CC4-5D6E-409C-BE32-E72D297353CC}">
              <c16:uniqueId val="{00000003-31E3-4065-B8A8-E806F9470230}"/>
            </c:ext>
          </c:extLst>
        </c:ser>
        <c:ser>
          <c:idx val="3"/>
          <c:order val="3"/>
          <c:tx>
            <c:strRef>
              <c:f>Sheet1!$E$3:$E$4</c:f>
              <c:strCache>
                <c:ptCount val="1"/>
                <c:pt idx="0">
                  <c:v>Protective Coatings</c:v>
                </c:pt>
              </c:strCache>
            </c:strRef>
          </c:tx>
          <c:spPr>
            <a:solidFill>
              <a:schemeClr val="accent4"/>
            </a:solidFill>
            <a:ln>
              <a:noFill/>
            </a:ln>
            <a:effectLst/>
          </c:spPr>
          <c:invertIfNegative val="0"/>
          <c:cat>
            <c:strRef>
              <c:f>Sheet1!$A$5:$A$8</c:f>
              <c:strCache>
                <c:ptCount val="3"/>
                <c:pt idx="0">
                  <c:v>Athi River Plant</c:v>
                </c:pt>
                <c:pt idx="1">
                  <c:v>Mombasa Plant</c:v>
                </c:pt>
                <c:pt idx="2">
                  <c:v>Nakuru Plant</c:v>
                </c:pt>
              </c:strCache>
            </c:strRef>
          </c:cat>
          <c:val>
            <c:numRef>
              <c:f>Sheet1!$E$5:$E$8</c:f>
              <c:numCache>
                <c:formatCode>General</c:formatCode>
                <c:ptCount val="3"/>
                <c:pt idx="0">
                  <c:v>5068281.8599999994</c:v>
                </c:pt>
                <c:pt idx="1">
                  <c:v>2541742.5399999996</c:v>
                </c:pt>
                <c:pt idx="2">
                  <c:v>3680078.2600000002</c:v>
                </c:pt>
              </c:numCache>
            </c:numRef>
          </c:val>
          <c:extLst>
            <c:ext xmlns:c16="http://schemas.microsoft.com/office/drawing/2014/chart" uri="{C3380CC4-5D6E-409C-BE32-E72D297353CC}">
              <c16:uniqueId val="{00000004-31E3-4065-B8A8-E806F9470230}"/>
            </c:ext>
          </c:extLst>
        </c:ser>
        <c:ser>
          <c:idx val="4"/>
          <c:order val="4"/>
          <c:tx>
            <c:strRef>
              <c:f>Sheet1!$F$3:$F$4</c:f>
              <c:strCache>
                <c:ptCount val="1"/>
                <c:pt idx="0">
                  <c:v>Water Treatment Chemicals</c:v>
                </c:pt>
              </c:strCache>
            </c:strRef>
          </c:tx>
          <c:spPr>
            <a:solidFill>
              <a:schemeClr val="accent5"/>
            </a:solidFill>
            <a:ln>
              <a:noFill/>
            </a:ln>
            <a:effectLst/>
          </c:spPr>
          <c:invertIfNegative val="0"/>
          <c:cat>
            <c:strRef>
              <c:f>Sheet1!$A$5:$A$8</c:f>
              <c:strCache>
                <c:ptCount val="3"/>
                <c:pt idx="0">
                  <c:v>Athi River Plant</c:v>
                </c:pt>
                <c:pt idx="1">
                  <c:v>Mombasa Plant</c:v>
                </c:pt>
                <c:pt idx="2">
                  <c:v>Nakuru Plant</c:v>
                </c:pt>
              </c:strCache>
            </c:strRef>
          </c:cat>
          <c:val>
            <c:numRef>
              <c:f>Sheet1!$F$5:$F$8</c:f>
              <c:numCache>
                <c:formatCode>General</c:formatCode>
                <c:ptCount val="3"/>
                <c:pt idx="0">
                  <c:v>4025045.8900000006</c:v>
                </c:pt>
                <c:pt idx="1">
                  <c:v>3773468.5399999991</c:v>
                </c:pt>
                <c:pt idx="2">
                  <c:v>4010555.2299999991</c:v>
                </c:pt>
              </c:numCache>
            </c:numRef>
          </c:val>
          <c:extLst>
            <c:ext xmlns:c16="http://schemas.microsoft.com/office/drawing/2014/chart" uri="{C3380CC4-5D6E-409C-BE32-E72D297353CC}">
              <c16:uniqueId val="{00000005-31E3-4065-B8A8-E806F9470230}"/>
            </c:ext>
          </c:extLst>
        </c:ser>
        <c:dLbls>
          <c:showLegendKey val="0"/>
          <c:showVal val="0"/>
          <c:showCatName val="0"/>
          <c:showSerName val="0"/>
          <c:showPercent val="0"/>
          <c:showBubbleSize val="0"/>
        </c:dLbls>
        <c:gapWidth val="219"/>
        <c:axId val="306240072"/>
        <c:axId val="306244008"/>
      </c:barChart>
      <c:catAx>
        <c:axId val="306240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4008"/>
        <c:crosses val="autoZero"/>
        <c:auto val="1"/>
        <c:lblAlgn val="ctr"/>
        <c:lblOffset val="100"/>
        <c:noMultiLvlLbl val="0"/>
      </c:catAx>
      <c:valAx>
        <c:axId val="306244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0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2869203849518809"/>
          <c:y val="0.37800488480606592"/>
          <c:w val="0.7104560367454068"/>
          <c:h val="0.43603054826480026"/>
        </c:manualLayout>
      </c:layout>
      <c:barChart>
        <c:barDir val="col"/>
        <c:grouping val="clustered"/>
        <c:varyColors val="0"/>
        <c:ser>
          <c:idx val="0"/>
          <c:order val="0"/>
          <c:tx>
            <c:strRef>
              <c:f>Sheet1!$B$41</c:f>
              <c:strCache>
                <c:ptCount val="1"/>
                <c:pt idx="0">
                  <c:v>Total</c:v>
                </c:pt>
              </c:strCache>
            </c:strRef>
          </c:tx>
          <c:spPr>
            <a:solidFill>
              <a:schemeClr val="accent1"/>
            </a:solidFill>
            <a:ln>
              <a:noFill/>
            </a:ln>
            <a:effectLst/>
          </c:spPr>
          <c:invertIfNegative val="0"/>
          <c:cat>
            <c:strRef>
              <c:f>Sheet1!$A$42:$A$47</c:f>
              <c:strCache>
                <c:ptCount val="5"/>
                <c:pt idx="0">
                  <c:v>Construction Additives</c:v>
                </c:pt>
                <c:pt idx="1">
                  <c:v>Protective Coatings</c:v>
                </c:pt>
                <c:pt idx="2">
                  <c:v>Water Treatment Chemicals</c:v>
                </c:pt>
                <c:pt idx="3">
                  <c:v>Packaging Resin</c:v>
                </c:pt>
                <c:pt idx="4">
                  <c:v>Industrial Cleaners</c:v>
                </c:pt>
              </c:strCache>
            </c:strRef>
          </c:cat>
          <c:val>
            <c:numRef>
              <c:f>Sheet1!$B$42:$B$47</c:f>
              <c:numCache>
                <c:formatCode>General</c:formatCode>
                <c:ptCount val="5"/>
                <c:pt idx="0">
                  <c:v>10118838.359999998</c:v>
                </c:pt>
                <c:pt idx="1">
                  <c:v>11290102.66</c:v>
                </c:pt>
                <c:pt idx="2">
                  <c:v>11809069.660000004</c:v>
                </c:pt>
                <c:pt idx="3">
                  <c:v>12407553.039999999</c:v>
                </c:pt>
                <c:pt idx="4">
                  <c:v>12523480.679999998</c:v>
                </c:pt>
              </c:numCache>
            </c:numRef>
          </c:val>
          <c:extLst>
            <c:ext xmlns:c16="http://schemas.microsoft.com/office/drawing/2014/chart" uri="{C3380CC4-5D6E-409C-BE32-E72D297353CC}">
              <c16:uniqueId val="{00000000-E4A2-4F96-A54C-056CC8A09B9A}"/>
            </c:ext>
          </c:extLst>
        </c:ser>
        <c:dLbls>
          <c:showLegendKey val="0"/>
          <c:showVal val="0"/>
          <c:showCatName val="0"/>
          <c:showSerName val="0"/>
          <c:showPercent val="0"/>
          <c:showBubbleSize val="0"/>
        </c:dLbls>
        <c:gapWidth val="219"/>
        <c:overlap val="-27"/>
        <c:axId val="424521168"/>
        <c:axId val="424520184"/>
      </c:barChart>
      <c:catAx>
        <c:axId val="42452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0184"/>
        <c:crosses val="autoZero"/>
        <c:auto val="1"/>
        <c:lblAlgn val="ctr"/>
        <c:lblOffset val="100"/>
        <c:noMultiLvlLbl val="0"/>
      </c:catAx>
      <c:valAx>
        <c:axId val="424520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Target_vs_Produced_Units </a:t>
            </a:r>
          </a:p>
        </c:rich>
      </c:tx>
      <c:layout>
        <c:manualLayout>
          <c:xMode val="edge"/>
          <c:yMode val="edge"/>
          <c:x val="0.388721367215461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Sum of Target_Units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Sheet1!$E$27</c:f>
              <c:numCache>
                <c:formatCode>General</c:formatCode>
                <c:ptCount val="1"/>
                <c:pt idx="0">
                  <c:v>752080</c:v>
                </c:pt>
              </c:numCache>
            </c:numRef>
          </c:val>
          <c:extLst>
            <c:ext xmlns:c16="http://schemas.microsoft.com/office/drawing/2014/chart" uri="{C3380CC4-5D6E-409C-BE32-E72D297353CC}">
              <c16:uniqueId val="{00000000-CB88-4263-AB6F-375B6EDAD136}"/>
            </c:ext>
          </c:extLst>
        </c:ser>
        <c:ser>
          <c:idx val="1"/>
          <c:order val="1"/>
          <c:tx>
            <c:strRef>
              <c:f>Sheet1!$F$26</c:f>
              <c:strCache>
                <c:ptCount val="1"/>
                <c:pt idx="0">
                  <c:v>Sum of Units_Produced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Sheet1!$F$27</c:f>
              <c:numCache>
                <c:formatCode>General</c:formatCode>
                <c:ptCount val="1"/>
                <c:pt idx="0">
                  <c:v>719038</c:v>
                </c:pt>
              </c:numCache>
            </c:numRef>
          </c:val>
          <c:extLst>
            <c:ext xmlns:c16="http://schemas.microsoft.com/office/drawing/2014/chart" uri="{C3380CC4-5D6E-409C-BE32-E72D297353CC}">
              <c16:uniqueId val="{00000001-CB88-4263-AB6F-375B6EDAD136}"/>
            </c:ext>
          </c:extLst>
        </c:ser>
        <c:dLbls>
          <c:dLblPos val="outEnd"/>
          <c:showLegendKey val="0"/>
          <c:showVal val="1"/>
          <c:showCatName val="0"/>
          <c:showSerName val="0"/>
          <c:showPercent val="0"/>
          <c:showBubbleSize val="0"/>
        </c:dLbls>
        <c:gapWidth val="150"/>
        <c:axId val="521241648"/>
        <c:axId val="521237056"/>
      </c:barChart>
      <c:catAx>
        <c:axId val="5212416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37056"/>
        <c:crosses val="autoZero"/>
        <c:auto val="1"/>
        <c:lblAlgn val="ctr"/>
        <c:lblOffset val="100"/>
        <c:noMultiLvlLbl val="0"/>
      </c:catAx>
      <c:valAx>
        <c:axId val="521237056"/>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Units_Quantity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Rejected_VS_Accepted_Units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Sheet1!$D$47</c:f>
              <c:strCache>
                <c:ptCount val="1"/>
                <c:pt idx="0">
                  <c:v>Sum of Accepted_Units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Sheet1!$D$48</c:f>
              <c:numCache>
                <c:formatCode>General</c:formatCode>
                <c:ptCount val="1"/>
                <c:pt idx="0">
                  <c:v>705614</c:v>
                </c:pt>
              </c:numCache>
            </c:numRef>
          </c:val>
          <c:extLst>
            <c:ext xmlns:c16="http://schemas.microsoft.com/office/drawing/2014/chart" uri="{C3380CC4-5D6E-409C-BE32-E72D297353CC}">
              <c16:uniqueId val="{00000000-5893-4A09-9678-7FB29909EFFA}"/>
            </c:ext>
          </c:extLst>
        </c:ser>
        <c:ser>
          <c:idx val="1"/>
          <c:order val="1"/>
          <c:tx>
            <c:strRef>
              <c:f>Sheet1!$E$47</c:f>
              <c:strCache>
                <c:ptCount val="1"/>
                <c:pt idx="0">
                  <c:v>Sum of Rejected_Units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Sheet1!$E$48</c:f>
              <c:numCache>
                <c:formatCode>General</c:formatCode>
                <c:ptCount val="1"/>
                <c:pt idx="0">
                  <c:v>13424</c:v>
                </c:pt>
              </c:numCache>
            </c:numRef>
          </c:val>
          <c:extLst>
            <c:ext xmlns:c16="http://schemas.microsoft.com/office/drawing/2014/chart" uri="{C3380CC4-5D6E-409C-BE32-E72D297353CC}">
              <c16:uniqueId val="{00000001-5893-4A09-9678-7FB29909EFFA}"/>
            </c:ext>
          </c:extLst>
        </c:ser>
        <c:dLbls>
          <c:dLblPos val="outEnd"/>
          <c:showLegendKey val="0"/>
          <c:showVal val="1"/>
          <c:showCatName val="0"/>
          <c:showSerName val="0"/>
          <c:showPercent val="0"/>
          <c:showBubbleSize val="0"/>
        </c:dLbls>
        <c:gapWidth val="219"/>
        <c:overlap val="-27"/>
        <c:axId val="513035128"/>
        <c:axId val="526019592"/>
      </c:barChart>
      <c:catAx>
        <c:axId val="513035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19592"/>
        <c:crosses val="autoZero"/>
        <c:auto val="1"/>
        <c:lblAlgn val="ctr"/>
        <c:lblOffset val="100"/>
        <c:noMultiLvlLbl val="0"/>
      </c:catAx>
      <c:valAx>
        <c:axId val="526019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35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Quantity_Of_Material_Category_Per</a:t>
            </a:r>
            <a:r>
              <a:rPr lang="en-US" b="1" baseline="0"/>
              <a:t>_Depot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Sheet1!$B$87:$B$88</c:f>
              <c:strCache>
                <c:ptCount val="1"/>
                <c:pt idx="0">
                  <c:v>Eldoret Depot</c:v>
                </c:pt>
              </c:strCache>
            </c:strRef>
          </c:tx>
          <c:spPr>
            <a:solidFill>
              <a:schemeClr val="accent1"/>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Sheet1!$B$89:$B$95</c:f>
              <c:numCache>
                <c:formatCode>General</c:formatCode>
                <c:ptCount val="6"/>
                <c:pt idx="0">
                  <c:v>43690</c:v>
                </c:pt>
                <c:pt idx="1">
                  <c:v>36178</c:v>
                </c:pt>
                <c:pt idx="2">
                  <c:v>24698</c:v>
                </c:pt>
                <c:pt idx="3">
                  <c:v>35337</c:v>
                </c:pt>
                <c:pt idx="4">
                  <c:v>34396</c:v>
                </c:pt>
                <c:pt idx="5">
                  <c:v>32935</c:v>
                </c:pt>
              </c:numCache>
            </c:numRef>
          </c:val>
          <c:extLst>
            <c:ext xmlns:c16="http://schemas.microsoft.com/office/drawing/2014/chart" uri="{C3380CC4-5D6E-409C-BE32-E72D297353CC}">
              <c16:uniqueId val="{00000000-BDF5-4AEC-800F-C1A0E2BC1EA0}"/>
            </c:ext>
          </c:extLst>
        </c:ser>
        <c:ser>
          <c:idx val="1"/>
          <c:order val="1"/>
          <c:tx>
            <c:strRef>
              <c:f>Sheet1!$C$87:$C$88</c:f>
              <c:strCache>
                <c:ptCount val="1"/>
                <c:pt idx="0">
                  <c:v>Mombasa Depot</c:v>
                </c:pt>
              </c:strCache>
            </c:strRef>
          </c:tx>
          <c:spPr>
            <a:solidFill>
              <a:schemeClr val="accent2"/>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Sheet1!$C$89:$C$95</c:f>
              <c:numCache>
                <c:formatCode>General</c:formatCode>
                <c:ptCount val="6"/>
                <c:pt idx="0">
                  <c:v>46381</c:v>
                </c:pt>
                <c:pt idx="1">
                  <c:v>36356</c:v>
                </c:pt>
                <c:pt idx="2">
                  <c:v>59443</c:v>
                </c:pt>
                <c:pt idx="3">
                  <c:v>46427</c:v>
                </c:pt>
                <c:pt idx="4">
                  <c:v>49864</c:v>
                </c:pt>
                <c:pt idx="5">
                  <c:v>38102</c:v>
                </c:pt>
              </c:numCache>
            </c:numRef>
          </c:val>
          <c:extLst>
            <c:ext xmlns:c16="http://schemas.microsoft.com/office/drawing/2014/chart" uri="{C3380CC4-5D6E-409C-BE32-E72D297353CC}">
              <c16:uniqueId val="{00000006-BDF5-4AEC-800F-C1A0E2BC1EA0}"/>
            </c:ext>
          </c:extLst>
        </c:ser>
        <c:ser>
          <c:idx val="2"/>
          <c:order val="2"/>
          <c:tx>
            <c:strRef>
              <c:f>Sheet1!$D$87:$D$88</c:f>
              <c:strCache>
                <c:ptCount val="1"/>
                <c:pt idx="0">
                  <c:v>Nairobi Depot</c:v>
                </c:pt>
              </c:strCache>
            </c:strRef>
          </c:tx>
          <c:spPr>
            <a:solidFill>
              <a:schemeClr val="accent3"/>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Sheet1!$D$89:$D$95</c:f>
              <c:numCache>
                <c:formatCode>General</c:formatCode>
                <c:ptCount val="6"/>
                <c:pt idx="0">
                  <c:v>49225</c:v>
                </c:pt>
                <c:pt idx="1">
                  <c:v>45857</c:v>
                </c:pt>
                <c:pt idx="2">
                  <c:v>43987</c:v>
                </c:pt>
                <c:pt idx="3">
                  <c:v>33402</c:v>
                </c:pt>
                <c:pt idx="4">
                  <c:v>41594</c:v>
                </c:pt>
                <c:pt idx="5">
                  <c:v>38126</c:v>
                </c:pt>
              </c:numCache>
            </c:numRef>
          </c:val>
          <c:extLst>
            <c:ext xmlns:c16="http://schemas.microsoft.com/office/drawing/2014/chart" uri="{C3380CC4-5D6E-409C-BE32-E72D297353CC}">
              <c16:uniqueId val="{00000007-BDF5-4AEC-800F-C1A0E2BC1EA0}"/>
            </c:ext>
          </c:extLst>
        </c:ser>
        <c:ser>
          <c:idx val="3"/>
          <c:order val="3"/>
          <c:tx>
            <c:strRef>
              <c:f>Sheet1!$E$87:$E$88</c:f>
              <c:strCache>
                <c:ptCount val="1"/>
                <c:pt idx="0">
                  <c:v>Nakuru Depot</c:v>
                </c:pt>
              </c:strCache>
            </c:strRef>
          </c:tx>
          <c:spPr>
            <a:solidFill>
              <a:schemeClr val="accent4"/>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Sheet1!$E$89:$E$95</c:f>
              <c:numCache>
                <c:formatCode>General</c:formatCode>
                <c:ptCount val="6"/>
                <c:pt idx="0">
                  <c:v>49938</c:v>
                </c:pt>
                <c:pt idx="1">
                  <c:v>59297</c:v>
                </c:pt>
                <c:pt idx="2">
                  <c:v>43745</c:v>
                </c:pt>
                <c:pt idx="3">
                  <c:v>45060</c:v>
                </c:pt>
                <c:pt idx="4">
                  <c:v>38720</c:v>
                </c:pt>
                <c:pt idx="5">
                  <c:v>38604</c:v>
                </c:pt>
              </c:numCache>
            </c:numRef>
          </c:val>
          <c:extLst>
            <c:ext xmlns:c16="http://schemas.microsoft.com/office/drawing/2014/chart" uri="{C3380CC4-5D6E-409C-BE32-E72D297353CC}">
              <c16:uniqueId val="{00000008-BDF5-4AEC-800F-C1A0E2BC1EA0}"/>
            </c:ext>
          </c:extLst>
        </c:ser>
        <c:dLbls>
          <c:showLegendKey val="0"/>
          <c:showVal val="0"/>
          <c:showCatName val="0"/>
          <c:showSerName val="0"/>
          <c:showPercent val="0"/>
          <c:showBubbleSize val="0"/>
        </c:dLbls>
        <c:gapWidth val="219"/>
        <c:overlap val="-27"/>
        <c:axId val="563018464"/>
        <c:axId val="563020432"/>
      </c:barChart>
      <c:catAx>
        <c:axId val="56301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Material</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20432"/>
        <c:crosses val="autoZero"/>
        <c:auto val="1"/>
        <c:lblAlgn val="ctr"/>
        <c:lblOffset val="100"/>
        <c:noMultiLvlLbl val="0"/>
      </c:catAx>
      <c:valAx>
        <c:axId val="56302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Sheet1!$C$120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Sheet1!$B$121:$B$133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Sheet1!$C$121:$C$133</c:f>
              <c:numCache>
                <c:formatCode>General</c:formatCode>
                <c:ptCount val="12"/>
                <c:pt idx="0">
                  <c:v>51421</c:v>
                </c:pt>
                <c:pt idx="1">
                  <c:v>74000</c:v>
                </c:pt>
                <c:pt idx="2">
                  <c:v>57251</c:v>
                </c:pt>
                <c:pt idx="3">
                  <c:v>63586</c:v>
                </c:pt>
                <c:pt idx="4">
                  <c:v>45018</c:v>
                </c:pt>
                <c:pt idx="5">
                  <c:v>70355</c:v>
                </c:pt>
                <c:pt idx="6">
                  <c:v>60288</c:v>
                </c:pt>
                <c:pt idx="7">
                  <c:v>53108</c:v>
                </c:pt>
                <c:pt idx="8">
                  <c:v>50810</c:v>
                </c:pt>
                <c:pt idx="9">
                  <c:v>77073</c:v>
                </c:pt>
                <c:pt idx="10">
                  <c:v>50068</c:v>
                </c:pt>
                <c:pt idx="11">
                  <c:v>66060</c:v>
                </c:pt>
              </c:numCache>
            </c:numRef>
          </c:val>
          <c:smooth val="0"/>
          <c:extLst>
            <c:ext xmlns:c16="http://schemas.microsoft.com/office/drawing/2014/chart" uri="{C3380CC4-5D6E-409C-BE32-E72D297353CC}">
              <c16:uniqueId val="{00000000-CDAC-422C-8A2C-8F592E30B918}"/>
            </c:ext>
          </c:extLst>
        </c:ser>
        <c:dLbls>
          <c:showLegendKey val="0"/>
          <c:showVal val="0"/>
          <c:showCatName val="0"/>
          <c:showSerName val="0"/>
          <c:showPercent val="0"/>
          <c:showBubbleSize val="0"/>
        </c:dLbls>
        <c:marker val="1"/>
        <c:smooth val="0"/>
        <c:axId val="513009848"/>
        <c:axId val="513007224"/>
      </c:lineChart>
      <c:catAx>
        <c:axId val="513009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7224"/>
        <c:crosses val="autoZero"/>
        <c:auto val="1"/>
        <c:lblAlgn val="ctr"/>
        <c:lblOffset val="100"/>
        <c:noMultiLvlLbl val="0"/>
      </c:catAx>
      <c:valAx>
        <c:axId val="513007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Toal_units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9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none"/>
              <a:t>Total_Production_Cost_per_Company.</a:t>
            </a:r>
            <a:r>
              <a:rPr lang="en-US" b="1" u="sng"/>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manualLayout>
          <c:layoutTarget val="inner"/>
          <c:xMode val="edge"/>
          <c:yMode val="edge"/>
          <c:x val="0.20841211109356317"/>
          <c:y val="0.16017458045017099"/>
          <c:w val="0.63773431246626089"/>
          <c:h val="0.65853091280256637"/>
        </c:manualLayout>
      </c:layout>
      <c:barChart>
        <c:barDir val="bar"/>
        <c:grouping val="clustered"/>
        <c:varyColors val="0"/>
        <c:ser>
          <c:idx val="0"/>
          <c:order val="0"/>
          <c:tx>
            <c:strRef>
              <c:f>Sheet1!$B$3:$B$4</c:f>
              <c:strCache>
                <c:ptCount val="1"/>
                <c:pt idx="0">
                  <c:v>Construction Additives</c:v>
                </c:pt>
              </c:strCache>
            </c:strRef>
          </c:tx>
          <c:spPr>
            <a:solidFill>
              <a:schemeClr val="accent1"/>
            </a:solidFill>
            <a:ln>
              <a:noFill/>
            </a:ln>
            <a:effectLst/>
          </c:spPr>
          <c:invertIfNegative val="0"/>
          <c:cat>
            <c:strRef>
              <c:f>Sheet1!$A$5:$A$8</c:f>
              <c:strCache>
                <c:ptCount val="3"/>
                <c:pt idx="0">
                  <c:v>Athi River Plant</c:v>
                </c:pt>
                <c:pt idx="1">
                  <c:v>Mombasa Plant</c:v>
                </c:pt>
                <c:pt idx="2">
                  <c:v>Nakuru Plant</c:v>
                </c:pt>
              </c:strCache>
            </c:strRef>
          </c:cat>
          <c:val>
            <c:numRef>
              <c:f>Sheet1!$B$5:$B$8</c:f>
              <c:numCache>
                <c:formatCode>General</c:formatCode>
                <c:ptCount val="3"/>
                <c:pt idx="0">
                  <c:v>2931697.07</c:v>
                </c:pt>
                <c:pt idx="1">
                  <c:v>3549031.3899999997</c:v>
                </c:pt>
                <c:pt idx="2">
                  <c:v>3638109.9</c:v>
                </c:pt>
              </c:numCache>
            </c:numRef>
          </c:val>
          <c:extLst>
            <c:ext xmlns:c16="http://schemas.microsoft.com/office/drawing/2014/chart" uri="{C3380CC4-5D6E-409C-BE32-E72D297353CC}">
              <c16:uniqueId val="{00000000-80F7-4422-AB3C-6D2AEDF103ED}"/>
            </c:ext>
          </c:extLst>
        </c:ser>
        <c:ser>
          <c:idx val="1"/>
          <c:order val="1"/>
          <c:tx>
            <c:strRef>
              <c:f>Sheet1!$C$3:$C$4</c:f>
              <c:strCache>
                <c:ptCount val="1"/>
                <c:pt idx="0">
                  <c:v>Industrial Cleaners</c:v>
                </c:pt>
              </c:strCache>
            </c:strRef>
          </c:tx>
          <c:spPr>
            <a:solidFill>
              <a:schemeClr val="accent2"/>
            </a:solidFill>
            <a:ln>
              <a:noFill/>
            </a:ln>
            <a:effectLst/>
          </c:spPr>
          <c:invertIfNegative val="0"/>
          <c:cat>
            <c:strRef>
              <c:f>Sheet1!$A$5:$A$8</c:f>
              <c:strCache>
                <c:ptCount val="3"/>
                <c:pt idx="0">
                  <c:v>Athi River Plant</c:v>
                </c:pt>
                <c:pt idx="1">
                  <c:v>Mombasa Plant</c:v>
                </c:pt>
                <c:pt idx="2">
                  <c:v>Nakuru Plant</c:v>
                </c:pt>
              </c:strCache>
            </c:strRef>
          </c:cat>
          <c:val>
            <c:numRef>
              <c:f>Sheet1!$C$5:$C$8</c:f>
              <c:numCache>
                <c:formatCode>General</c:formatCode>
                <c:ptCount val="3"/>
                <c:pt idx="0">
                  <c:v>3835277.0500000003</c:v>
                </c:pt>
                <c:pt idx="1">
                  <c:v>4708701.0500000007</c:v>
                </c:pt>
                <c:pt idx="2">
                  <c:v>3979502.58</c:v>
                </c:pt>
              </c:numCache>
            </c:numRef>
          </c:val>
          <c:extLst>
            <c:ext xmlns:c16="http://schemas.microsoft.com/office/drawing/2014/chart" uri="{C3380CC4-5D6E-409C-BE32-E72D297353CC}">
              <c16:uniqueId val="{00000007-80F7-4422-AB3C-6D2AEDF103ED}"/>
            </c:ext>
          </c:extLst>
        </c:ser>
        <c:ser>
          <c:idx val="2"/>
          <c:order val="2"/>
          <c:tx>
            <c:strRef>
              <c:f>Sheet1!$D$3:$D$4</c:f>
              <c:strCache>
                <c:ptCount val="1"/>
                <c:pt idx="0">
                  <c:v>Packaging Resin</c:v>
                </c:pt>
              </c:strCache>
            </c:strRef>
          </c:tx>
          <c:spPr>
            <a:solidFill>
              <a:schemeClr val="accent3"/>
            </a:solidFill>
            <a:ln>
              <a:noFill/>
            </a:ln>
            <a:effectLst/>
          </c:spPr>
          <c:invertIfNegative val="0"/>
          <c:cat>
            <c:strRef>
              <c:f>Sheet1!$A$5:$A$8</c:f>
              <c:strCache>
                <c:ptCount val="3"/>
                <c:pt idx="0">
                  <c:v>Athi River Plant</c:v>
                </c:pt>
                <c:pt idx="1">
                  <c:v>Mombasa Plant</c:v>
                </c:pt>
                <c:pt idx="2">
                  <c:v>Nakuru Plant</c:v>
                </c:pt>
              </c:strCache>
            </c:strRef>
          </c:cat>
          <c:val>
            <c:numRef>
              <c:f>Sheet1!$D$5:$D$8</c:f>
              <c:numCache>
                <c:formatCode>General</c:formatCode>
                <c:ptCount val="3"/>
                <c:pt idx="0">
                  <c:v>4184172.3900000011</c:v>
                </c:pt>
                <c:pt idx="1">
                  <c:v>4314451.9399999995</c:v>
                </c:pt>
                <c:pt idx="2">
                  <c:v>3908928.7099999995</c:v>
                </c:pt>
              </c:numCache>
            </c:numRef>
          </c:val>
          <c:extLst>
            <c:ext xmlns:c16="http://schemas.microsoft.com/office/drawing/2014/chart" uri="{C3380CC4-5D6E-409C-BE32-E72D297353CC}">
              <c16:uniqueId val="{00000008-80F7-4422-AB3C-6D2AEDF103ED}"/>
            </c:ext>
          </c:extLst>
        </c:ser>
        <c:ser>
          <c:idx val="3"/>
          <c:order val="3"/>
          <c:tx>
            <c:strRef>
              <c:f>Sheet1!$E$3:$E$4</c:f>
              <c:strCache>
                <c:ptCount val="1"/>
                <c:pt idx="0">
                  <c:v>Protective Coatings</c:v>
                </c:pt>
              </c:strCache>
            </c:strRef>
          </c:tx>
          <c:spPr>
            <a:solidFill>
              <a:schemeClr val="accent4"/>
            </a:solidFill>
            <a:ln>
              <a:noFill/>
            </a:ln>
            <a:effectLst/>
          </c:spPr>
          <c:invertIfNegative val="0"/>
          <c:cat>
            <c:strRef>
              <c:f>Sheet1!$A$5:$A$8</c:f>
              <c:strCache>
                <c:ptCount val="3"/>
                <c:pt idx="0">
                  <c:v>Athi River Plant</c:v>
                </c:pt>
                <c:pt idx="1">
                  <c:v>Mombasa Plant</c:v>
                </c:pt>
                <c:pt idx="2">
                  <c:v>Nakuru Plant</c:v>
                </c:pt>
              </c:strCache>
            </c:strRef>
          </c:cat>
          <c:val>
            <c:numRef>
              <c:f>Sheet1!$E$5:$E$8</c:f>
              <c:numCache>
                <c:formatCode>General</c:formatCode>
                <c:ptCount val="3"/>
                <c:pt idx="0">
                  <c:v>5068281.8599999994</c:v>
                </c:pt>
                <c:pt idx="1">
                  <c:v>2541742.5399999996</c:v>
                </c:pt>
                <c:pt idx="2">
                  <c:v>3680078.2600000002</c:v>
                </c:pt>
              </c:numCache>
            </c:numRef>
          </c:val>
          <c:extLst>
            <c:ext xmlns:c16="http://schemas.microsoft.com/office/drawing/2014/chart" uri="{C3380CC4-5D6E-409C-BE32-E72D297353CC}">
              <c16:uniqueId val="{00000009-80F7-4422-AB3C-6D2AEDF103ED}"/>
            </c:ext>
          </c:extLst>
        </c:ser>
        <c:ser>
          <c:idx val="4"/>
          <c:order val="4"/>
          <c:tx>
            <c:strRef>
              <c:f>Sheet1!$F$3:$F$4</c:f>
              <c:strCache>
                <c:ptCount val="1"/>
                <c:pt idx="0">
                  <c:v>Water Treatment Chemicals</c:v>
                </c:pt>
              </c:strCache>
            </c:strRef>
          </c:tx>
          <c:spPr>
            <a:solidFill>
              <a:schemeClr val="accent5"/>
            </a:solidFill>
            <a:ln>
              <a:noFill/>
            </a:ln>
            <a:effectLst/>
          </c:spPr>
          <c:invertIfNegative val="0"/>
          <c:cat>
            <c:strRef>
              <c:f>Sheet1!$A$5:$A$8</c:f>
              <c:strCache>
                <c:ptCount val="3"/>
                <c:pt idx="0">
                  <c:v>Athi River Plant</c:v>
                </c:pt>
                <c:pt idx="1">
                  <c:v>Mombasa Plant</c:v>
                </c:pt>
                <c:pt idx="2">
                  <c:v>Nakuru Plant</c:v>
                </c:pt>
              </c:strCache>
            </c:strRef>
          </c:cat>
          <c:val>
            <c:numRef>
              <c:f>Sheet1!$F$5:$F$8</c:f>
              <c:numCache>
                <c:formatCode>General</c:formatCode>
                <c:ptCount val="3"/>
                <c:pt idx="0">
                  <c:v>4025045.8900000006</c:v>
                </c:pt>
                <c:pt idx="1">
                  <c:v>3773468.5399999991</c:v>
                </c:pt>
                <c:pt idx="2">
                  <c:v>4010555.2299999991</c:v>
                </c:pt>
              </c:numCache>
            </c:numRef>
          </c:val>
          <c:extLst>
            <c:ext xmlns:c16="http://schemas.microsoft.com/office/drawing/2014/chart" uri="{C3380CC4-5D6E-409C-BE32-E72D297353CC}">
              <c16:uniqueId val="{0000000A-80F7-4422-AB3C-6D2AEDF103ED}"/>
            </c:ext>
          </c:extLst>
        </c:ser>
        <c:dLbls>
          <c:showLegendKey val="0"/>
          <c:showVal val="0"/>
          <c:showCatName val="0"/>
          <c:showSerName val="0"/>
          <c:showPercent val="0"/>
          <c:showBubbleSize val="0"/>
        </c:dLbls>
        <c:gapWidth val="219"/>
        <c:axId val="306240072"/>
        <c:axId val="306244008"/>
      </c:barChart>
      <c:catAx>
        <c:axId val="306240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Company</a:t>
                </a:r>
                <a:r>
                  <a:rPr lang="en-US"/>
                  <a:t> </a:t>
                </a:r>
              </a:p>
            </c:rich>
          </c:tx>
          <c:layout>
            <c:manualLayout>
              <c:xMode val="edge"/>
              <c:yMode val="edge"/>
              <c:x val="1.4144274229331651E-2"/>
              <c:y val="0.377268352819533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4008"/>
        <c:crosses val="autoZero"/>
        <c:auto val="1"/>
        <c:lblAlgn val="ctr"/>
        <c:lblOffset val="100"/>
        <c:noMultiLvlLbl val="0"/>
      </c:catAx>
      <c:valAx>
        <c:axId val="306244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0072"/>
        <c:crosses val="autoZero"/>
        <c:crossBetween val="between"/>
      </c:valAx>
      <c:spPr>
        <a:noFill/>
        <a:ln>
          <a:noFill/>
        </a:ln>
        <a:effectLst/>
      </c:spPr>
    </c:plotArea>
    <c:legend>
      <c:legendPos val="r"/>
      <c:layout>
        <c:manualLayout>
          <c:xMode val="edge"/>
          <c:yMode val="edge"/>
          <c:x val="0.76213722747407286"/>
          <c:y val="0.29220790582995304"/>
          <c:w val="0.23786277252592705"/>
          <c:h val="0.52714944722818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Sheet1!$B$41</c:f>
              <c:strCache>
                <c:ptCount val="1"/>
                <c:pt idx="0">
                  <c:v>Total</c:v>
                </c:pt>
              </c:strCache>
            </c:strRef>
          </c:tx>
          <c:spPr>
            <a:solidFill>
              <a:schemeClr val="accent1"/>
            </a:solidFill>
            <a:ln>
              <a:noFill/>
            </a:ln>
            <a:effectLst/>
          </c:spPr>
          <c:invertIfNegative val="0"/>
          <c:cat>
            <c:strRef>
              <c:f>Sheet1!$A$42:$A$47</c:f>
              <c:strCache>
                <c:ptCount val="5"/>
                <c:pt idx="0">
                  <c:v>Construction Additives</c:v>
                </c:pt>
                <c:pt idx="1">
                  <c:v>Protective Coatings</c:v>
                </c:pt>
                <c:pt idx="2">
                  <c:v>Water Treatment Chemicals</c:v>
                </c:pt>
                <c:pt idx="3">
                  <c:v>Packaging Resin</c:v>
                </c:pt>
                <c:pt idx="4">
                  <c:v>Industrial Cleaners</c:v>
                </c:pt>
              </c:strCache>
            </c:strRef>
          </c:cat>
          <c:val>
            <c:numRef>
              <c:f>Sheet1!$B$42:$B$47</c:f>
              <c:numCache>
                <c:formatCode>General</c:formatCode>
                <c:ptCount val="5"/>
                <c:pt idx="0">
                  <c:v>10118838.359999998</c:v>
                </c:pt>
                <c:pt idx="1">
                  <c:v>11290102.66</c:v>
                </c:pt>
                <c:pt idx="2">
                  <c:v>11809069.660000004</c:v>
                </c:pt>
                <c:pt idx="3">
                  <c:v>12407553.039999999</c:v>
                </c:pt>
                <c:pt idx="4">
                  <c:v>12523480.679999998</c:v>
                </c:pt>
              </c:numCache>
            </c:numRef>
          </c:val>
          <c:extLst>
            <c:ext xmlns:c16="http://schemas.microsoft.com/office/drawing/2014/chart" uri="{C3380CC4-5D6E-409C-BE32-E72D297353CC}">
              <c16:uniqueId val="{00000000-F78A-48AF-BB12-6B348CAD4256}"/>
            </c:ext>
          </c:extLst>
        </c:ser>
        <c:dLbls>
          <c:showLegendKey val="0"/>
          <c:showVal val="0"/>
          <c:showCatName val="0"/>
          <c:showSerName val="0"/>
          <c:showPercent val="0"/>
          <c:showBubbleSize val="0"/>
        </c:dLbls>
        <c:gapWidth val="219"/>
        <c:overlap val="-27"/>
        <c:axId val="424521168"/>
        <c:axId val="424520184"/>
      </c:barChart>
      <c:catAx>
        <c:axId val="42452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0184"/>
        <c:crosses val="autoZero"/>
        <c:auto val="1"/>
        <c:lblAlgn val="ctr"/>
        <c:lblOffset val="100"/>
        <c:noMultiLvlLbl val="0"/>
      </c:catAx>
      <c:valAx>
        <c:axId val="424520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Target_vs_Produced_Units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0727479819741"/>
          <c:y val="0.18282674772036475"/>
          <c:w val="0.47130830344320168"/>
          <c:h val="0.67935643682837521"/>
        </c:manualLayout>
      </c:layout>
      <c:barChart>
        <c:barDir val="col"/>
        <c:grouping val="clustered"/>
        <c:varyColors val="0"/>
        <c:ser>
          <c:idx val="0"/>
          <c:order val="0"/>
          <c:tx>
            <c:strRef>
              <c:f>Sheet1!$E$26</c:f>
              <c:strCache>
                <c:ptCount val="1"/>
                <c:pt idx="0">
                  <c:v>Sum of Target_Units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Sheet1!$E$27</c:f>
              <c:numCache>
                <c:formatCode>General</c:formatCode>
                <c:ptCount val="1"/>
                <c:pt idx="0">
                  <c:v>752080</c:v>
                </c:pt>
              </c:numCache>
            </c:numRef>
          </c:val>
          <c:extLst>
            <c:ext xmlns:c16="http://schemas.microsoft.com/office/drawing/2014/chart" uri="{C3380CC4-5D6E-409C-BE32-E72D297353CC}">
              <c16:uniqueId val="{00000000-A66F-4138-9BE7-26CFACCCD3FC}"/>
            </c:ext>
          </c:extLst>
        </c:ser>
        <c:ser>
          <c:idx val="1"/>
          <c:order val="1"/>
          <c:tx>
            <c:strRef>
              <c:f>Sheet1!$F$26</c:f>
              <c:strCache>
                <c:ptCount val="1"/>
                <c:pt idx="0">
                  <c:v>Sum of Units_Produced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Sheet1!$F$27</c:f>
              <c:numCache>
                <c:formatCode>General</c:formatCode>
                <c:ptCount val="1"/>
                <c:pt idx="0">
                  <c:v>719038</c:v>
                </c:pt>
              </c:numCache>
            </c:numRef>
          </c:val>
          <c:extLst>
            <c:ext xmlns:c16="http://schemas.microsoft.com/office/drawing/2014/chart" uri="{C3380CC4-5D6E-409C-BE32-E72D297353CC}">
              <c16:uniqueId val="{00000001-A66F-4138-9BE7-26CFACCCD3FC}"/>
            </c:ext>
          </c:extLst>
        </c:ser>
        <c:dLbls>
          <c:dLblPos val="outEnd"/>
          <c:showLegendKey val="0"/>
          <c:showVal val="1"/>
          <c:showCatName val="0"/>
          <c:showSerName val="0"/>
          <c:showPercent val="0"/>
          <c:showBubbleSize val="0"/>
        </c:dLbls>
        <c:gapWidth val="150"/>
        <c:axId val="521241648"/>
        <c:axId val="521237056"/>
      </c:barChart>
      <c:catAx>
        <c:axId val="5212416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37056"/>
        <c:crosses val="autoZero"/>
        <c:auto val="1"/>
        <c:lblAlgn val="ctr"/>
        <c:lblOffset val="100"/>
        <c:noMultiLvlLbl val="0"/>
      </c:catAx>
      <c:valAx>
        <c:axId val="52123705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Units_Quantity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Company_Operational_Perfomance.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rgbClr val="0070C0"/>
          </a:solidFill>
          <a:ln>
            <a:noFill/>
          </a:ln>
          <a:effectLst/>
        </c:spPr>
        <c:marker>
          <c:symbol val="none"/>
        </c:marker>
      </c:pivotFmt>
      <c:pivotFmt>
        <c:idx val="6"/>
        <c:spPr>
          <a:solidFill>
            <a:srgbClr val="C00000"/>
          </a:solidFill>
          <a:ln>
            <a:noFill/>
          </a:ln>
          <a:effectLst/>
        </c:spPr>
      </c:pivotFmt>
    </c:pivotFmts>
    <c:plotArea>
      <c:layout>
        <c:manualLayout>
          <c:layoutTarget val="inner"/>
          <c:xMode val="edge"/>
          <c:yMode val="edge"/>
          <c:x val="0.1788835219127021"/>
          <c:y val="0.13221784776902887"/>
          <c:w val="0.54035783027121609"/>
          <c:h val="0.65853091280256637"/>
        </c:manualLayout>
      </c:layout>
      <c:barChart>
        <c:barDir val="col"/>
        <c:grouping val="clustered"/>
        <c:varyColors val="0"/>
        <c:ser>
          <c:idx val="0"/>
          <c:order val="0"/>
          <c:tx>
            <c:strRef>
              <c:f>Sheet1!$B$65</c:f>
              <c:strCache>
                <c:ptCount val="1"/>
                <c:pt idx="0">
                  <c:v> Downtime_Hours</c:v>
                </c:pt>
              </c:strCache>
            </c:strRef>
          </c:tx>
          <c:spPr>
            <a:solidFill>
              <a:srgbClr val="FF0000"/>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BAA8-41B1-87AA-454E1E6A8D30}"/>
              </c:ext>
            </c:extLst>
          </c:dPt>
          <c:cat>
            <c:strRef>
              <c:f>Sheet1!$A$66:$A$69</c:f>
              <c:strCache>
                <c:ptCount val="3"/>
                <c:pt idx="0">
                  <c:v>Athi River Plant</c:v>
                </c:pt>
                <c:pt idx="1">
                  <c:v>Mombasa Plant</c:v>
                </c:pt>
                <c:pt idx="2">
                  <c:v>Nakuru Plant</c:v>
                </c:pt>
              </c:strCache>
            </c:strRef>
          </c:cat>
          <c:val>
            <c:numRef>
              <c:f>Sheet1!$B$66:$B$69</c:f>
              <c:numCache>
                <c:formatCode>General</c:formatCode>
                <c:ptCount val="3"/>
                <c:pt idx="0">
                  <c:v>205</c:v>
                </c:pt>
                <c:pt idx="1">
                  <c:v>198</c:v>
                </c:pt>
                <c:pt idx="2">
                  <c:v>197</c:v>
                </c:pt>
              </c:numCache>
            </c:numRef>
          </c:val>
          <c:extLst>
            <c:ext xmlns:c16="http://schemas.microsoft.com/office/drawing/2014/chart" uri="{C3380CC4-5D6E-409C-BE32-E72D297353CC}">
              <c16:uniqueId val="{00000000-BAA8-41B1-87AA-454E1E6A8D30}"/>
            </c:ext>
          </c:extLst>
        </c:ser>
        <c:ser>
          <c:idx val="1"/>
          <c:order val="1"/>
          <c:tx>
            <c:strRef>
              <c:f>Sheet1!$C$65</c:f>
              <c:strCache>
                <c:ptCount val="1"/>
                <c:pt idx="0">
                  <c:v> Operating_Hours</c:v>
                </c:pt>
              </c:strCache>
            </c:strRef>
          </c:tx>
          <c:spPr>
            <a:solidFill>
              <a:srgbClr val="0070C0"/>
            </a:solidFill>
            <a:ln>
              <a:noFill/>
            </a:ln>
            <a:effectLst/>
          </c:spPr>
          <c:invertIfNegative val="0"/>
          <c:cat>
            <c:strRef>
              <c:f>Sheet1!$A$66:$A$69</c:f>
              <c:strCache>
                <c:ptCount val="3"/>
                <c:pt idx="0">
                  <c:v>Athi River Plant</c:v>
                </c:pt>
                <c:pt idx="1">
                  <c:v>Mombasa Plant</c:v>
                </c:pt>
                <c:pt idx="2">
                  <c:v>Nakuru Plant</c:v>
                </c:pt>
              </c:strCache>
            </c:strRef>
          </c:cat>
          <c:val>
            <c:numRef>
              <c:f>Sheet1!$C$66:$C$69</c:f>
              <c:numCache>
                <c:formatCode>General</c:formatCode>
                <c:ptCount val="3"/>
                <c:pt idx="0">
                  <c:v>1489.3999999999994</c:v>
                </c:pt>
                <c:pt idx="1">
                  <c:v>1425.0000000000007</c:v>
                </c:pt>
                <c:pt idx="2">
                  <c:v>1434.0999999999992</c:v>
                </c:pt>
              </c:numCache>
            </c:numRef>
          </c:val>
          <c:extLst>
            <c:ext xmlns:c16="http://schemas.microsoft.com/office/drawing/2014/chart" uri="{C3380CC4-5D6E-409C-BE32-E72D297353CC}">
              <c16:uniqueId val="{00000001-BAA8-41B1-87AA-454E1E6A8D30}"/>
            </c:ext>
          </c:extLst>
        </c:ser>
        <c:dLbls>
          <c:showLegendKey val="0"/>
          <c:showVal val="0"/>
          <c:showCatName val="0"/>
          <c:showSerName val="0"/>
          <c:showPercent val="0"/>
          <c:showBubbleSize val="0"/>
        </c:dLbls>
        <c:gapWidth val="219"/>
        <c:overlap val="-27"/>
        <c:axId val="524104384"/>
        <c:axId val="524103728"/>
      </c:barChart>
      <c:catAx>
        <c:axId val="52410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3728"/>
        <c:crosses val="autoZero"/>
        <c:auto val="1"/>
        <c:lblAlgn val="ctr"/>
        <c:lblOffset val="100"/>
        <c:noMultiLvlLbl val="0"/>
      </c:catAx>
      <c:valAx>
        <c:axId val="52410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Rejected_VS_Accepted_Units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87948440407213"/>
          <c:y val="0.20605555555555558"/>
          <c:w val="0.30754292505889597"/>
          <c:h val="0.54725940507436566"/>
        </c:manualLayout>
      </c:layout>
      <c:barChart>
        <c:barDir val="col"/>
        <c:grouping val="clustered"/>
        <c:varyColors val="0"/>
        <c:ser>
          <c:idx val="0"/>
          <c:order val="0"/>
          <c:tx>
            <c:strRef>
              <c:f>Sheet1!$D$47</c:f>
              <c:strCache>
                <c:ptCount val="1"/>
                <c:pt idx="0">
                  <c:v>Sum of Accepted_Units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Sheet1!$D$48</c:f>
              <c:numCache>
                <c:formatCode>General</c:formatCode>
                <c:ptCount val="1"/>
                <c:pt idx="0">
                  <c:v>705614</c:v>
                </c:pt>
              </c:numCache>
            </c:numRef>
          </c:val>
          <c:extLst>
            <c:ext xmlns:c16="http://schemas.microsoft.com/office/drawing/2014/chart" uri="{C3380CC4-5D6E-409C-BE32-E72D297353CC}">
              <c16:uniqueId val="{00000000-BC58-423A-83C9-E301C59EBB1A}"/>
            </c:ext>
          </c:extLst>
        </c:ser>
        <c:ser>
          <c:idx val="1"/>
          <c:order val="1"/>
          <c:tx>
            <c:strRef>
              <c:f>Sheet1!$E$47</c:f>
              <c:strCache>
                <c:ptCount val="1"/>
                <c:pt idx="0">
                  <c:v>Sum of Rejected_Units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Sheet1!$E$48</c:f>
              <c:numCache>
                <c:formatCode>General</c:formatCode>
                <c:ptCount val="1"/>
                <c:pt idx="0">
                  <c:v>13424</c:v>
                </c:pt>
              </c:numCache>
            </c:numRef>
          </c:val>
          <c:extLst>
            <c:ext xmlns:c16="http://schemas.microsoft.com/office/drawing/2014/chart" uri="{C3380CC4-5D6E-409C-BE32-E72D297353CC}">
              <c16:uniqueId val="{00000001-BC58-423A-83C9-E301C59EBB1A}"/>
            </c:ext>
          </c:extLst>
        </c:ser>
        <c:dLbls>
          <c:dLblPos val="outEnd"/>
          <c:showLegendKey val="0"/>
          <c:showVal val="1"/>
          <c:showCatName val="0"/>
          <c:showSerName val="0"/>
          <c:showPercent val="0"/>
          <c:showBubbleSize val="0"/>
        </c:dLbls>
        <c:gapWidth val="219"/>
        <c:overlap val="-27"/>
        <c:axId val="513035128"/>
        <c:axId val="526019592"/>
      </c:barChart>
      <c:catAx>
        <c:axId val="513035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19592"/>
        <c:crosses val="autoZero"/>
        <c:auto val="1"/>
        <c:lblAlgn val="ctr"/>
        <c:lblOffset val="100"/>
        <c:noMultiLvlLbl val="0"/>
      </c:catAx>
      <c:valAx>
        <c:axId val="526019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35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Quantity_Of_Material_Category_Per</a:t>
            </a:r>
            <a:r>
              <a:rPr lang="en-US" b="1" baseline="0"/>
              <a:t>_Depot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Sheet1!$B$87:$B$88</c:f>
              <c:strCache>
                <c:ptCount val="1"/>
                <c:pt idx="0">
                  <c:v>Eldoret Depot</c:v>
                </c:pt>
              </c:strCache>
            </c:strRef>
          </c:tx>
          <c:spPr>
            <a:solidFill>
              <a:schemeClr val="accent1"/>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Sheet1!$B$89:$B$95</c:f>
              <c:numCache>
                <c:formatCode>General</c:formatCode>
                <c:ptCount val="6"/>
                <c:pt idx="0">
                  <c:v>43690</c:v>
                </c:pt>
                <c:pt idx="1">
                  <c:v>36178</c:v>
                </c:pt>
                <c:pt idx="2">
                  <c:v>24698</c:v>
                </c:pt>
                <c:pt idx="3">
                  <c:v>35337</c:v>
                </c:pt>
                <c:pt idx="4">
                  <c:v>34396</c:v>
                </c:pt>
                <c:pt idx="5">
                  <c:v>32935</c:v>
                </c:pt>
              </c:numCache>
            </c:numRef>
          </c:val>
          <c:extLst>
            <c:ext xmlns:c16="http://schemas.microsoft.com/office/drawing/2014/chart" uri="{C3380CC4-5D6E-409C-BE32-E72D297353CC}">
              <c16:uniqueId val="{00000000-01C2-4155-9E32-111687D4E44A}"/>
            </c:ext>
          </c:extLst>
        </c:ser>
        <c:ser>
          <c:idx val="1"/>
          <c:order val="1"/>
          <c:tx>
            <c:strRef>
              <c:f>Sheet1!$C$87:$C$88</c:f>
              <c:strCache>
                <c:ptCount val="1"/>
                <c:pt idx="0">
                  <c:v>Mombasa Depot</c:v>
                </c:pt>
              </c:strCache>
            </c:strRef>
          </c:tx>
          <c:spPr>
            <a:solidFill>
              <a:schemeClr val="accent2"/>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Sheet1!$C$89:$C$95</c:f>
              <c:numCache>
                <c:formatCode>General</c:formatCode>
                <c:ptCount val="6"/>
                <c:pt idx="0">
                  <c:v>46381</c:v>
                </c:pt>
                <c:pt idx="1">
                  <c:v>36356</c:v>
                </c:pt>
                <c:pt idx="2">
                  <c:v>59443</c:v>
                </c:pt>
                <c:pt idx="3">
                  <c:v>46427</c:v>
                </c:pt>
                <c:pt idx="4">
                  <c:v>49864</c:v>
                </c:pt>
                <c:pt idx="5">
                  <c:v>38102</c:v>
                </c:pt>
              </c:numCache>
            </c:numRef>
          </c:val>
          <c:extLst>
            <c:ext xmlns:c16="http://schemas.microsoft.com/office/drawing/2014/chart" uri="{C3380CC4-5D6E-409C-BE32-E72D297353CC}">
              <c16:uniqueId val="{00000001-01C2-4155-9E32-111687D4E44A}"/>
            </c:ext>
          </c:extLst>
        </c:ser>
        <c:ser>
          <c:idx val="2"/>
          <c:order val="2"/>
          <c:tx>
            <c:strRef>
              <c:f>Sheet1!$D$87:$D$88</c:f>
              <c:strCache>
                <c:ptCount val="1"/>
                <c:pt idx="0">
                  <c:v>Nairobi Depot</c:v>
                </c:pt>
              </c:strCache>
            </c:strRef>
          </c:tx>
          <c:spPr>
            <a:solidFill>
              <a:schemeClr val="accent3"/>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Sheet1!$D$89:$D$95</c:f>
              <c:numCache>
                <c:formatCode>General</c:formatCode>
                <c:ptCount val="6"/>
                <c:pt idx="0">
                  <c:v>49225</c:v>
                </c:pt>
                <c:pt idx="1">
                  <c:v>45857</c:v>
                </c:pt>
                <c:pt idx="2">
                  <c:v>43987</c:v>
                </c:pt>
                <c:pt idx="3">
                  <c:v>33402</c:v>
                </c:pt>
                <c:pt idx="4">
                  <c:v>41594</c:v>
                </c:pt>
                <c:pt idx="5">
                  <c:v>38126</c:v>
                </c:pt>
              </c:numCache>
            </c:numRef>
          </c:val>
          <c:extLst>
            <c:ext xmlns:c16="http://schemas.microsoft.com/office/drawing/2014/chart" uri="{C3380CC4-5D6E-409C-BE32-E72D297353CC}">
              <c16:uniqueId val="{00000002-01C2-4155-9E32-111687D4E44A}"/>
            </c:ext>
          </c:extLst>
        </c:ser>
        <c:ser>
          <c:idx val="3"/>
          <c:order val="3"/>
          <c:tx>
            <c:strRef>
              <c:f>Sheet1!$E$87:$E$88</c:f>
              <c:strCache>
                <c:ptCount val="1"/>
                <c:pt idx="0">
                  <c:v>Nakuru Depot</c:v>
                </c:pt>
              </c:strCache>
            </c:strRef>
          </c:tx>
          <c:spPr>
            <a:solidFill>
              <a:schemeClr val="accent4"/>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Sheet1!$E$89:$E$95</c:f>
              <c:numCache>
                <c:formatCode>General</c:formatCode>
                <c:ptCount val="6"/>
                <c:pt idx="0">
                  <c:v>49938</c:v>
                </c:pt>
                <c:pt idx="1">
                  <c:v>59297</c:v>
                </c:pt>
                <c:pt idx="2">
                  <c:v>43745</c:v>
                </c:pt>
                <c:pt idx="3">
                  <c:v>45060</c:v>
                </c:pt>
                <c:pt idx="4">
                  <c:v>38720</c:v>
                </c:pt>
                <c:pt idx="5">
                  <c:v>38604</c:v>
                </c:pt>
              </c:numCache>
            </c:numRef>
          </c:val>
          <c:extLst>
            <c:ext xmlns:c16="http://schemas.microsoft.com/office/drawing/2014/chart" uri="{C3380CC4-5D6E-409C-BE32-E72D297353CC}">
              <c16:uniqueId val="{00000003-01C2-4155-9E32-111687D4E44A}"/>
            </c:ext>
          </c:extLst>
        </c:ser>
        <c:dLbls>
          <c:showLegendKey val="0"/>
          <c:showVal val="0"/>
          <c:showCatName val="0"/>
          <c:showSerName val="0"/>
          <c:showPercent val="0"/>
          <c:showBubbleSize val="0"/>
        </c:dLbls>
        <c:gapWidth val="219"/>
        <c:overlap val="-27"/>
        <c:axId val="563018464"/>
        <c:axId val="563020432"/>
      </c:barChart>
      <c:catAx>
        <c:axId val="56301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Material</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20432"/>
        <c:crosses val="autoZero"/>
        <c:auto val="1"/>
        <c:lblAlgn val="ctr"/>
        <c:lblOffset val="100"/>
        <c:noMultiLvlLbl val="0"/>
      </c:catAx>
      <c:valAx>
        <c:axId val="56302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Cost_Per_Customer</a:t>
            </a:r>
          </a:p>
        </c:rich>
      </c:tx>
      <c:layout>
        <c:manualLayout>
          <c:xMode val="edge"/>
          <c:yMode val="edge"/>
          <c:x val="0.33789566929133857"/>
          <c:y val="1.6963528413910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9056867891513558"/>
          <c:y val="0.13188408700820795"/>
          <c:w val="0.5393202099737533"/>
          <c:h val="0.62271617089530473"/>
        </c:manualLayout>
      </c:layout>
      <c:barChart>
        <c:barDir val="bar"/>
        <c:grouping val="clustered"/>
        <c:varyColors val="0"/>
        <c:ser>
          <c:idx val="0"/>
          <c:order val="0"/>
          <c:tx>
            <c:strRef>
              <c:f>Sheet2!$B$14</c:f>
              <c:strCache>
                <c:ptCount val="1"/>
                <c:pt idx="0">
                  <c:v>Total</c:v>
                </c:pt>
              </c:strCache>
            </c:strRef>
          </c:tx>
          <c:spPr>
            <a:solidFill>
              <a:schemeClr val="accent1"/>
            </a:solidFill>
            <a:ln>
              <a:noFill/>
            </a:ln>
            <a:effectLst/>
          </c:spPr>
          <c:invertIfNegative val="0"/>
          <c:cat>
            <c:strRef>
              <c:f>Sheet2!$A$15:$A$23</c:f>
              <c:strCache>
                <c:ptCount val="8"/>
                <c:pt idx="0">
                  <c:v>Highland Agro Processors</c:v>
                </c:pt>
                <c:pt idx="1">
                  <c:v>CoastBuild Ltd</c:v>
                </c:pt>
                <c:pt idx="2">
                  <c:v>Eastern Industrial Supplies</c:v>
                </c:pt>
                <c:pt idx="3">
                  <c:v>UrbanWorks Contractors</c:v>
                </c:pt>
                <c:pt idx="4">
                  <c:v>Metro Packaging Ltd</c:v>
                </c:pt>
                <c:pt idx="5">
                  <c:v>BlueWave Facilities</c:v>
                </c:pt>
                <c:pt idx="6">
                  <c:v>Rift Valley Manufacturing</c:v>
                </c:pt>
                <c:pt idx="7">
                  <c:v>Lake Region Water Services</c:v>
                </c:pt>
              </c:strCache>
            </c:strRef>
          </c:cat>
          <c:val>
            <c:numRef>
              <c:f>Sheet2!$B$15:$B$23</c:f>
              <c:numCache>
                <c:formatCode>General</c:formatCode>
                <c:ptCount val="8"/>
                <c:pt idx="0">
                  <c:v>46498625.210000016</c:v>
                </c:pt>
                <c:pt idx="1">
                  <c:v>53941138.149999984</c:v>
                </c:pt>
                <c:pt idx="2">
                  <c:v>59618211.960000023</c:v>
                </c:pt>
                <c:pt idx="3">
                  <c:v>63112612.629999988</c:v>
                </c:pt>
                <c:pt idx="4">
                  <c:v>64184535.929999962</c:v>
                </c:pt>
                <c:pt idx="5">
                  <c:v>65315238.63000001</c:v>
                </c:pt>
                <c:pt idx="6">
                  <c:v>66927256.000000015</c:v>
                </c:pt>
                <c:pt idx="7">
                  <c:v>74545918.270000041</c:v>
                </c:pt>
              </c:numCache>
            </c:numRef>
          </c:val>
          <c:extLst>
            <c:ext xmlns:c16="http://schemas.microsoft.com/office/drawing/2014/chart" uri="{C3380CC4-5D6E-409C-BE32-E72D297353CC}">
              <c16:uniqueId val="{00000000-D21D-4716-A17E-ED95C2AA2684}"/>
            </c:ext>
          </c:extLst>
        </c:ser>
        <c:dLbls>
          <c:showLegendKey val="0"/>
          <c:showVal val="0"/>
          <c:showCatName val="0"/>
          <c:showSerName val="0"/>
          <c:showPercent val="0"/>
          <c:showBubbleSize val="0"/>
        </c:dLbls>
        <c:gapWidth val="182"/>
        <c:axId val="503171136"/>
        <c:axId val="503173432"/>
      </c:barChart>
      <c:catAx>
        <c:axId val="5031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a:t> </a:t>
                </a:r>
              </a:p>
            </c:rich>
          </c:tx>
          <c:layout>
            <c:manualLayout>
              <c:xMode val="edge"/>
              <c:yMode val="edge"/>
              <c:x val="4.4444444444444446E-2"/>
              <c:y val="0.278759525288346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3432"/>
        <c:crosses val="autoZero"/>
        <c:auto val="1"/>
        <c:lblAlgn val="ctr"/>
        <c:lblOffset val="100"/>
        <c:noMultiLvlLbl val="0"/>
      </c:catAx>
      <c:valAx>
        <c:axId val="503173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Cost_Per_Material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Sheet2!$P$5</c:f>
              <c:strCache>
                <c:ptCount val="1"/>
                <c:pt idx="0">
                  <c:v>Total</c:v>
                </c:pt>
              </c:strCache>
            </c:strRef>
          </c:tx>
          <c:spPr>
            <a:solidFill>
              <a:schemeClr val="accent1"/>
            </a:solidFill>
            <a:ln>
              <a:noFill/>
            </a:ln>
            <a:effectLst/>
          </c:spPr>
          <c:invertIfNegative val="0"/>
          <c:cat>
            <c:strRef>
              <c:f>Sheet2!$O$6:$O$12</c:f>
              <c:strCache>
                <c:ptCount val="6"/>
                <c:pt idx="0">
                  <c:v>Water Treatment Chemicals</c:v>
                </c:pt>
                <c:pt idx="1">
                  <c:v>Protective Coatings</c:v>
                </c:pt>
                <c:pt idx="2">
                  <c:v>Packaging Materials</c:v>
                </c:pt>
                <c:pt idx="3">
                  <c:v>Maintenance Parts</c:v>
                </c:pt>
                <c:pt idx="4">
                  <c:v>Construction Additives</c:v>
                </c:pt>
                <c:pt idx="5">
                  <c:v>Industrial Cleaning Supplies</c:v>
                </c:pt>
              </c:strCache>
            </c:strRef>
          </c:cat>
          <c:val>
            <c:numRef>
              <c:f>Sheet2!$P$6:$P$12</c:f>
              <c:numCache>
                <c:formatCode>General</c:formatCode>
                <c:ptCount val="6"/>
                <c:pt idx="0">
                  <c:v>74245283.950000003</c:v>
                </c:pt>
                <c:pt idx="1">
                  <c:v>75045757.510000005</c:v>
                </c:pt>
                <c:pt idx="2">
                  <c:v>77042225.390000015</c:v>
                </c:pt>
                <c:pt idx="3">
                  <c:v>80650055.279999986</c:v>
                </c:pt>
                <c:pt idx="4">
                  <c:v>93209629.309999987</c:v>
                </c:pt>
                <c:pt idx="5">
                  <c:v>93950585.339999929</c:v>
                </c:pt>
              </c:numCache>
            </c:numRef>
          </c:val>
          <c:extLst>
            <c:ext xmlns:c16="http://schemas.microsoft.com/office/drawing/2014/chart" uri="{C3380CC4-5D6E-409C-BE32-E72D297353CC}">
              <c16:uniqueId val="{00000000-C892-4C76-9DCC-A54328F7A487}"/>
            </c:ext>
          </c:extLst>
        </c:ser>
        <c:dLbls>
          <c:showLegendKey val="0"/>
          <c:showVal val="0"/>
          <c:showCatName val="0"/>
          <c:showSerName val="0"/>
          <c:showPercent val="0"/>
          <c:showBubbleSize val="0"/>
        </c:dLbls>
        <c:gapWidth val="219"/>
        <c:overlap val="-27"/>
        <c:axId val="400967992"/>
        <c:axId val="400969960"/>
      </c:barChart>
      <c:catAx>
        <c:axId val="4009679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MATERIAL</a:t>
                </a:r>
              </a:p>
            </c:rich>
          </c:tx>
          <c:layout>
            <c:manualLayout>
              <c:xMode val="edge"/>
              <c:yMode val="edge"/>
              <c:x val="0.4010295749113835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9960"/>
        <c:crosses val="autoZero"/>
        <c:auto val="1"/>
        <c:lblAlgn val="ctr"/>
        <c:lblOffset val="100"/>
        <c:noMultiLvlLbl val="0"/>
      </c:catAx>
      <c:valAx>
        <c:axId val="400969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7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Annual_Cost_Trend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21815048118985128"/>
          <c:y val="0.14116907261592301"/>
          <c:w val="0.7679606299212598"/>
          <c:h val="0.62271617089530473"/>
        </c:manualLayout>
      </c:layout>
      <c:lineChart>
        <c:grouping val="standard"/>
        <c:varyColors val="0"/>
        <c:ser>
          <c:idx val="0"/>
          <c:order val="0"/>
          <c:spPr>
            <a:ln w="22225" cap="rnd" cmpd="sng" algn="ctr">
              <a:solidFill>
                <a:schemeClr val="accent1"/>
              </a:solidFill>
              <a:round/>
            </a:ln>
            <a:effectLst/>
          </c:spPr>
          <c:marker>
            <c:symbol val="none"/>
          </c:marker>
          <c:cat>
            <c:strRef>
              <c:f>Sheet2!$E$28:$E$39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Sheet2!$F$28:$F$39</c:f>
              <c:numCache>
                <c:formatCode>General</c:formatCode>
                <c:ptCount val="12"/>
                <c:pt idx="0">
                  <c:v>48197059.580000006</c:v>
                </c:pt>
                <c:pt idx="1">
                  <c:v>33269048.969999999</c:v>
                </c:pt>
                <c:pt idx="2">
                  <c:v>33355121.879999988</c:v>
                </c:pt>
                <c:pt idx="3">
                  <c:v>50942904.460000008</c:v>
                </c:pt>
                <c:pt idx="4">
                  <c:v>42780304.040000014</c:v>
                </c:pt>
                <c:pt idx="5">
                  <c:v>33782492.950000003</c:v>
                </c:pt>
                <c:pt idx="6">
                  <c:v>47325464.630000018</c:v>
                </c:pt>
                <c:pt idx="7">
                  <c:v>41669861.43</c:v>
                </c:pt>
                <c:pt idx="8">
                  <c:v>34687339.040000007</c:v>
                </c:pt>
                <c:pt idx="9">
                  <c:v>48246913.030000001</c:v>
                </c:pt>
                <c:pt idx="10">
                  <c:v>33378978.799999997</c:v>
                </c:pt>
                <c:pt idx="11">
                  <c:v>46508047.970000006</c:v>
                </c:pt>
              </c:numCache>
            </c:numRef>
          </c:val>
          <c:smooth val="0"/>
          <c:extLst>
            <c:ext xmlns:c16="http://schemas.microsoft.com/office/drawing/2014/chart" uri="{C3380CC4-5D6E-409C-BE32-E72D297353CC}">
              <c16:uniqueId val="{00000000-15BA-4AC6-8FA7-2D6B9D093F0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84261088"/>
        <c:axId val="384266336"/>
      </c:lineChart>
      <c:catAx>
        <c:axId val="3842610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Month</a:t>
                </a:r>
                <a:r>
                  <a:rPr lang="en-US"/>
                  <a:t>s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6336"/>
        <c:crosses val="autoZero"/>
        <c:auto val="1"/>
        <c:lblAlgn val="ctr"/>
        <c:lblOffset val="100"/>
        <c:noMultiLvlLbl val="0"/>
      </c:catAx>
      <c:valAx>
        <c:axId val="3842663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Total_Cost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10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Sheet1!$C$120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Sheet1!$B$121:$B$133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Sheet1!$C$121:$C$133</c:f>
              <c:numCache>
                <c:formatCode>General</c:formatCode>
                <c:ptCount val="12"/>
                <c:pt idx="0">
                  <c:v>51421</c:v>
                </c:pt>
                <c:pt idx="1">
                  <c:v>74000</c:v>
                </c:pt>
                <c:pt idx="2">
                  <c:v>57251</c:v>
                </c:pt>
                <c:pt idx="3">
                  <c:v>63586</c:v>
                </c:pt>
                <c:pt idx="4">
                  <c:v>45018</c:v>
                </c:pt>
                <c:pt idx="5">
                  <c:v>70355</c:v>
                </c:pt>
                <c:pt idx="6">
                  <c:v>60288</c:v>
                </c:pt>
                <c:pt idx="7">
                  <c:v>53108</c:v>
                </c:pt>
                <c:pt idx="8">
                  <c:v>50810</c:v>
                </c:pt>
                <c:pt idx="9">
                  <c:v>77073</c:v>
                </c:pt>
                <c:pt idx="10">
                  <c:v>50068</c:v>
                </c:pt>
                <c:pt idx="11">
                  <c:v>66060</c:v>
                </c:pt>
              </c:numCache>
            </c:numRef>
          </c:val>
          <c:smooth val="0"/>
          <c:extLst>
            <c:ext xmlns:c16="http://schemas.microsoft.com/office/drawing/2014/chart" uri="{C3380CC4-5D6E-409C-BE32-E72D297353CC}">
              <c16:uniqueId val="{00000000-C1D1-4FC6-9EB9-6B96347011C0}"/>
            </c:ext>
          </c:extLst>
        </c:ser>
        <c:dLbls>
          <c:showLegendKey val="0"/>
          <c:showVal val="0"/>
          <c:showCatName val="0"/>
          <c:showSerName val="0"/>
          <c:showPercent val="0"/>
          <c:showBubbleSize val="0"/>
        </c:dLbls>
        <c:marker val="1"/>
        <c:smooth val="0"/>
        <c:axId val="513009848"/>
        <c:axId val="513007224"/>
      </c:lineChart>
      <c:catAx>
        <c:axId val="513009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7224"/>
        <c:crosses val="autoZero"/>
        <c:auto val="1"/>
        <c:lblAlgn val="ctr"/>
        <c:lblOffset val="100"/>
        <c:noMultiLvlLbl val="0"/>
      </c:catAx>
      <c:valAx>
        <c:axId val="513007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Toal_units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9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[manufacturing_production_operations_clean..xlsx]Sheet2!PivotTable3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Cost_Per_Customer</a:t>
            </a:r>
          </a:p>
        </c:rich>
      </c:tx>
      <c:layout>
        <c:manualLayout>
          <c:xMode val="edge"/>
          <c:yMode val="edge"/>
          <c:x val="0.33789566929133857"/>
          <c:y val="1.6963528413910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39056867891513558"/>
          <c:y val="0.13188408700820795"/>
          <c:w val="0.5393202099737533"/>
          <c:h val="0.62271617089530473"/>
        </c:manualLayout>
      </c:layout>
      <c:barChart>
        <c:barDir val="bar"/>
        <c:grouping val="clustered"/>
        <c:varyColors val="0"/>
        <c:ser>
          <c:idx val="0"/>
          <c:order val="0"/>
          <c:tx>
            <c:strRef>
              <c:f>Sheet2!$B$14</c:f>
              <c:strCache>
                <c:ptCount val="1"/>
                <c:pt idx="0">
                  <c:v>Total</c:v>
                </c:pt>
              </c:strCache>
            </c:strRef>
          </c:tx>
          <c:spPr>
            <a:solidFill>
              <a:schemeClr val="accent1"/>
            </a:solidFill>
            <a:ln>
              <a:noFill/>
            </a:ln>
            <a:effectLst/>
          </c:spPr>
          <c:invertIfNegative val="0"/>
          <c:cat>
            <c:strRef>
              <c:f>Sheet2!$A$15:$A$23</c:f>
              <c:strCache>
                <c:ptCount val="8"/>
                <c:pt idx="0">
                  <c:v>Highland Agro Processors</c:v>
                </c:pt>
                <c:pt idx="1">
                  <c:v>CoastBuild Ltd</c:v>
                </c:pt>
                <c:pt idx="2">
                  <c:v>Eastern Industrial Supplies</c:v>
                </c:pt>
                <c:pt idx="3">
                  <c:v>UrbanWorks Contractors</c:v>
                </c:pt>
                <c:pt idx="4">
                  <c:v>Metro Packaging Ltd</c:v>
                </c:pt>
                <c:pt idx="5">
                  <c:v>BlueWave Facilities</c:v>
                </c:pt>
                <c:pt idx="6">
                  <c:v>Rift Valley Manufacturing</c:v>
                </c:pt>
                <c:pt idx="7">
                  <c:v>Lake Region Water Services</c:v>
                </c:pt>
              </c:strCache>
            </c:strRef>
          </c:cat>
          <c:val>
            <c:numRef>
              <c:f>Sheet2!$B$15:$B$23</c:f>
              <c:numCache>
                <c:formatCode>General</c:formatCode>
                <c:ptCount val="8"/>
                <c:pt idx="0">
                  <c:v>46498625.210000016</c:v>
                </c:pt>
                <c:pt idx="1">
                  <c:v>53941138.149999984</c:v>
                </c:pt>
                <c:pt idx="2">
                  <c:v>59618211.960000023</c:v>
                </c:pt>
                <c:pt idx="3">
                  <c:v>63112612.629999988</c:v>
                </c:pt>
                <c:pt idx="4">
                  <c:v>64184535.929999962</c:v>
                </c:pt>
                <c:pt idx="5">
                  <c:v>65315238.63000001</c:v>
                </c:pt>
                <c:pt idx="6">
                  <c:v>66927256.000000015</c:v>
                </c:pt>
                <c:pt idx="7">
                  <c:v>74545918.270000041</c:v>
                </c:pt>
              </c:numCache>
            </c:numRef>
          </c:val>
          <c:extLst>
            <c:ext xmlns:c16="http://schemas.microsoft.com/office/drawing/2014/chart" uri="{C3380CC4-5D6E-409C-BE32-E72D297353CC}">
              <c16:uniqueId val="{00000000-8C6E-419E-9828-D88809A2E6E0}"/>
            </c:ext>
          </c:extLst>
        </c:ser>
        <c:dLbls>
          <c:showLegendKey val="0"/>
          <c:showVal val="0"/>
          <c:showCatName val="0"/>
          <c:showSerName val="0"/>
          <c:showPercent val="0"/>
          <c:showBubbleSize val="0"/>
        </c:dLbls>
        <c:gapWidth val="182"/>
        <c:axId val="503171136"/>
        <c:axId val="503173432"/>
      </c:barChart>
      <c:catAx>
        <c:axId val="5031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a:t> </a:t>
                </a:r>
              </a:p>
            </c:rich>
          </c:tx>
          <c:layout>
            <c:manualLayout>
              <c:xMode val="edge"/>
              <c:yMode val="edge"/>
              <c:x val="4.4444444444444446E-2"/>
              <c:y val="0.278759525288346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3432"/>
        <c:crosses val="autoZero"/>
        <c:auto val="1"/>
        <c:lblAlgn val="ctr"/>
        <c:lblOffset val="100"/>
        <c:noMultiLvlLbl val="0"/>
      </c:catAx>
      <c:valAx>
        <c:axId val="503173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Cost_Per_Material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Sheet2!$P$5</c:f>
              <c:strCache>
                <c:ptCount val="1"/>
                <c:pt idx="0">
                  <c:v>Total</c:v>
                </c:pt>
              </c:strCache>
            </c:strRef>
          </c:tx>
          <c:spPr>
            <a:solidFill>
              <a:schemeClr val="accent1"/>
            </a:solidFill>
            <a:ln>
              <a:noFill/>
            </a:ln>
            <a:effectLst/>
          </c:spPr>
          <c:invertIfNegative val="0"/>
          <c:cat>
            <c:strRef>
              <c:f>Sheet2!$O$6:$O$12</c:f>
              <c:strCache>
                <c:ptCount val="6"/>
                <c:pt idx="0">
                  <c:v>Water Treatment Chemicals</c:v>
                </c:pt>
                <c:pt idx="1">
                  <c:v>Protective Coatings</c:v>
                </c:pt>
                <c:pt idx="2">
                  <c:v>Packaging Materials</c:v>
                </c:pt>
                <c:pt idx="3">
                  <c:v>Maintenance Parts</c:v>
                </c:pt>
                <c:pt idx="4">
                  <c:v>Construction Additives</c:v>
                </c:pt>
                <c:pt idx="5">
                  <c:v>Industrial Cleaning Supplies</c:v>
                </c:pt>
              </c:strCache>
            </c:strRef>
          </c:cat>
          <c:val>
            <c:numRef>
              <c:f>Sheet2!$P$6:$P$12</c:f>
              <c:numCache>
                <c:formatCode>General</c:formatCode>
                <c:ptCount val="6"/>
                <c:pt idx="0">
                  <c:v>74245283.950000003</c:v>
                </c:pt>
                <c:pt idx="1">
                  <c:v>75045757.510000005</c:v>
                </c:pt>
                <c:pt idx="2">
                  <c:v>77042225.390000015</c:v>
                </c:pt>
                <c:pt idx="3">
                  <c:v>80650055.279999986</c:v>
                </c:pt>
                <c:pt idx="4">
                  <c:v>93209629.309999987</c:v>
                </c:pt>
                <c:pt idx="5">
                  <c:v>93950585.339999929</c:v>
                </c:pt>
              </c:numCache>
            </c:numRef>
          </c:val>
          <c:extLst>
            <c:ext xmlns:c16="http://schemas.microsoft.com/office/drawing/2014/chart" uri="{C3380CC4-5D6E-409C-BE32-E72D297353CC}">
              <c16:uniqueId val="{00000000-3F83-46AB-9701-79DE0D5088DA}"/>
            </c:ext>
          </c:extLst>
        </c:ser>
        <c:dLbls>
          <c:showLegendKey val="0"/>
          <c:showVal val="0"/>
          <c:showCatName val="0"/>
          <c:showSerName val="0"/>
          <c:showPercent val="0"/>
          <c:showBubbleSize val="0"/>
        </c:dLbls>
        <c:gapWidth val="219"/>
        <c:overlap val="-27"/>
        <c:axId val="400967992"/>
        <c:axId val="400969960"/>
      </c:barChart>
      <c:catAx>
        <c:axId val="4009679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MATERIAL</a:t>
                </a:r>
              </a:p>
            </c:rich>
          </c:tx>
          <c:layout>
            <c:manualLayout>
              <c:xMode val="edge"/>
              <c:yMode val="edge"/>
              <c:x val="0.4010295749113835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9960"/>
        <c:crosses val="autoZero"/>
        <c:auto val="1"/>
        <c:lblAlgn val="ctr"/>
        <c:lblOffset val="100"/>
        <c:noMultiLvlLbl val="0"/>
      </c:catAx>
      <c:valAx>
        <c:axId val="400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7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468402640"/>
        <c:axId val="468401984"/>
      </c:lineChart>
      <c:catAx>
        <c:axId val="468402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01984"/>
        <c:crosses val="autoZero"/>
        <c:auto val="1"/>
        <c:lblAlgn val="ctr"/>
        <c:lblOffset val="100"/>
        <c:noMultiLvlLbl val="0"/>
      </c:catAx>
      <c:valAx>
        <c:axId val="468401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Annual_Cost_Trend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21815048118985128"/>
          <c:y val="0.14116907261592301"/>
          <c:w val="0.7679606299212598"/>
          <c:h val="0.62271617089530473"/>
        </c:manualLayout>
      </c:layout>
      <c:lineChart>
        <c:grouping val="standard"/>
        <c:varyColors val="0"/>
        <c:ser>
          <c:idx val="0"/>
          <c:order val="0"/>
          <c:spPr>
            <a:ln w="22225" cap="rnd" cmpd="sng" algn="ctr">
              <a:solidFill>
                <a:schemeClr val="accent1"/>
              </a:solidFill>
              <a:round/>
            </a:ln>
            <a:effectLst/>
          </c:spPr>
          <c:marker>
            <c:symbol val="none"/>
          </c:marker>
          <c:cat>
            <c:strRef>
              <c:f>Sheet2!$E$28:$E$39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Sheet2!$F$28:$F$39</c:f>
              <c:numCache>
                <c:formatCode>General</c:formatCode>
                <c:ptCount val="12"/>
                <c:pt idx="0">
                  <c:v>48197059.580000006</c:v>
                </c:pt>
                <c:pt idx="1">
                  <c:v>33269048.969999999</c:v>
                </c:pt>
                <c:pt idx="2">
                  <c:v>33355121.879999988</c:v>
                </c:pt>
                <c:pt idx="3">
                  <c:v>50942904.460000008</c:v>
                </c:pt>
                <c:pt idx="4">
                  <c:v>42780304.040000014</c:v>
                </c:pt>
                <c:pt idx="5">
                  <c:v>33782492.950000003</c:v>
                </c:pt>
                <c:pt idx="6">
                  <c:v>47325464.630000018</c:v>
                </c:pt>
                <c:pt idx="7">
                  <c:v>41669861.43</c:v>
                </c:pt>
                <c:pt idx="8">
                  <c:v>34687339.040000007</c:v>
                </c:pt>
                <c:pt idx="9">
                  <c:v>48246913.030000001</c:v>
                </c:pt>
                <c:pt idx="10">
                  <c:v>33378978.799999997</c:v>
                </c:pt>
                <c:pt idx="11">
                  <c:v>46508047.970000006</c:v>
                </c:pt>
              </c:numCache>
            </c:numRef>
          </c:val>
          <c:smooth val="0"/>
          <c:extLst>
            <c:ext xmlns:c16="http://schemas.microsoft.com/office/drawing/2014/chart" uri="{C3380CC4-5D6E-409C-BE32-E72D297353CC}">
              <c16:uniqueId val="{00000000-24CC-4E80-B41A-B10022DF62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84261088"/>
        <c:axId val="384266336"/>
      </c:lineChart>
      <c:catAx>
        <c:axId val="3842610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Month</a:t>
                </a:r>
                <a:r>
                  <a:rPr lang="en-US"/>
                  <a:t>s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6336"/>
        <c:crosses val="autoZero"/>
        <c:auto val="1"/>
        <c:lblAlgn val="ctr"/>
        <c:lblOffset val="100"/>
        <c:noMultiLvlLbl val="0"/>
      </c:catAx>
      <c:valAx>
        <c:axId val="3842663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Total_Cost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10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8549640" y="7627621"/>
    <xdr:ext cx="3169920" cy="2705099"/>
    <xdr:graphicFrame macro="">
      <xdr:nvGraphicFramePr>
        <xdr:cNvPr id="10" name="Chart 9">
          <a:extLst>
            <a:ext uri="{FF2B5EF4-FFF2-40B4-BE49-F238E27FC236}">
              <a16:creationId xmlns:a16="http://schemas.microsoft.com/office/drawing/2014/main" id="{1B1EA793-99EB-4327-BBD3-A3FDF3692C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0</xdr:col>
      <xdr:colOff>0</xdr:colOff>
      <xdr:row>69</xdr:row>
      <xdr:rowOff>175260</xdr:rowOff>
    </xdr:from>
    <xdr:to>
      <xdr:col>3</xdr:col>
      <xdr:colOff>495300</xdr:colOff>
      <xdr:row>84</xdr:row>
      <xdr:rowOff>175260</xdr:rowOff>
    </xdr:to>
    <xdr:graphicFrame macro="">
      <xdr:nvGraphicFramePr>
        <xdr:cNvPr id="11" name="Chart 10">
          <a:extLst>
            <a:ext uri="{FF2B5EF4-FFF2-40B4-BE49-F238E27FC236}">
              <a16:creationId xmlns:a16="http://schemas.microsoft.com/office/drawing/2014/main" id="{F4F43E34-F633-4C12-8395-7D01372D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22860</xdr:rowOff>
    </xdr:from>
    <xdr:to>
      <xdr:col>5</xdr:col>
      <xdr:colOff>1508760</xdr:colOff>
      <xdr:row>21</xdr:row>
      <xdr:rowOff>160020</xdr:rowOff>
    </xdr:to>
    <xdr:graphicFrame macro="">
      <xdr:nvGraphicFramePr>
        <xdr:cNvPr id="6" name="Chart 5">
          <a:extLst>
            <a:ext uri="{FF2B5EF4-FFF2-40B4-BE49-F238E27FC236}">
              <a16:creationId xmlns:a16="http://schemas.microsoft.com/office/drawing/2014/main" id="{E0DFAE4C-D52A-485F-9DAB-5D2CF843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47</xdr:row>
      <xdr:rowOff>7620</xdr:rowOff>
    </xdr:from>
    <xdr:to>
      <xdr:col>2</xdr:col>
      <xdr:colOff>937260</xdr:colOff>
      <xdr:row>62</xdr:row>
      <xdr:rowOff>7620</xdr:rowOff>
    </xdr:to>
    <xdr:graphicFrame macro="">
      <xdr:nvGraphicFramePr>
        <xdr:cNvPr id="3" name="Chart 2">
          <a:extLst>
            <a:ext uri="{FF2B5EF4-FFF2-40B4-BE49-F238E27FC236}">
              <a16:creationId xmlns:a16="http://schemas.microsoft.com/office/drawing/2014/main" id="{C5C41F4F-ED64-49F9-862A-C683F8136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1074420</xdr:colOff>
      <xdr:row>21</xdr:row>
      <xdr:rowOff>144780</xdr:rowOff>
    </xdr:from>
    <xdr:to>
      <xdr:col>11</xdr:col>
      <xdr:colOff>320040</xdr:colOff>
      <xdr:row>33</xdr:row>
      <xdr:rowOff>160020</xdr:rowOff>
    </xdr:to>
    <xdr:graphicFrame macro="">
      <xdr:nvGraphicFramePr>
        <xdr:cNvPr id="4" name="Chart 3">
          <a:extLst>
            <a:ext uri="{FF2B5EF4-FFF2-40B4-BE49-F238E27FC236}">
              <a16:creationId xmlns:a16="http://schemas.microsoft.com/office/drawing/2014/main" id="{5CCC3389-F191-4DF2-8E6E-F83F5B881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982980</xdr:colOff>
      <xdr:row>44</xdr:row>
      <xdr:rowOff>22860</xdr:rowOff>
    </xdr:from>
    <xdr:to>
      <xdr:col>5</xdr:col>
      <xdr:colOff>1592580</xdr:colOff>
      <xdr:row>59</xdr:row>
      <xdr:rowOff>22860</xdr:rowOff>
    </xdr:to>
    <xdr:graphicFrame macro="">
      <xdr:nvGraphicFramePr>
        <xdr:cNvPr id="5" name="Chart 4">
          <a:extLst>
            <a:ext uri="{FF2B5EF4-FFF2-40B4-BE49-F238E27FC236}">
              <a16:creationId xmlns:a16="http://schemas.microsoft.com/office/drawing/2014/main" id="{E6D18C67-8DBF-4EC7-B62E-2D10E486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95</xdr:row>
      <xdr:rowOff>0</xdr:rowOff>
    </xdr:from>
    <xdr:to>
      <xdr:col>3</xdr:col>
      <xdr:colOff>449580</xdr:colOff>
      <xdr:row>110</xdr:row>
      <xdr:rowOff>0</xdr:rowOff>
    </xdr:to>
    <xdr:graphicFrame macro="">
      <xdr:nvGraphicFramePr>
        <xdr:cNvPr id="7" name="Chart 6">
          <a:extLst>
            <a:ext uri="{FF2B5EF4-FFF2-40B4-BE49-F238E27FC236}">
              <a16:creationId xmlns:a16="http://schemas.microsoft.com/office/drawing/2014/main" id="{AF61DB53-C719-4934-A60F-B41DB9A7A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609600</xdr:colOff>
      <xdr:row>114</xdr:row>
      <xdr:rowOff>15240</xdr:rowOff>
    </xdr:from>
    <xdr:to>
      <xdr:col>6</xdr:col>
      <xdr:colOff>906780</xdr:colOff>
      <xdr:row>129</xdr:row>
      <xdr:rowOff>15240</xdr:rowOff>
    </xdr:to>
    <xdr:graphicFrame macro="">
      <xdr:nvGraphicFramePr>
        <xdr:cNvPr id="8" name="Chart 7">
          <a:extLst>
            <a:ext uri="{FF2B5EF4-FFF2-40B4-BE49-F238E27FC236}">
              <a16:creationId xmlns:a16="http://schemas.microsoft.com/office/drawing/2014/main" id="{39E020B0-25F9-47FA-B1B1-A797F1FFF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2</xdr:row>
      <xdr:rowOff>30480</xdr:rowOff>
    </xdr:from>
    <xdr:to>
      <xdr:col>10</xdr:col>
      <xdr:colOff>510540</xdr:colOff>
      <xdr:row>15</xdr:row>
      <xdr:rowOff>137160</xdr:rowOff>
    </xdr:to>
    <xdr:graphicFrame macro="">
      <xdr:nvGraphicFramePr>
        <xdr:cNvPr id="2" name="Chart 1">
          <a:extLst>
            <a:ext uri="{FF2B5EF4-FFF2-40B4-BE49-F238E27FC236}">
              <a16:creationId xmlns:a16="http://schemas.microsoft.com/office/drawing/2014/main" id="{818B4CA2-AA98-46D1-BDC1-0AA9593A0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518160</xdr:colOff>
      <xdr:row>2</xdr:row>
      <xdr:rowOff>83820</xdr:rowOff>
    </xdr:from>
    <xdr:to>
      <xdr:col>16</xdr:col>
      <xdr:colOff>205740</xdr:colOff>
      <xdr:row>15</xdr:row>
      <xdr:rowOff>152400</xdr:rowOff>
    </xdr:to>
    <xdr:graphicFrame macro="">
      <xdr:nvGraphicFramePr>
        <xdr:cNvPr id="5" name="Chart 4">
          <a:extLst>
            <a:ext uri="{FF2B5EF4-FFF2-40B4-BE49-F238E27FC236}">
              <a16:creationId xmlns:a16="http://schemas.microsoft.com/office/drawing/2014/main" id="{EDB082E4-C5EA-48B1-B8F6-1425F9D1F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45720</xdr:rowOff>
    </xdr:from>
    <xdr:to>
      <xdr:col>2</xdr:col>
      <xdr:colOff>53340</xdr:colOff>
      <xdr:row>8</xdr:row>
      <xdr:rowOff>83820</xdr:rowOff>
    </xdr:to>
    <mc:AlternateContent xmlns:mc="http://schemas.openxmlformats.org/markup-compatibility/2006" xmlns:a14="http://schemas.microsoft.com/office/drawing/2010/main">
      <mc:Choice Requires="a14">
        <xdr:graphicFrame macro="">
          <xdr:nvGraphicFramePr>
            <xdr:cNvPr id="6" name="Plant">
              <a:extLst>
                <a:ext uri="{FF2B5EF4-FFF2-40B4-BE49-F238E27FC236}">
                  <a16:creationId xmlns:a16="http://schemas.microsoft.com/office/drawing/2014/main" id="{432496ED-4418-411C-A466-BABE5B522587}"/>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0" y="411480"/>
              <a:ext cx="127254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76201</xdr:rowOff>
    </xdr:from>
    <xdr:to>
      <xdr:col>2</xdr:col>
      <xdr:colOff>60960</xdr:colOff>
      <xdr:row>18</xdr:row>
      <xdr:rowOff>152401</xdr:rowOff>
    </xdr:to>
    <mc:AlternateContent xmlns:mc="http://schemas.openxmlformats.org/markup-compatibility/2006" xmlns:a14="http://schemas.microsoft.com/office/drawing/2010/main">
      <mc:Choice Requires="a14">
        <xdr:graphicFrame macro="">
          <xdr:nvGraphicFramePr>
            <xdr:cNvPr id="7" name="Production_Line">
              <a:extLst>
                <a:ext uri="{FF2B5EF4-FFF2-40B4-BE49-F238E27FC236}">
                  <a16:creationId xmlns:a16="http://schemas.microsoft.com/office/drawing/2014/main" id="{C5547380-4E87-47F6-85D2-19F1561CABA7}"/>
                </a:ext>
              </a:extLst>
            </xdr:cNvPr>
            <xdr:cNvGraphicFramePr/>
          </xdr:nvGraphicFramePr>
          <xdr:xfrm>
            <a:off x="0" y="0"/>
            <a:ext cx="0" cy="0"/>
          </xdr:xfrm>
          <a:graphic>
            <a:graphicData uri="http://schemas.microsoft.com/office/drawing/2010/slicer">
              <sle:slicer xmlns:sle="http://schemas.microsoft.com/office/drawing/2010/slicer" name="Production_Line"/>
            </a:graphicData>
          </a:graphic>
        </xdr:graphicFrame>
      </mc:Choice>
      <mc:Fallback xmlns="">
        <xdr:sp macro="" textlink="">
          <xdr:nvSpPr>
            <xdr:cNvPr id="0" name=""/>
            <xdr:cNvSpPr>
              <a:spLocks noTextEdit="1"/>
            </xdr:cNvSpPr>
          </xdr:nvSpPr>
          <xdr:spPr>
            <a:xfrm>
              <a:off x="0" y="1539241"/>
              <a:ext cx="128016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160021</xdr:rowOff>
    </xdr:from>
    <xdr:to>
      <xdr:col>2</xdr:col>
      <xdr:colOff>53340</xdr:colOff>
      <xdr:row>23</xdr:row>
      <xdr:rowOff>137161</xdr:rowOff>
    </xdr:to>
    <mc:AlternateContent xmlns:mc="http://schemas.openxmlformats.org/markup-compatibility/2006" xmlns:a14="http://schemas.microsoft.com/office/drawing/2010/main">
      <mc:Choice Requires="a14">
        <xdr:graphicFrame macro="">
          <xdr:nvGraphicFramePr>
            <xdr:cNvPr id="8" name="Quality_Status">
              <a:extLst>
                <a:ext uri="{FF2B5EF4-FFF2-40B4-BE49-F238E27FC236}">
                  <a16:creationId xmlns:a16="http://schemas.microsoft.com/office/drawing/2014/main" id="{0CE31344-193F-4710-9EF4-4F18E44034FF}"/>
                </a:ext>
              </a:extLst>
            </xdr:cNvPr>
            <xdr:cNvGraphicFramePr/>
          </xdr:nvGraphicFramePr>
          <xdr:xfrm>
            <a:off x="0" y="0"/>
            <a:ext cx="0" cy="0"/>
          </xdr:xfrm>
          <a:graphic>
            <a:graphicData uri="http://schemas.microsoft.com/office/drawing/2010/slicer">
              <sle:slicer xmlns:sle="http://schemas.microsoft.com/office/drawing/2010/slicer" name="Quality_Status"/>
            </a:graphicData>
          </a:graphic>
        </xdr:graphicFrame>
      </mc:Choice>
      <mc:Fallback xmlns="">
        <xdr:sp macro="" textlink="">
          <xdr:nvSpPr>
            <xdr:cNvPr id="0" name=""/>
            <xdr:cNvSpPr>
              <a:spLocks noTextEdit="1"/>
            </xdr:cNvSpPr>
          </xdr:nvSpPr>
          <xdr:spPr>
            <a:xfrm>
              <a:off x="0" y="3451861"/>
              <a:ext cx="127254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175260</xdr:colOff>
      <xdr:row>2</xdr:row>
      <xdr:rowOff>0</xdr:rowOff>
    </xdr:from>
    <xdr:to>
      <xdr:col>20</xdr:col>
      <xdr:colOff>563880</xdr:colOff>
      <xdr:row>15</xdr:row>
      <xdr:rowOff>129540</xdr:rowOff>
    </xdr:to>
    <xdr:graphicFrame macro="">
      <xdr:nvGraphicFramePr>
        <xdr:cNvPr id="9" name="Chart 8">
          <a:extLst>
            <a:ext uri="{FF2B5EF4-FFF2-40B4-BE49-F238E27FC236}">
              <a16:creationId xmlns:a16="http://schemas.microsoft.com/office/drawing/2014/main" id="{773B3B0A-B0AD-446A-A0CD-7068078F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129541</xdr:rowOff>
    </xdr:from>
    <xdr:to>
      <xdr:col>2</xdr:col>
      <xdr:colOff>60960</xdr:colOff>
      <xdr:row>28</xdr:row>
      <xdr:rowOff>22860</xdr:rowOff>
    </xdr:to>
    <mc:AlternateContent xmlns:mc="http://schemas.openxmlformats.org/markup-compatibility/2006" xmlns:a14="http://schemas.microsoft.com/office/drawing/2010/main">
      <mc:Choice Requires="a14">
        <xdr:graphicFrame macro="">
          <xdr:nvGraphicFramePr>
            <xdr:cNvPr id="10" name="Shift">
              <a:extLst>
                <a:ext uri="{FF2B5EF4-FFF2-40B4-BE49-F238E27FC236}">
                  <a16:creationId xmlns:a16="http://schemas.microsoft.com/office/drawing/2014/main" id="{C8CC2CB4-FB61-47BC-AC6E-1853895719D6}"/>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0" y="4335781"/>
              <a:ext cx="1280160" cy="807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510540</xdr:colOff>
      <xdr:row>15</xdr:row>
      <xdr:rowOff>121920</xdr:rowOff>
    </xdr:from>
    <xdr:to>
      <xdr:col>16</xdr:col>
      <xdr:colOff>213360</xdr:colOff>
      <xdr:row>28</xdr:row>
      <xdr:rowOff>0</xdr:rowOff>
    </xdr:to>
    <xdr:graphicFrame macro="">
      <xdr:nvGraphicFramePr>
        <xdr:cNvPr id="12" name="Chart 11">
          <a:extLst>
            <a:ext uri="{FF2B5EF4-FFF2-40B4-BE49-F238E27FC236}">
              <a16:creationId xmlns:a16="http://schemas.microsoft.com/office/drawing/2014/main" id="{336C7477-E39A-4D56-AB66-75E0FDFC1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198120</xdr:colOff>
      <xdr:row>15</xdr:row>
      <xdr:rowOff>121920</xdr:rowOff>
    </xdr:from>
    <xdr:to>
      <xdr:col>20</xdr:col>
      <xdr:colOff>586740</xdr:colOff>
      <xdr:row>28</xdr:row>
      <xdr:rowOff>0</xdr:rowOff>
    </xdr:to>
    <xdr:graphicFrame macro="">
      <xdr:nvGraphicFramePr>
        <xdr:cNvPr id="13" name="Chart 12">
          <a:extLst>
            <a:ext uri="{FF2B5EF4-FFF2-40B4-BE49-F238E27FC236}">
              <a16:creationId xmlns:a16="http://schemas.microsoft.com/office/drawing/2014/main" id="{A9CB986C-CDFC-4A75-8D55-3829EBF17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396240</xdr:colOff>
      <xdr:row>45</xdr:row>
      <xdr:rowOff>53340</xdr:rowOff>
    </xdr:from>
    <xdr:to>
      <xdr:col>11</xdr:col>
      <xdr:colOff>76200</xdr:colOff>
      <xdr:row>60</xdr:row>
      <xdr:rowOff>38100</xdr:rowOff>
    </xdr:to>
    <xdr:graphicFrame macro="">
      <xdr:nvGraphicFramePr>
        <xdr:cNvPr id="14" name="Chart 13">
          <a:extLst>
            <a:ext uri="{FF2B5EF4-FFF2-40B4-BE49-F238E27FC236}">
              <a16:creationId xmlns:a16="http://schemas.microsoft.com/office/drawing/2014/main" id="{4D48FEB1-0465-461F-AF06-DBD49E8E5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60960</xdr:colOff>
      <xdr:row>30</xdr:row>
      <xdr:rowOff>60960</xdr:rowOff>
    </xdr:from>
    <xdr:to>
      <xdr:col>19</xdr:col>
      <xdr:colOff>7620</xdr:colOff>
      <xdr:row>45</xdr:row>
      <xdr:rowOff>38100</xdr:rowOff>
    </xdr:to>
    <xdr:graphicFrame macro="">
      <xdr:nvGraphicFramePr>
        <xdr:cNvPr id="16" name="Chart 15">
          <a:extLst>
            <a:ext uri="{FF2B5EF4-FFF2-40B4-BE49-F238E27FC236}">
              <a16:creationId xmlns:a16="http://schemas.microsoft.com/office/drawing/2014/main" id="{38C2E836-28B2-4DFB-8B4D-5F4E1EE13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396240</xdr:colOff>
      <xdr:row>30</xdr:row>
      <xdr:rowOff>53340</xdr:rowOff>
    </xdr:from>
    <xdr:to>
      <xdr:col>11</xdr:col>
      <xdr:colOff>68580</xdr:colOff>
      <xdr:row>45</xdr:row>
      <xdr:rowOff>53340</xdr:rowOff>
    </xdr:to>
    <xdr:graphicFrame macro="">
      <xdr:nvGraphicFramePr>
        <xdr:cNvPr id="18" name="Chart 17">
          <a:extLst>
            <a:ext uri="{FF2B5EF4-FFF2-40B4-BE49-F238E27FC236}">
              <a16:creationId xmlns:a16="http://schemas.microsoft.com/office/drawing/2014/main" id="{47F0F873-1B59-46A1-8805-707D786A5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83820</xdr:colOff>
      <xdr:row>45</xdr:row>
      <xdr:rowOff>45720</xdr:rowOff>
    </xdr:from>
    <xdr:to>
      <xdr:col>19</xdr:col>
      <xdr:colOff>7620</xdr:colOff>
      <xdr:row>60</xdr:row>
      <xdr:rowOff>38100</xdr:rowOff>
    </xdr:to>
    <xdr:graphicFrame macro="">
      <xdr:nvGraphicFramePr>
        <xdr:cNvPr id="20" name="Chart 19">
          <a:extLst>
            <a:ext uri="{FF2B5EF4-FFF2-40B4-BE49-F238E27FC236}">
              <a16:creationId xmlns:a16="http://schemas.microsoft.com/office/drawing/2014/main" id="{C70A77DC-7D53-46D8-B60F-AC507D2FA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22860</xdr:colOff>
      <xdr:row>55</xdr:row>
      <xdr:rowOff>160021</xdr:rowOff>
    </xdr:from>
    <xdr:to>
      <xdr:col>2</xdr:col>
      <xdr:colOff>419100</xdr:colOff>
      <xdr:row>60</xdr:row>
      <xdr:rowOff>53340</xdr:rowOff>
    </xdr:to>
    <mc:AlternateContent xmlns:mc="http://schemas.openxmlformats.org/markup-compatibility/2006" xmlns:a14="http://schemas.microsoft.com/office/drawing/2010/main">
      <mc:Choice Requires="a14">
        <xdr:graphicFrame macro="">
          <xdr:nvGraphicFramePr>
            <xdr:cNvPr id="21" name="Delivery_Status">
              <a:extLst>
                <a:ext uri="{FF2B5EF4-FFF2-40B4-BE49-F238E27FC236}">
                  <a16:creationId xmlns:a16="http://schemas.microsoft.com/office/drawing/2014/main" id="{4E6453FF-B8EF-46AE-B39E-548AE0CA1B56}"/>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22860" y="10218421"/>
              <a:ext cx="1615440" cy="807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68580</xdr:rowOff>
    </xdr:from>
    <xdr:to>
      <xdr:col>2</xdr:col>
      <xdr:colOff>396240</xdr:colOff>
      <xdr:row>43</xdr:row>
      <xdr:rowOff>127635</xdr:rowOff>
    </xdr:to>
    <mc:AlternateContent xmlns:mc="http://schemas.openxmlformats.org/markup-compatibility/2006" xmlns:a14="http://schemas.microsoft.com/office/drawing/2010/main">
      <mc:Choice Requires="a14">
        <xdr:graphicFrame macro="">
          <xdr:nvGraphicFramePr>
            <xdr:cNvPr id="22" name="Customer">
              <a:extLst>
                <a:ext uri="{FF2B5EF4-FFF2-40B4-BE49-F238E27FC236}">
                  <a16:creationId xmlns:a16="http://schemas.microsoft.com/office/drawing/2014/main" id="{3A7935BA-B5BF-498D-8953-8F78109EB98E}"/>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0" y="5554980"/>
              <a:ext cx="1615440" cy="2436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40</xdr:row>
      <xdr:rowOff>45721</xdr:rowOff>
    </xdr:from>
    <xdr:to>
      <xdr:col>2</xdr:col>
      <xdr:colOff>396240</xdr:colOff>
      <xdr:row>48</xdr:row>
      <xdr:rowOff>53340</xdr:rowOff>
    </xdr:to>
    <mc:AlternateContent xmlns:mc="http://schemas.openxmlformats.org/markup-compatibility/2006" xmlns:a14="http://schemas.microsoft.com/office/drawing/2010/main">
      <mc:Choice Requires="a14">
        <xdr:graphicFrame macro="">
          <xdr:nvGraphicFramePr>
            <xdr:cNvPr id="23" name="Material_Category">
              <a:extLst>
                <a:ext uri="{FF2B5EF4-FFF2-40B4-BE49-F238E27FC236}">
                  <a16:creationId xmlns:a16="http://schemas.microsoft.com/office/drawing/2014/main" id="{73AF7264-DF36-47DF-A4B4-76F676D7FD2F}"/>
                </a:ext>
              </a:extLst>
            </xdr:cNvPr>
            <xdr:cNvGraphicFramePr/>
          </xdr:nvGraphicFramePr>
          <xdr:xfrm>
            <a:off x="0" y="0"/>
            <a:ext cx="0" cy="0"/>
          </xdr:xfrm>
          <a:graphic>
            <a:graphicData uri="http://schemas.microsoft.com/office/drawing/2010/slicer">
              <sle:slicer xmlns:sle="http://schemas.microsoft.com/office/drawing/2010/slicer" name="Material_Category"/>
            </a:graphicData>
          </a:graphic>
        </xdr:graphicFrame>
      </mc:Choice>
      <mc:Fallback xmlns="">
        <xdr:sp macro="" textlink="">
          <xdr:nvSpPr>
            <xdr:cNvPr id="0" name=""/>
            <xdr:cNvSpPr>
              <a:spLocks noTextEdit="1"/>
            </xdr:cNvSpPr>
          </xdr:nvSpPr>
          <xdr:spPr>
            <a:xfrm>
              <a:off x="22860" y="7360921"/>
              <a:ext cx="1592580" cy="1470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53341</xdr:rowOff>
    </xdr:from>
    <xdr:to>
      <xdr:col>2</xdr:col>
      <xdr:colOff>411480</xdr:colOff>
      <xdr:row>55</xdr:row>
      <xdr:rowOff>167641</xdr:rowOff>
    </xdr:to>
    <mc:AlternateContent xmlns:mc="http://schemas.openxmlformats.org/markup-compatibility/2006" xmlns:a14="http://schemas.microsoft.com/office/drawing/2010/main">
      <mc:Choice Requires="a14">
        <xdr:graphicFrame macro="">
          <xdr:nvGraphicFramePr>
            <xdr:cNvPr id="24" name="Dispatch_Depot">
              <a:extLst>
                <a:ext uri="{FF2B5EF4-FFF2-40B4-BE49-F238E27FC236}">
                  <a16:creationId xmlns:a16="http://schemas.microsoft.com/office/drawing/2014/main" id="{CA79F5E6-25B5-47ED-A309-65DB16DC3E32}"/>
                </a:ext>
              </a:extLst>
            </xdr:cNvPr>
            <xdr:cNvGraphicFramePr/>
          </xdr:nvGraphicFramePr>
          <xdr:xfrm>
            <a:off x="0" y="0"/>
            <a:ext cx="0" cy="0"/>
          </xdr:xfrm>
          <a:graphic>
            <a:graphicData uri="http://schemas.microsoft.com/office/drawing/2010/slicer">
              <sle:slicer xmlns:sle="http://schemas.microsoft.com/office/drawing/2010/slicer" name="Dispatch_Depot"/>
            </a:graphicData>
          </a:graphic>
        </xdr:graphicFrame>
      </mc:Choice>
      <mc:Fallback xmlns="">
        <xdr:sp macro="" textlink="">
          <xdr:nvSpPr>
            <xdr:cNvPr id="0" name=""/>
            <xdr:cNvSpPr>
              <a:spLocks noTextEdit="1"/>
            </xdr:cNvSpPr>
          </xdr:nvSpPr>
          <xdr:spPr>
            <a:xfrm>
              <a:off x="0" y="8831581"/>
              <a:ext cx="163068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15</xdr:row>
      <xdr:rowOff>121920</xdr:rowOff>
    </xdr:from>
    <xdr:to>
      <xdr:col>10</xdr:col>
      <xdr:colOff>502920</xdr:colOff>
      <xdr:row>28</xdr:row>
      <xdr:rowOff>0</xdr:rowOff>
    </xdr:to>
    <xdr:graphicFrame macro="">
      <xdr:nvGraphicFramePr>
        <xdr:cNvPr id="25" name="Chart 24">
          <a:extLst>
            <a:ext uri="{FF2B5EF4-FFF2-40B4-BE49-F238E27FC236}">
              <a16:creationId xmlns:a16="http://schemas.microsoft.com/office/drawing/2014/main" id="{71701263-48FA-4691-99A5-088E02E10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60960</xdr:rowOff>
    </xdr:from>
    <xdr:to>
      <xdr:col>14</xdr:col>
      <xdr:colOff>175260</xdr:colOff>
      <xdr:row>17</xdr:row>
      <xdr:rowOff>129540</xdr:rowOff>
    </xdr:to>
    <xdr:graphicFrame macro="">
      <xdr:nvGraphicFramePr>
        <xdr:cNvPr id="3" name="Chart 2">
          <a:extLst>
            <a:ext uri="{FF2B5EF4-FFF2-40B4-BE49-F238E27FC236}">
              <a16:creationId xmlns:a16="http://schemas.microsoft.com/office/drawing/2014/main" id="{478352FF-8475-42CA-8B8C-ED942464B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7620</xdr:colOff>
      <xdr:row>15</xdr:row>
      <xdr:rowOff>0</xdr:rowOff>
    </xdr:to>
    <xdr:graphicFrame macro="">
      <xdr:nvGraphicFramePr>
        <xdr:cNvPr id="4" name="Chart 3">
          <a:extLst>
            <a:ext uri="{FF2B5EF4-FFF2-40B4-BE49-F238E27FC236}">
              <a16:creationId xmlns:a16="http://schemas.microsoft.com/office/drawing/2014/main" id="{2D1262AD-F428-4C36-8B97-1CEE8B17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373380</xdr:colOff>
      <xdr:row>28</xdr:row>
      <xdr:rowOff>22860</xdr:rowOff>
    </xdr:from>
    <xdr:to>
      <xdr:col>14</xdr:col>
      <xdr:colOff>68580</xdr:colOff>
      <xdr:row>43</xdr:row>
      <xdr:rowOff>22860</xdr:rowOff>
    </xdr:to>
    <xdr:graphicFrame macro="">
      <xdr:nvGraphicFramePr>
        <xdr:cNvPr id="6" name="Chart 5">
          <a:extLst>
            <a:ext uri="{FF2B5EF4-FFF2-40B4-BE49-F238E27FC236}">
              <a16:creationId xmlns:a16="http://schemas.microsoft.com/office/drawing/2014/main" id="{574C1F8F-1926-4B82-A7D3-4B67B5021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15</xdr:row>
      <xdr:rowOff>83820</xdr:rowOff>
    </xdr:from>
    <xdr:to>
      <xdr:col>14</xdr:col>
      <xdr:colOff>350520</xdr:colOff>
      <xdr:row>30</xdr:row>
      <xdr:rowOff>83820</xdr:rowOff>
    </xdr:to>
    <xdr:graphicFrame macro="">
      <xdr:nvGraphicFramePr>
        <xdr:cNvPr id="7" name="Chart 6">
          <a:extLst>
            <a:ext uri="{FF2B5EF4-FFF2-40B4-BE49-F238E27FC236}">
              <a16:creationId xmlns:a16="http://schemas.microsoft.com/office/drawing/2014/main" id="{58766183-2FEF-40AF-9657-6F74EAA30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201559259258" createdVersion="6" refreshedVersion="6" minRefreshableVersion="3" recordCount="600" xr:uid="{77D6C7F6-5D04-4721-A987-E5453AEBDE05}">
  <cacheSource type="worksheet">
    <worksheetSource ref="A1:R601" sheet="Production_Operations"/>
  </cacheSource>
  <cacheFields count="16">
    <cacheField name="Batch_ID" numFmtId="0">
      <sharedItems/>
    </cacheField>
    <cacheField name="Production_Date" numFmtId="0">
      <sharedItems/>
    </cacheField>
    <cacheField name="Plant" numFmtId="0">
      <sharedItems count="3">
        <s v="Athi River Plant"/>
        <s v="Mombasa Plant"/>
        <s v="Nakuru Plant"/>
      </sharedItems>
    </cacheField>
    <cacheField name="Production_Line" numFmtId="0">
      <sharedItems count="5">
        <s v="Line E"/>
        <s v="Line D"/>
        <s v="Line C"/>
        <s v="Line A"/>
        <s v="Line B"/>
      </sharedItems>
    </cacheField>
    <cacheField name="Product_Category" numFmtId="0">
      <sharedItems count="5">
        <s v="Packaging Resin"/>
        <s v="Industrial Cleaners"/>
        <s v="Water Treatment Chemicals"/>
        <s v="Protective Coatings"/>
        <s v="Construction Additives"/>
      </sharedItems>
    </cacheField>
    <cacheField name="Shift" numFmtId="0">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4">
      <sharedItems containsSemiMixedTypes="0" containsString="0" containsNumber="1" minValue="18.100000000000001" maxValue="144.91999999999999"/>
    </cacheField>
    <cacheField name="Total_Production_Cost" numFmtId="44">
      <sharedItems containsSemiMixedTypes="0" containsString="0" containsNumber="1" minValue="10673.88" maxValue="258641.76"/>
    </cacheField>
    <cacheField name="Rejected_Units_Cost" numFmtId="164">
      <sharedItems containsSemiMixedTypes="0" containsString="0" containsNumber="1" minValue="70.14" maxValue="6895.71"/>
    </cacheField>
    <cacheField name="Quality_Status" numFmtId="0">
      <sharedItems count="2">
        <s v="Review"/>
        <s v="Pass"/>
      </sharedItems>
    </cacheField>
  </cacheFields>
  <extLst>
    <ext xmlns:x14="http://schemas.microsoft.com/office/spreadsheetml/2009/9/main" uri="{725AE2AE-9491-48be-B2B4-4EB974FC3084}">
      <x14:pivotCacheDefinition pivotCacheId="898366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638171643521" createdVersion="6" refreshedVersion="6" minRefreshableVersion="3" recordCount="800" xr:uid="{79E1E32D-E840-47D4-958B-6E6BFDFF7579}">
  <cacheSource type="worksheet">
    <worksheetSource ref="B1:S801" sheet="Logistics_Distribution"/>
  </cacheSource>
  <cacheFields count="17">
    <cacheField name="Order_Date" numFmtId="14">
      <sharedItems/>
    </cacheField>
    <cacheField name="Customer" numFmtId="0">
      <sharedItems count="8">
        <s v="UrbanWorks Contractors"/>
        <s v="Lake Region Water Services"/>
        <s v="Metro Packaging Ltd"/>
        <s v="Rift Valley Manufacturing"/>
        <s v="Highland Agro Processors"/>
        <s v="BlueWave Facilities"/>
        <s v="CoastBuild Ltd"/>
        <s v="Eastern Industrial Supplies"/>
      </sharedItems>
    </cacheField>
    <cacheField name="Material_Category" numFmtId="0">
      <sharedItems count="6">
        <s v="Construction Additives"/>
        <s v="Industrial Cleaning Supplies"/>
        <s v="Protective Coatings"/>
        <s v="Packaging Materials"/>
        <s v="Maintenance Parts"/>
        <s v="Water Treatment Chemicals"/>
      </sharedItems>
    </cacheField>
    <cacheField name="Material_Category2" numFmtId="0">
      <sharedItems/>
    </cacheField>
    <cacheField name="Dispatch_Depot" numFmtId="0">
      <sharedItems/>
    </cacheField>
    <cacheField name="Dispatch_Depot2" numFmtId="0">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Actual_Delivery_Date" numFmtId="0">
      <sharedItems/>
    </cacheField>
    <cacheField name="Delivery_Status" numFmtId="0">
      <sharedItems/>
    </cacheField>
    <cacheField name="Transport_Cost_KES" numFmtId="0">
      <sharedItems containsSemiMixedTypes="0" containsString="0" containsNumber="1" minValue="0" maxValue="43845.25"/>
    </cacheField>
    <cacheField name="Total_Cost" numFmtId="165">
      <sharedItems containsSemiMixedTypes="0" containsString="0" containsNumber="1" minValue="20203.57" maxValue="2207201.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729685300925" createdVersion="6" refreshedVersion="6" minRefreshableVersion="3" recordCount="800" xr:uid="{3592928D-00A7-4D15-BB7B-38995435B05F}">
  <cacheSource type="worksheet">
    <worksheetSource ref="A1:S801" sheet="Logistics_Distribution"/>
  </cacheSource>
  <cacheFields count="20">
    <cacheField name="Shipment_ID" numFmtId="0">
      <sharedItems/>
    </cacheField>
    <cacheField name="Order_Date" numFmtId="14">
      <sharedItems/>
    </cacheField>
    <cacheField name="Order_Date_Months" numFmtId="167">
      <sharedItems containsSemiMixedTypes="0" containsNonDate="0" containsDate="1" containsString="0" minDate="2025-01-01T00:00:00" maxDate="2025-12-02T00:00:00" count="12">
        <d v="2025-04-01T00:00:00"/>
        <d v="2025-02-01T00:00:00"/>
        <d v="2025-11-01T00:00:00"/>
        <d v="2025-01-01T00:00:00"/>
        <d v="2025-03-01T00:00:00"/>
        <d v="2025-10-01T00:00:00"/>
        <d v="2025-08-01T00:00:00"/>
        <d v="2025-07-01T00:00:00"/>
        <d v="2025-12-01T00:00:00"/>
        <d v="2025-06-01T00:00:00"/>
        <d v="2025-05-01T00:00:00"/>
        <d v="2025-09-01T00:00:00"/>
      </sharedItems>
      <fieldGroup par="19" base="2">
        <rangePr groupBy="months" startDate="2025-01-01T00:00:00" endDate="2025-12-02T00:00:00"/>
        <groupItems count="14">
          <s v="&lt;1/1/2025"/>
          <s v="Jan"/>
          <s v="Feb"/>
          <s v="Mar"/>
          <s v="Apr"/>
          <s v="May"/>
          <s v="Jun"/>
          <s v="Jul"/>
          <s v="Aug"/>
          <s v="Sep"/>
          <s v="Oct"/>
          <s v="Nov"/>
          <s v="Dec"/>
          <s v="&gt;12/2/2025"/>
        </groupItems>
      </fieldGroup>
    </cacheField>
    <cacheField name="Customer" numFmtId="0">
      <sharedItems count="8">
        <s v="UrbanWorks Contractors"/>
        <s v="Lake Region Water Services"/>
        <s v="Metro Packaging Ltd"/>
        <s v="Rift Valley Manufacturing"/>
        <s v="Highland Agro Processors"/>
        <s v="BlueWave Facilities"/>
        <s v="CoastBuild Ltd"/>
        <s v="Eastern Industrial Supplies"/>
      </sharedItems>
    </cacheField>
    <cacheField name="Material_Category" numFmtId="0">
      <sharedItems count="6">
        <s v="Construction Additives"/>
        <s v="Industrial Cleaning Supplies"/>
        <s v="Protective Coatings"/>
        <s v="Packaging Materials"/>
        <s v="Maintenance Parts"/>
        <s v="Water Treatment Chemicals"/>
      </sharedItems>
    </cacheField>
    <cacheField name="Dispatch_Depot" numFmtId="0">
      <sharedItems count="4">
        <s v="Nairobi Depot"/>
        <s v="Eldoret Depot"/>
        <s v="Nakuru Depot"/>
        <s v="Mombasa Depot"/>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Planned_Delivery_Months" numFmtId="167">
      <sharedItems containsSemiMixedTypes="0" containsNonDate="0" containsDate="1" containsString="0" minDate="2025-01-01T00:00:00" maxDate="2026-01-02T00:00:00"/>
    </cacheField>
    <cacheField name="Actual_Delivery_Date" numFmtId="0">
      <sharedItems/>
    </cacheField>
    <cacheField name="Actual_Delivery_Months" numFmtId="0">
      <sharedItems/>
    </cacheField>
    <cacheField name="Delivery_Status" numFmtId="0">
      <sharedItems count="2">
        <s v="Late"/>
        <s v="On Time"/>
      </sharedItems>
    </cacheField>
    <cacheField name="Transport_Cost_KES" numFmtId="166">
      <sharedItems containsSemiMixedTypes="0" containsString="0" containsNumber="1" minValue="0" maxValue="43845.25"/>
    </cacheField>
    <cacheField name="Total_Cost" numFmtId="166">
      <sharedItems containsSemiMixedTypes="0" containsString="0" containsNumber="1" minValue="20203.57" maxValue="2207201.96"/>
    </cacheField>
    <cacheField name="Years" numFmtId="0" databaseField="0">
      <fieldGroup base="2">
        <rangePr groupBy="years" startDate="2025-01-01T00:00:00" endDate="2025-12-02T00:00:00"/>
        <groupItems count="3">
          <s v="&lt;1/1/2025"/>
          <s v="2025"/>
          <s v="&gt;12/2/2025"/>
        </groupItems>
      </fieldGroup>
    </cacheField>
  </cacheFields>
  <extLst>
    <ext xmlns:x14="http://schemas.microsoft.com/office/spreadsheetml/2009/9/main" uri="{725AE2AE-9491-48be-B2B4-4EB974FC3084}">
      <x14:pivotCacheDefinition pivotCacheId="61870289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9.962098958335" createdVersion="6" refreshedVersion="6" minRefreshableVersion="3" recordCount="800" xr:uid="{E5436E9E-57A3-419F-81B5-335BE2FBFF1F}">
  <cacheSource type="worksheet">
    <worksheetSource ref="A1:U801" sheet="Logistics_Distribution"/>
  </cacheSource>
  <cacheFields count="21">
    <cacheField name="Shipment_ID" numFmtId="0">
      <sharedItems/>
    </cacheField>
    <cacheField name="Order_Date" numFmtId="14">
      <sharedItems/>
    </cacheField>
    <cacheField name="Order_Date_Months" numFmtId="167">
      <sharedItems containsSemiMixedTypes="0" containsNonDate="0" containsDate="1" containsString="0" minDate="2025-01-01T00:00:00" maxDate="2025-12-02T00:00:00"/>
    </cacheField>
    <cacheField name="Customer" numFmtId="0">
      <sharedItems/>
    </cacheField>
    <cacheField name="Material_Category" numFmtId="0">
      <sharedItems count="6">
        <s v="Construction Additives"/>
        <s v="Industrial Cleaning Supplies"/>
        <s v="Protective Coatings"/>
        <s v="Packaging Materials"/>
        <s v="Maintenance Parts"/>
        <s v="Water Treatment Chemicals"/>
      </sharedItems>
    </cacheField>
    <cacheField name="Dispatch_Depot" numFmtId="0">
      <sharedItems count="4">
        <s v="Nairobi Depot"/>
        <s v="Eldoret Depot"/>
        <s v="Nakuru Depot"/>
        <s v="Mombasa Depot"/>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Planned_Delivery_Months" numFmtId="167">
      <sharedItems containsSemiMixedTypes="0" containsNonDate="0" containsDate="1" containsString="0" minDate="2025-01-01T00:00:00" maxDate="2026-01-02T00:00:00"/>
    </cacheField>
    <cacheField name="Actual_Delivery_Date" numFmtId="0">
      <sharedItems/>
    </cacheField>
    <cacheField name="Actual_Delivery_Months" numFmtId="0">
      <sharedItems/>
    </cacheField>
    <cacheField name="Delivery_Status" numFmtId="0">
      <sharedItems/>
    </cacheField>
    <cacheField name="Transport_Cost_KES" numFmtId="166">
      <sharedItems containsSemiMixedTypes="0" containsString="0" containsNumber="1" minValue="0" maxValue="43845.25"/>
    </cacheField>
    <cacheField name="Total_Cost" numFmtId="166">
      <sharedItems containsSemiMixedTypes="0" containsString="0" containsNumber="1" minValue="20203.57" maxValue="2207201.96"/>
    </cacheField>
    <cacheField name="Delay_Duration" numFmtId="0">
      <sharedItems containsSemiMixedTypes="0" containsString="0" containsNumber="1" containsInteger="1" minValue="-1" maxValue="4"/>
    </cacheField>
    <cacheField name="Delivery_Duration" numFmtId="1">
      <sharedItems containsString="0" containsBlank="1" containsNumber="1" containsInteger="1" minValue="6" maxValue="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1.832940509259" createdVersion="6" refreshedVersion="6" minRefreshableVersion="3" recordCount="600" xr:uid="{EB1A8201-62C0-4A51-8481-1E36226738C6}">
  <cacheSource type="worksheet">
    <worksheetSource ref="A1:R601" sheet="Production_Operations"/>
  </cacheSource>
  <cacheFields count="18">
    <cacheField name="Batch_ID" numFmtId="0">
      <sharedItems count="600">
        <s v="BAT-0434"/>
        <s v="BAT-0544"/>
        <s v="BAT-0370"/>
        <s v="BAT-0438"/>
        <s v="BAT-0481"/>
        <s v="BAT-0036"/>
        <s v="BAT-0319"/>
        <s v="BAT-0246"/>
        <s v="BAT-0402"/>
        <s v="BAT-0444"/>
        <s v="BAT-0194"/>
        <s v="BAT-0422"/>
        <s v="BAT-0267"/>
        <s v="BAT-0491"/>
        <s v="BAT-0340"/>
        <s v="BAT-0076"/>
        <s v="BAT-0531"/>
        <s v="BAT-0440"/>
        <s v="BAT-0574"/>
        <s v="BAT-0508"/>
        <s v="BAT-0344"/>
        <s v="BAT-0271"/>
        <s v="BAT-0585"/>
        <s v="BAT-0365"/>
        <s v="BAT-0051"/>
        <s v="BAT-0155"/>
        <s v="BAT-0202"/>
        <s v="BAT-0304"/>
        <s v="BAT-0538"/>
        <s v="BAT-0478"/>
        <s v="BAT-0166"/>
        <s v="BAT-0049"/>
        <s v="BAT-0065"/>
        <s v="BAT-0345"/>
        <s v="BAT-0023"/>
        <s v="BAT-0283"/>
        <s v="BAT-0039"/>
        <s v="BAT-0092"/>
        <s v="BAT-0105"/>
        <s v="BAT-0066"/>
        <s v="BAT-0128"/>
        <s v="BAT-0384"/>
        <s v="BAT-0432"/>
        <s v="BAT-0435"/>
        <s v="BAT-0397"/>
        <s v="BAT-0041"/>
        <s v="BAT-0142"/>
        <s v="BAT-0381"/>
        <s v="BAT-0507"/>
        <s v="BAT-0107"/>
        <s v="BAT-0416"/>
        <s v="BAT-0308"/>
        <s v="BAT-0311"/>
        <s v="BAT-0596"/>
        <s v="BAT-0228"/>
        <s v="BAT-0038"/>
        <s v="BAT-0439"/>
        <s v="BAT-0040"/>
        <s v="BAT-0412"/>
        <s v="BAT-0231"/>
        <s v="BAT-0224"/>
        <s v="BAT-0414"/>
        <s v="BAT-0299"/>
        <s v="BAT-0393"/>
        <s v="BAT-0281"/>
        <s v="BAT-0235"/>
        <s v="BAT-0127"/>
        <s v="BAT-0419"/>
        <s v="BAT-0087"/>
        <s v="BAT-0159"/>
        <s v="BAT-0450"/>
        <s v="BAT-0459"/>
        <s v="BAT-0463"/>
        <s v="BAT-0359"/>
        <s v="BAT-0195"/>
        <s v="BAT-0471"/>
        <s v="BAT-0123"/>
        <s v="BAT-0167"/>
        <s v="BAT-0212"/>
        <s v="BAT-0392"/>
        <s v="BAT-0014"/>
        <s v="BAT-0274"/>
        <s v="BAT-0407"/>
        <s v="BAT-0090"/>
        <s v="BAT-0230"/>
        <s v="BAT-0534"/>
        <s v="BAT-0470"/>
        <s v="BAT-0445"/>
        <s v="BAT-0261"/>
        <s v="BAT-0452"/>
        <s v="BAT-0415"/>
        <s v="BAT-0546"/>
        <s v="BAT-0132"/>
        <s v="BAT-0188"/>
        <s v="BAT-0404"/>
        <s v="BAT-0084"/>
        <s v="BAT-0420"/>
        <s v="BAT-0564"/>
        <s v="BAT-0227"/>
        <s v="BAT-0441"/>
        <s v="BAT-0533"/>
        <s v="BAT-0073"/>
        <s v="BAT-0338"/>
        <s v="BAT-0162"/>
        <s v="BAT-0102"/>
        <s v="BAT-0526"/>
        <s v="BAT-0122"/>
        <s v="BAT-0369"/>
        <s v="BAT-0287"/>
        <s v="BAT-0514"/>
        <s v="BAT-0033"/>
        <s v="BAT-0593"/>
        <s v="BAT-0135"/>
        <s v="BAT-0251"/>
        <s v="BAT-0044"/>
        <s v="BAT-0276"/>
        <s v="BAT-0382"/>
        <s v="BAT-0417"/>
        <s v="BAT-0496"/>
        <s v="BAT-0430"/>
        <s v="BAT-0554"/>
        <s v="BAT-0022"/>
        <s v="BAT-0175"/>
        <s v="BAT-0559"/>
        <s v="BAT-0469"/>
        <s v="BAT-0097"/>
        <s v="BAT-0143"/>
        <s v="BAT-0587"/>
        <s v="BAT-0485"/>
        <s v="BAT-0523"/>
        <s v="BAT-0106"/>
        <s v="BAT-0163"/>
        <s v="BAT-0256"/>
        <s v="BAT-0220"/>
        <s v="BAT-0075"/>
        <s v="BAT-0597"/>
        <s v="BAT-0577"/>
        <s v="BAT-0566"/>
        <s v="BAT-0238"/>
        <s v="BAT-0373"/>
        <s v="BAT-0503"/>
        <s v="BAT-0181"/>
        <s v="BAT-0002"/>
        <s v="BAT-0337"/>
        <s v="BAT-0060"/>
        <s v="BAT-0192"/>
        <s v="BAT-0562"/>
        <s v="BAT-0277"/>
        <s v="BAT-0190"/>
        <s v="BAT-0409"/>
        <s v="BAT-0570"/>
        <s v="BAT-0072"/>
        <s v="BAT-0517"/>
        <s v="BAT-0119"/>
        <s v="BAT-0509"/>
        <s v="BAT-0588"/>
        <s v="BAT-0521"/>
        <s v="BAT-0524"/>
        <s v="BAT-0316"/>
        <s v="BAT-0081"/>
        <s v="BAT-0296"/>
        <s v="BAT-0207"/>
        <s v="BAT-0428"/>
        <s v="BAT-0457"/>
        <s v="BAT-0286"/>
        <s v="BAT-0426"/>
        <s v="BAT-0121"/>
        <s v="BAT-0257"/>
        <s v="BAT-0289"/>
        <s v="BAT-0272"/>
        <s v="BAT-0284"/>
        <s v="BAT-0429"/>
        <s v="BAT-0186"/>
        <s v="BAT-0575"/>
        <s v="BAT-0244"/>
        <s v="BAT-0454"/>
        <s v="BAT-0488"/>
        <s v="BAT-0091"/>
        <s v="BAT-0270"/>
        <s v="BAT-0383"/>
        <s v="BAT-0115"/>
        <s v="BAT-0447"/>
        <s v="BAT-0363"/>
        <s v="BAT-0169"/>
        <s v="BAT-0307"/>
        <s v="BAT-0303"/>
        <s v="BAT-0500"/>
        <s v="BAT-0080"/>
        <s v="BAT-0093"/>
        <s v="BAT-0578"/>
        <s v="BAT-0555"/>
        <s v="BAT-0061"/>
        <s v="BAT-0448"/>
        <s v="BAT-0025"/>
        <s v="BAT-0161"/>
        <s v="BAT-0482"/>
        <s v="BAT-0191"/>
        <s v="BAT-0140"/>
        <s v="BAT-0375"/>
        <s v="BAT-0510"/>
        <s v="BAT-0295"/>
        <s v="BAT-0178"/>
        <s v="BAT-0149"/>
        <s v="BAT-0103"/>
        <s v="BAT-0129"/>
        <s v="BAT-0069"/>
        <s v="BAT-0290"/>
        <s v="BAT-0147"/>
        <s v="BAT-0403"/>
        <s v="BAT-0477"/>
        <s v="BAT-0493"/>
        <s v="BAT-0242"/>
        <s v="BAT-0278"/>
        <s v="BAT-0302"/>
        <s v="BAT-0294"/>
        <s v="BAT-0258"/>
        <s v="BAT-0056"/>
        <s v="BAT-0553"/>
        <s v="BAT-0542"/>
        <s v="BAT-0152"/>
        <s v="BAT-0595"/>
        <s v="BAT-0563"/>
        <s v="BAT-0248"/>
        <s v="BAT-0144"/>
        <s v="BAT-0172"/>
        <s v="BAT-0011"/>
        <s v="BAT-0058"/>
        <s v="BAT-0134"/>
        <s v="BAT-0255"/>
        <s v="BAT-0543"/>
        <s v="BAT-0184"/>
        <s v="BAT-0203"/>
        <s v="BAT-0034"/>
        <s v="BAT-0421"/>
        <s v="BAT-0201"/>
        <s v="BAT-0512"/>
        <s v="BAT-0012"/>
        <s v="BAT-0396"/>
        <s v="BAT-0001"/>
        <s v="BAT-0379"/>
        <s v="BAT-0464"/>
        <s v="BAT-0067"/>
        <s v="BAT-0263"/>
        <s v="BAT-0208"/>
        <s v="BAT-0547"/>
        <s v="BAT-0475"/>
        <s v="BAT-0198"/>
        <s v="BAT-0164"/>
        <s v="BAT-0150"/>
        <s v="BAT-0050"/>
        <s v="BAT-0237"/>
        <s v="BAT-0532"/>
        <s v="BAT-0322"/>
        <s v="BAT-0315"/>
        <s v="BAT-0010"/>
        <s v="BAT-0112"/>
        <s v="BAT-0358"/>
        <s v="BAT-0059"/>
        <s v="BAT-0354"/>
        <s v="BAT-0540"/>
        <s v="BAT-0468"/>
        <s v="BAT-0160"/>
        <s v="BAT-0313"/>
        <s v="BAT-0027"/>
        <s v="BAT-0310"/>
        <s v="BAT-0165"/>
        <s v="BAT-0558"/>
        <s v="BAT-0483"/>
        <s v="BAT-0455"/>
        <s v="BAT-0101"/>
        <s v="BAT-0131"/>
        <s v="BAT-0180"/>
        <s v="BAT-0326"/>
        <s v="BAT-0541"/>
        <s v="BAT-0177"/>
        <s v="BAT-0586"/>
        <s v="BAT-0387"/>
        <s v="BAT-0446"/>
        <s v="BAT-0240"/>
        <s v="BAT-0560"/>
        <s v="BAT-0467"/>
        <s v="BAT-0569"/>
        <s v="BAT-0348"/>
        <s v="BAT-0361"/>
        <s v="BAT-0136"/>
        <s v="BAT-0110"/>
        <s v="BAT-0505"/>
        <s v="BAT-0151"/>
        <s v="BAT-0291"/>
        <s v="BAT-0015"/>
        <s v="BAT-0545"/>
        <s v="BAT-0206"/>
        <s v="BAT-0085"/>
        <s v="BAT-0305"/>
        <s v="BAT-0215"/>
        <s v="BAT-0268"/>
        <s v="BAT-0250"/>
        <s v="BAT-0182"/>
        <s v="BAT-0451"/>
        <s v="BAT-0189"/>
        <s v="BAT-0453"/>
        <s v="BAT-0360"/>
        <s v="BAT-0352"/>
        <s v="BAT-0032"/>
        <s v="BAT-0156"/>
        <s v="BAT-0148"/>
        <s v="BAT-0043"/>
        <s v="BAT-0580"/>
        <s v="BAT-0502"/>
        <s v="BAT-0269"/>
        <s v="BAT-0285"/>
        <s v="BAT-0021"/>
        <s v="BAT-0490"/>
        <s v="BAT-0341"/>
        <s v="BAT-0068"/>
        <s v="BAT-0026"/>
        <s v="BAT-0600"/>
        <s v="BAT-0583"/>
        <s v="BAT-0549"/>
        <s v="BAT-0527"/>
        <s v="BAT-0264"/>
        <s v="BAT-0174"/>
        <s v="BAT-0582"/>
        <s v="BAT-0550"/>
        <s v="BAT-0331"/>
        <s v="BAT-0259"/>
        <s v="BAT-0083"/>
        <s v="BAT-0462"/>
        <s v="BAT-0390"/>
        <s v="BAT-0239"/>
        <s v="BAT-0233"/>
        <s v="BAT-0371"/>
        <s v="BAT-0548"/>
        <s v="BAT-0297"/>
        <s v="BAT-0406"/>
        <s v="BAT-0489"/>
        <s v="BAT-0232"/>
        <s v="BAT-0568"/>
        <s v="BAT-0241"/>
        <s v="BAT-0030"/>
        <s v="BAT-0253"/>
        <s v="BAT-0126"/>
        <s v="BAT-0320"/>
        <s v="BAT-0321"/>
        <s v="BAT-0037"/>
        <s v="BAT-0301"/>
        <s v="BAT-0197"/>
        <s v="BAT-0465"/>
        <s v="BAT-0062"/>
        <s v="BAT-0153"/>
        <s v="BAT-0218"/>
        <s v="BAT-0288"/>
        <s v="BAT-0008"/>
        <s v="BAT-0157"/>
        <s v="BAT-0565"/>
        <s v="BAT-0029"/>
        <s v="BAT-0082"/>
        <s v="BAT-0168"/>
        <s v="BAT-0229"/>
        <s v="BAT-0236"/>
        <s v="BAT-0327"/>
        <s v="BAT-0273"/>
        <s v="BAT-0309"/>
        <s v="BAT-0057"/>
        <s v="BAT-0522"/>
        <s v="BAT-0380"/>
        <s v="BAT-0225"/>
        <s v="BAT-0096"/>
        <s v="BAT-0466"/>
        <s v="BAT-0325"/>
        <s v="BAT-0028"/>
        <s v="BAT-0055"/>
        <s v="BAT-0492"/>
        <s v="BAT-0556"/>
        <s v="BAT-0077"/>
        <s v="BAT-0306"/>
        <s v="BAT-0045"/>
        <s v="BAT-0009"/>
        <s v="BAT-0265"/>
        <s v="BAT-0089"/>
        <s v="BAT-0074"/>
        <s v="BAT-0019"/>
        <s v="BAT-0217"/>
        <s v="BAT-0245"/>
        <s v="BAT-0423"/>
        <s v="BAT-0173"/>
        <s v="BAT-0193"/>
        <s v="BAT-0351"/>
        <s v="BAT-0262"/>
        <s v="BAT-0515"/>
        <s v="BAT-0095"/>
        <s v="BAT-0576"/>
        <s v="BAT-0210"/>
        <s v="BAT-0124"/>
        <s v="BAT-0474"/>
        <s v="BAT-0046"/>
        <s v="BAT-0537"/>
        <s v="BAT-0378"/>
        <s v="BAT-0520"/>
        <s v="BAT-0222"/>
        <s v="BAT-0204"/>
        <s v="BAT-0506"/>
        <s v="BAT-0386"/>
        <s v="BAT-0249"/>
        <s v="BAT-0487"/>
        <s v="BAT-0141"/>
        <s v="BAT-0377"/>
        <s v="BAT-0017"/>
        <s v="BAT-0004"/>
        <s v="BAT-0349"/>
        <s v="BAT-0064"/>
        <s v="BAT-0590"/>
        <s v="BAT-0137"/>
        <s v="BAT-0473"/>
        <s v="BAT-0567"/>
        <s v="BAT-0113"/>
        <s v="BAT-0154"/>
        <s v="BAT-0518"/>
        <s v="BAT-0398"/>
        <s v="BAT-0427"/>
        <s v="BAT-0528"/>
        <s v="BAT-0335"/>
        <s v="BAT-0400"/>
        <s v="BAT-0117"/>
        <s v="BAT-0535"/>
        <s v="BAT-0504"/>
        <s v="BAT-0557"/>
        <s v="BAT-0005"/>
        <s v="BAT-0443"/>
        <s v="BAT-0572"/>
        <s v="BAT-0484"/>
        <s v="BAT-0221"/>
        <s v="BAT-0138"/>
        <s v="BAT-0226"/>
        <s v="BAT-0275"/>
        <s v="BAT-0436"/>
        <s v="BAT-0408"/>
        <s v="BAT-0486"/>
        <s v="BAT-0088"/>
        <s v="BAT-0328"/>
        <s v="BAT-0499"/>
        <s v="BAT-0536"/>
        <s v="BAT-0592"/>
        <s v="BAT-0247"/>
        <s v="BAT-0324"/>
        <s v="BAT-0579"/>
        <s v="BAT-0254"/>
        <s v="BAT-0205"/>
        <s v="BAT-0086"/>
        <s v="BAT-0385"/>
        <s v="BAT-0133"/>
        <s v="BAT-0111"/>
        <s v="BAT-0185"/>
        <s v="BAT-0594"/>
        <s v="BAT-0418"/>
        <s v="BAT-0346"/>
        <s v="BAT-0525"/>
        <s v="BAT-0516"/>
        <s v="BAT-0139"/>
        <s v="BAT-0243"/>
        <s v="BAT-0497"/>
        <s v="BAT-0120"/>
        <s v="BAT-0372"/>
        <s v="BAT-0388"/>
        <s v="BAT-0042"/>
        <s v="BAT-0282"/>
        <s v="BAT-0035"/>
        <s v="BAT-0333"/>
        <s v="BAT-0052"/>
        <s v="BAT-0018"/>
        <s v="BAT-0114"/>
        <s v="BAT-0424"/>
        <s v="BAT-0480"/>
        <s v="BAT-0216"/>
        <s v="BAT-0214"/>
        <s v="BAT-0584"/>
        <s v="BAT-0176"/>
        <s v="BAT-0460"/>
        <s v="BAT-0591"/>
        <s v="BAT-0366"/>
        <s v="BAT-0063"/>
        <s v="BAT-0362"/>
        <s v="BAT-0498"/>
        <s v="BAT-0476"/>
        <s v="BAT-0479"/>
        <s v="BAT-0410"/>
        <s v="BAT-0356"/>
        <s v="BAT-0433"/>
        <s v="BAT-0330"/>
        <s v="BAT-0314"/>
        <s v="BAT-0312"/>
        <s v="BAT-0280"/>
        <s v="BAT-0098"/>
        <s v="BAT-0317"/>
        <s v="BAT-0571"/>
        <s v="BAT-0209"/>
        <s v="BAT-0519"/>
        <s v="BAT-0146"/>
        <s v="BAT-0183"/>
        <s v="BAT-0053"/>
        <s v="BAT-0494"/>
        <s v="BAT-0047"/>
        <s v="BAT-0599"/>
        <s v="BAT-0300"/>
        <s v="BAT-0501"/>
        <s v="BAT-0374"/>
        <s v="BAT-0329"/>
        <s v="BAT-0099"/>
        <s v="BAT-0425"/>
        <s v="BAT-0211"/>
        <s v="BAT-0513"/>
        <s v="BAT-0130"/>
        <s v="BAT-0079"/>
        <s v="BAT-0357"/>
        <s v="BAT-0401"/>
        <s v="BAT-0187"/>
        <s v="BAT-0334"/>
        <s v="BAT-0125"/>
        <s v="BAT-0260"/>
        <s v="BAT-0355"/>
        <s v="BAT-0413"/>
        <s v="BAT-0196"/>
        <s v="BAT-0511"/>
        <s v="BAT-0054"/>
        <s v="BAT-0293"/>
        <s v="BAT-0171"/>
        <s v="BAT-0431"/>
        <s v="BAT-0353"/>
        <s v="BAT-0339"/>
        <s v="BAT-0472"/>
        <s v="BAT-0298"/>
        <s v="BAT-0552"/>
        <s v="BAT-0573"/>
        <s v="BAT-0213"/>
        <s v="BAT-0199"/>
        <s v="BAT-0405"/>
        <s v="BAT-0071"/>
        <s v="BAT-0031"/>
        <s v="BAT-0234"/>
        <s v="BAT-0108"/>
        <s v="BAT-0551"/>
        <s v="BAT-0252"/>
        <s v="BAT-0495"/>
        <s v="BAT-0347"/>
        <s v="BAT-0020"/>
        <s v="BAT-0530"/>
        <s v="BAT-0442"/>
        <s v="BAT-0279"/>
        <s v="BAT-0292"/>
        <s v="BAT-0145"/>
        <s v="BAT-0070"/>
        <s v="BAT-0391"/>
        <s v="BAT-0323"/>
        <s v="BAT-0458"/>
        <s v="BAT-0006"/>
        <s v="BAT-0118"/>
        <s v="BAT-0179"/>
        <s v="BAT-0336"/>
        <s v="BAT-0389"/>
        <s v="BAT-0100"/>
        <s v="BAT-0394"/>
        <s v="BAT-0461"/>
        <s v="BAT-0332"/>
        <s v="BAT-0219"/>
        <s v="BAT-0007"/>
        <s v="BAT-0364"/>
        <s v="BAT-0003"/>
        <s v="BAT-0343"/>
        <s v="BAT-0109"/>
        <s v="BAT-0350"/>
        <s v="BAT-0581"/>
        <s v="BAT-0116"/>
        <s v="BAT-0094"/>
        <s v="BAT-0539"/>
        <s v="BAT-0529"/>
        <s v="BAT-0200"/>
        <s v="BAT-0158"/>
        <s v="BAT-0456"/>
        <s v="BAT-0048"/>
        <s v="BAT-0342"/>
        <s v="BAT-0449"/>
        <s v="BAT-0367"/>
        <s v="BAT-0223"/>
        <s v="BAT-0170"/>
        <s v="BAT-0598"/>
        <s v="BAT-0411"/>
        <s v="BAT-0024"/>
        <s v="BAT-0266"/>
        <s v="BAT-0013"/>
        <s v="BAT-0437"/>
        <s v="BAT-0395"/>
        <s v="BAT-0318"/>
        <s v="BAT-0104"/>
        <s v="BAT-0561"/>
        <s v="BAT-0368"/>
        <s v="BAT-0376"/>
        <s v="BAT-0078"/>
        <s v="BAT-0589"/>
        <s v="BAT-0016"/>
        <s v="BAT-0399"/>
      </sharedItems>
    </cacheField>
    <cacheField name="Production_Date" numFmtId="14">
      <sharedItems containsSemiMixedTypes="0" containsNonDate="0" containsDate="1" containsString="0" minDate="2025-01-02T00:00:00" maxDate="2026-01-01T00:00:00"/>
    </cacheField>
    <cacheField name="Production_Month" numFmtId="168">
      <sharedItems containsSemiMixedTypes="0" containsNonDate="0" containsDate="1" containsString="0" minDate="2025-01-01T00:00:00" maxDate="2025-12-02T00:00:00" count="12">
        <d v="2025-02-01T00:00:00"/>
        <d v="2025-03-01T00:00:00"/>
        <d v="2025-10-01T00:00:00"/>
        <d v="2025-12-01T00:00:00"/>
        <d v="2025-04-01T00:00:00"/>
        <d v="2025-01-01T00:00:00"/>
        <d v="2025-06-01T00:00:00"/>
        <d v="2025-05-01T00:00:00"/>
        <d v="2025-09-01T00:00:00"/>
        <d v="2025-08-01T00:00:00"/>
        <d v="2025-07-01T00:00:00"/>
        <d v="2025-11-01T00:00:00"/>
      </sharedItems>
    </cacheField>
    <cacheField name="Plant" numFmtId="0">
      <sharedItems count="3">
        <s v="Athi River Plant"/>
        <s v="Mombasa Plant"/>
        <s v="Nakuru Plant"/>
      </sharedItems>
    </cacheField>
    <cacheField name="Production_Line" numFmtId="0">
      <sharedItems/>
    </cacheField>
    <cacheField name="Product_Category" numFmtId="0">
      <sharedItems/>
    </cacheField>
    <cacheField name="Shift" numFmtId="0">
      <sharedItems count="3">
        <s v="Night"/>
        <s v="Evening"/>
        <s v="Day"/>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Accepted_Units" numFmtId="0">
      <sharedItems containsSemiMixedTypes="0" containsString="0" containsNumber="1" containsInteger="1" minValue="493" maxValue="1968"/>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6">
      <sharedItems containsSemiMixedTypes="0" containsString="0" containsNumber="1" minValue="18.100000000000001" maxValue="144.91999999999999"/>
    </cacheField>
    <cacheField name="Total_Production_Cost" numFmtId="166">
      <sharedItems containsSemiMixedTypes="0" containsString="0" containsNumber="1" minValue="10673.88" maxValue="258641.76"/>
    </cacheField>
    <cacheField name="Rejected_Units_Cost" numFmtId="166">
      <sharedItems containsSemiMixedTypes="0" containsString="0" containsNumber="1" minValue="70.14" maxValue="6895.71"/>
    </cacheField>
    <cacheField name="Quality_Status" numFmtId="0">
      <sharedItems/>
    </cacheField>
  </cacheFields>
  <extLst>
    <ext xmlns:x14="http://schemas.microsoft.com/office/spreadsheetml/2009/9/main" uri="{725AE2AE-9491-48be-B2B4-4EB974FC3084}">
      <x14:pivotCacheDefinition pivotCacheId="100331009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1.836586111109" createdVersion="6" refreshedVersion="6" minRefreshableVersion="3" recordCount="600" xr:uid="{187E8766-1195-4004-92B7-B02ACB8B9999}">
  <cacheSource type="worksheet">
    <worksheetSource ref="A1:S601" sheet="Production_Operations"/>
  </cacheSource>
  <cacheFields count="21">
    <cacheField name="Batch_ID" numFmtId="0">
      <sharedItems/>
    </cacheField>
    <cacheField name="Production_Date" numFmtId="14">
      <sharedItems containsSemiMixedTypes="0" containsNonDate="0" containsDate="1" containsString="0" minDate="2025-01-02T00:00:00" maxDate="2026-01-01T00:00:00" count="295">
        <d v="2025-02-17T00:00:00"/>
        <d v="2025-03-05T00:00:00"/>
        <d v="2025-10-09T00:00:00"/>
        <d v="2025-12-05T00:00:00"/>
        <d v="2025-04-16T00:00:00"/>
        <d v="2025-01-24T00:00:00"/>
        <d v="2025-12-09T00:00:00"/>
        <d v="2025-01-31T00:00:00"/>
        <d v="2025-10-11T00:00:00"/>
        <d v="2025-06-28T00:00:00"/>
        <d v="2025-05-13T00:00:00"/>
        <d v="2025-09-11T00:00:00"/>
        <d v="2025-06-13T00:00:00"/>
        <d v="2025-12-07T00:00:00"/>
        <d v="2025-12-14T00:00:00"/>
        <d v="2025-06-23T00:00:00"/>
        <d v="2025-08-07T00:00:00"/>
        <d v="2025-05-26T00:00:00"/>
        <d v="2025-01-18T00:00:00"/>
        <d v="2025-04-01T00:00:00"/>
        <d v="2025-07-07T00:00:00"/>
        <d v="2025-04-18T00:00:00"/>
        <d v="2025-05-28T00:00:00"/>
        <d v="2025-02-12T00:00:00"/>
        <d v="2025-10-05T00:00:00"/>
        <d v="2025-06-08T00:00:00"/>
        <d v="2025-11-28T00:00:00"/>
        <d v="2025-11-24T00:00:00"/>
        <d v="2025-01-07T00:00:00"/>
        <d v="2025-10-25T00:00:00"/>
        <d v="2025-09-05T00:00:00"/>
        <d v="2025-05-30T00:00:00"/>
        <d v="2025-11-27T00:00:00"/>
        <d v="2025-03-08T00:00:00"/>
        <d v="2025-09-02T00:00:00"/>
        <d v="2025-04-12T00:00:00"/>
        <d v="2025-10-21T00:00:00"/>
        <d v="2025-10-18T00:00:00"/>
        <d v="2025-04-29T00:00:00"/>
        <d v="2025-10-07T00:00:00"/>
        <d v="2025-03-29T00:00:00"/>
        <d v="2025-09-27T00:00:00"/>
        <d v="2025-01-17T00:00:00"/>
        <d v="2025-03-02T00:00:00"/>
        <d v="2025-03-20T00:00:00"/>
        <d v="2025-01-02T00:00:00"/>
        <d v="2025-07-13T00:00:00"/>
        <d v="2025-10-12T00:00:00"/>
        <d v="2025-07-22T00:00:00"/>
        <d v="2025-09-01T00:00:00"/>
        <d v="2025-10-20T00:00:00"/>
        <d v="2025-07-31T00:00:00"/>
        <d v="2025-10-30T00:00:00"/>
        <d v="2025-01-30T00:00:00"/>
        <d v="2025-08-19T00:00:00"/>
        <d v="2025-03-25T00:00:00"/>
        <d v="2025-06-19T00:00:00"/>
        <d v="2025-03-15T00:00:00"/>
        <d v="2025-02-18T00:00:00"/>
        <d v="2025-04-14T00:00:00"/>
        <d v="2025-05-15T00:00:00"/>
        <d v="2025-04-11T00:00:00"/>
        <d v="2025-06-29T00:00:00"/>
        <d v="2025-01-29T00:00:00"/>
        <d v="2025-04-19T00:00:00"/>
        <d v="2025-02-05T00:00:00"/>
        <d v="2025-07-04T00:00:00"/>
        <d v="2025-04-15T00:00:00"/>
        <d v="2025-11-03T00:00:00"/>
        <d v="2025-10-01T00:00:00"/>
        <d v="2025-02-03T00:00:00"/>
        <d v="2025-12-17T00:00:00"/>
        <d v="2025-08-27T00:00:00"/>
        <d v="2025-04-28T00:00:00"/>
        <d v="2025-09-19T00:00:00"/>
        <d v="2025-03-07T00:00:00"/>
        <d v="2025-12-16T00:00:00"/>
        <d v="2025-10-31T00:00:00"/>
        <d v="2025-03-06T00:00:00"/>
        <d v="2025-07-05T00:00:00"/>
        <d v="2025-10-17T00:00:00"/>
        <d v="2025-12-04T00:00:00"/>
        <d v="2025-01-20T00:00:00"/>
        <d v="2025-05-20T00:00:00"/>
        <d v="2025-12-21T00:00:00"/>
        <d v="2025-10-23T00:00:00"/>
        <d v="2025-12-22T00:00:00"/>
        <d v="2025-02-26T00:00:00"/>
        <d v="2025-06-18T00:00:00"/>
        <d v="2025-04-26T00:00:00"/>
        <d v="2025-08-31T00:00:00"/>
        <d v="2025-03-14T00:00:00"/>
        <d v="2025-04-24T00:00:00"/>
        <d v="2025-01-09T00:00:00"/>
        <d v="2025-02-28T00:00:00"/>
        <d v="2025-10-26T00:00:00"/>
        <d v="2025-05-10T00:00:00"/>
        <d v="2025-06-26T00:00:00"/>
        <d v="2025-12-08T00:00:00"/>
        <d v="2025-12-20T00:00:00"/>
        <d v="2025-05-31T00:00:00"/>
        <d v="2025-04-27T00:00:00"/>
        <d v="2025-05-16T00:00:00"/>
        <d v="2025-09-12T00:00:00"/>
        <d v="2025-09-09T00:00:00"/>
        <d v="2025-03-12T00:00:00"/>
        <d v="2025-10-15T00:00:00"/>
        <d v="2025-02-22T00:00:00"/>
        <d v="2025-11-26T00:00:00"/>
        <d v="2025-09-08T00:00:00"/>
        <d v="2025-03-28T00:00:00"/>
        <d v="2025-06-07T00:00:00"/>
        <d v="2025-12-18T00:00:00"/>
        <d v="2025-10-10T00:00:00"/>
        <d v="2025-09-07T00:00:00"/>
        <d v="2025-01-16T00:00:00"/>
        <d v="2025-06-20T00:00:00"/>
        <d v="2025-04-21T00:00:00"/>
        <d v="2025-07-28T00:00:00"/>
        <d v="2025-03-11T00:00:00"/>
        <d v="2025-11-18T00:00:00"/>
        <d v="2025-03-31T00:00:00"/>
        <d v="2025-04-09T00:00:00"/>
        <d v="2025-02-06T00:00:00"/>
        <d v="2025-05-11T00:00:00"/>
        <d v="2025-10-29T00:00:00"/>
        <d v="2025-08-29T00:00:00"/>
        <d v="2025-12-10T00:00:00"/>
        <d v="2025-07-10T00:00:00"/>
        <d v="2025-10-06T00:00:00"/>
        <d v="2025-02-24T00:00:00"/>
        <d v="2025-06-10T00:00:00"/>
        <d v="2025-07-17T00:00:00"/>
        <d v="2025-01-10T00:00:00"/>
        <d v="2025-06-12T00:00:00"/>
        <d v="2025-01-03T00:00:00"/>
        <d v="2025-08-26T00:00:00"/>
        <d v="2025-08-04T00:00:00"/>
        <d v="2025-12-12T00:00:00"/>
        <d v="2025-04-25T00:00:00"/>
        <d v="2025-03-23T00:00:00"/>
        <d v="2025-05-03T00:00:00"/>
        <d v="2025-01-04T00:00:00"/>
        <d v="2025-06-05T00:00:00"/>
        <d v="2025-11-04T00:00:00"/>
        <d v="2025-07-11T00:00:00"/>
        <d v="2025-12-26T00:00:00"/>
        <d v="2025-12-03T00:00:00"/>
        <d v="2025-12-15T00:00:00"/>
        <d v="2025-10-13T00:00:00"/>
        <d v="2025-12-30T00:00:00"/>
        <d v="2025-06-09T00:00:00"/>
        <d v="2025-11-20T00:00:00"/>
        <d v="2025-07-18T00:00:00"/>
        <d v="2025-10-27T00:00:00"/>
        <d v="2025-07-29T00:00:00"/>
        <d v="2025-01-28T00:00:00"/>
        <d v="2025-06-22T00:00:00"/>
        <d v="2025-01-13T00:00:00"/>
        <d v="2025-11-06T00:00:00"/>
        <d v="2025-10-02T00:00:00"/>
        <d v="2025-08-02T00:00:00"/>
        <d v="2025-05-02T00:00:00"/>
        <d v="2025-02-07T00:00:00"/>
        <d v="2025-01-21T00:00:00"/>
        <d v="2025-04-13T00:00:00"/>
        <d v="2025-06-01T00:00:00"/>
        <d v="2025-02-02T00:00:00"/>
        <d v="2025-07-12T00:00:00"/>
        <d v="2025-07-24T00:00:00"/>
        <d v="2025-08-30T00:00:00"/>
        <d v="2025-03-13T00:00:00"/>
        <d v="2025-06-30T00:00:00"/>
        <d v="2025-05-14T00:00:00"/>
        <d v="2025-09-30T00:00:00"/>
        <d v="2025-12-23T00:00:00"/>
        <d v="2025-11-16T00:00:00"/>
        <d v="2025-05-19T00:00:00"/>
        <d v="2025-06-02T00:00:00"/>
        <d v="2025-04-20T00:00:00"/>
        <d v="2025-06-06T00:00:00"/>
        <d v="2025-08-20T00:00:00"/>
        <d v="2025-02-13T00:00:00"/>
        <d v="2025-05-29T00:00:00"/>
        <d v="2025-01-22T00:00:00"/>
        <d v="2025-02-09T00:00:00"/>
        <d v="2025-02-04T00:00:00"/>
        <d v="2025-11-22T00:00:00"/>
        <d v="2025-09-29T00:00:00"/>
        <d v="2025-01-08T00:00:00"/>
        <d v="2025-08-06T00:00:00"/>
        <d v="2025-10-14T00:00:00"/>
        <d v="2025-05-27T00:00:00"/>
        <d v="2025-04-02T00:00:00"/>
        <d v="2025-07-26T00:00:00"/>
        <d v="2025-07-02T00:00:00"/>
        <d v="2025-03-26T00:00:00"/>
        <d v="2025-09-16T00:00:00"/>
        <d v="2025-01-25T00:00:00"/>
        <d v="2025-08-17T00:00:00"/>
        <d v="2025-11-07T00:00:00"/>
        <d v="2025-08-23T00:00:00"/>
        <d v="2025-11-05T00:00:00"/>
        <d v="2025-09-15T00:00:00"/>
        <d v="2025-11-09T00:00:00"/>
        <d v="2025-10-22T00:00:00"/>
        <d v="2025-04-08T00:00:00"/>
        <d v="2025-08-18T00:00:00"/>
        <d v="2025-09-26T00:00:00"/>
        <d v="2025-05-07T00:00:00"/>
        <d v="2025-02-25T00:00:00"/>
        <d v="2025-03-24T00:00:00"/>
        <d v="2025-03-27T00:00:00"/>
        <d v="2025-09-13T00:00:00"/>
        <d v="2025-08-12T00:00:00"/>
        <d v="2025-06-11T00:00:00"/>
        <d v="2025-08-10T00:00:00"/>
        <d v="2025-08-24T00:00:00"/>
        <d v="2025-02-08T00:00:00"/>
        <d v="2025-07-08T00:00:00"/>
        <d v="2025-09-21T00:00:00"/>
        <d v="2025-11-01T00:00:00"/>
        <d v="2025-09-06T00:00:00"/>
        <d v="2025-07-19T00:00:00"/>
        <d v="2025-02-21T00:00:00"/>
        <d v="2025-04-23T00:00:00"/>
        <d v="2025-03-10T00:00:00"/>
        <d v="2025-10-08T00:00:00"/>
        <d v="2025-11-10T00:00:00"/>
        <d v="2025-05-06T00:00:00"/>
        <d v="2025-12-01T00:00:00"/>
        <d v="2025-02-16T00:00:00"/>
        <d v="2025-11-21T00:00:00"/>
        <d v="2025-09-20T00:00:00"/>
        <d v="2025-02-23T00:00:00"/>
        <d v="2025-04-06T00:00:00"/>
        <d v="2025-12-19T00:00:00"/>
        <d v="2025-10-28T00:00:00"/>
        <d v="2025-07-01T00:00:00"/>
        <d v="2025-11-13T00:00:00"/>
        <d v="2025-05-01T00:00:00"/>
        <d v="2025-12-28T00:00:00"/>
        <d v="2025-07-14T00:00:00"/>
        <d v="2025-03-04T00:00:00"/>
        <d v="2025-05-17T00:00:00"/>
        <d v="2025-06-21T00:00:00"/>
        <d v="2025-06-16T00:00:00"/>
        <d v="2025-08-05T00:00:00"/>
        <d v="2025-06-15T00:00:00"/>
        <d v="2025-02-14T00:00:00"/>
        <d v="2025-12-25T00:00:00"/>
        <d v="2025-08-09T00:00:00"/>
        <d v="2025-11-12T00:00:00"/>
        <d v="2025-06-17T00:00:00"/>
        <d v="2025-01-14T00:00:00"/>
        <d v="2025-07-30T00:00:00"/>
        <d v="2025-01-12T00:00:00"/>
        <d v="2025-04-22T00:00:00"/>
        <d v="2025-02-15T00:00:00"/>
        <d v="2025-10-04T00:00:00"/>
        <d v="2025-11-23T00:00:00"/>
        <d v="2025-12-24T00:00:00"/>
        <d v="2025-04-04T00:00:00"/>
        <d v="2025-02-11T00:00:00"/>
        <d v="2025-06-27T00:00:00"/>
        <d v="2025-08-01T00:00:00"/>
        <d v="2025-04-10T00:00:00"/>
        <d v="2025-06-14T00:00:00"/>
        <d v="2025-01-19T00:00:00"/>
        <d v="2025-07-09T00:00:00"/>
        <d v="2025-01-06T00:00:00"/>
        <d v="2025-12-29T00:00:00"/>
        <d v="2025-09-03T00:00:00"/>
        <d v="2025-09-24T00:00:00"/>
        <d v="2025-12-13T00:00:00"/>
        <d v="2025-04-07T00:00:00"/>
        <d v="2025-11-08T00:00:00"/>
        <d v="2025-08-21T00:00:00"/>
        <d v="2025-12-31T00:00:00"/>
        <d v="2025-08-03T00:00:00"/>
        <d v="2025-02-01T00:00:00"/>
        <d v="2025-05-24T00:00:00"/>
        <d v="2025-05-04T00:00:00"/>
        <d v="2025-08-13T00:00:00"/>
        <d v="2025-11-25T00:00:00"/>
        <d v="2025-09-22T00:00:00"/>
        <d v="2025-08-15T00:00:00"/>
        <d v="2025-07-27T00:00:00"/>
        <d v="2025-05-22T00:00:00"/>
        <d v="2025-07-23T00:00:00"/>
        <d v="2025-04-17T00:00:00"/>
        <d v="2025-09-14T00:00:00"/>
        <d v="2025-09-23T00:00:00"/>
        <d v="2025-07-15T00:00:00"/>
        <d v="2025-11-02T00:00:00"/>
      </sharedItems>
      <fieldGroup par="19" base="1">
        <rangePr groupBy="days" startDate="2025-01-02T00:00:00" endDate="2026-01-0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Production_Month" numFmtId="168">
      <sharedItems containsSemiMixedTypes="0" containsNonDate="0" containsDate="1" containsString="0" minDate="2025-01-01T00:00:00" maxDate="2025-12-02T00:00:00" count="12">
        <d v="2025-02-01T00:00:00"/>
        <d v="2025-03-01T00:00:00"/>
        <d v="2025-10-01T00:00:00"/>
        <d v="2025-12-01T00:00:00"/>
        <d v="2025-04-01T00:00:00"/>
        <d v="2025-01-01T00:00:00"/>
        <d v="2025-06-01T00:00:00"/>
        <d v="2025-05-01T00:00:00"/>
        <d v="2025-09-01T00:00:00"/>
        <d v="2025-08-01T00:00:00"/>
        <d v="2025-07-01T00:00:00"/>
        <d v="2025-11-01T00:00:00"/>
      </sharedItems>
      <fieldGroup par="20" base="2">
        <rangePr groupBy="days" startDate="2025-01-01T00:00:00" endDate="2025-12-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5"/>
        </groupItems>
      </fieldGroup>
    </cacheField>
    <cacheField name="Plant" numFmtId="0">
      <sharedItems/>
    </cacheField>
    <cacheField name="Production_Line" numFmtId="0">
      <sharedItems/>
    </cacheField>
    <cacheField name="Product_Category" numFmtId="0">
      <sharedItems/>
    </cacheField>
    <cacheField name="Shift" numFmtId="0">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Accepted_Units" numFmtId="0">
      <sharedItems containsSemiMixedTypes="0" containsString="0" containsNumber="1" containsInteger="1" minValue="493" maxValue="1968"/>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6">
      <sharedItems containsSemiMixedTypes="0" containsString="0" containsNumber="1" minValue="18.100000000000001" maxValue="144.91999999999999"/>
    </cacheField>
    <cacheField name="Total_Production_Cost" numFmtId="166">
      <sharedItems containsSemiMixedTypes="0" containsString="0" containsNumber="1" minValue="10673.88" maxValue="258641.76"/>
    </cacheField>
    <cacheField name="Rejected_Units_Cost" numFmtId="166">
      <sharedItems containsSemiMixedTypes="0" containsString="0" containsNumber="1" minValue="70.14" maxValue="6895.71"/>
    </cacheField>
    <cacheField name="Quality_Status" numFmtId="0">
      <sharedItems/>
    </cacheField>
    <cacheField name="Total_units" numFmtId="0">
      <sharedItems containsSemiMixedTypes="0" containsString="0" containsNumber="1" containsInteger="1" minValue="509" maxValue="2005"/>
    </cacheField>
    <cacheField name="Months"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 name="Months2" numFmtId="0" databaseField="0">
      <fieldGroup base="2">
        <rangePr groupBy="months" startDate="2025-01-01T00:00:00" endDate="2025-12-02T00:00:00"/>
        <groupItems count="14">
          <s v="&lt;1/1/2025"/>
          <s v="Jan"/>
          <s v="Feb"/>
          <s v="Mar"/>
          <s v="Apr"/>
          <s v="May"/>
          <s v="Jun"/>
          <s v="Jul"/>
          <s v="Aug"/>
          <s v="Sep"/>
          <s v="Oct"/>
          <s v="Nov"/>
          <s v="Dec"/>
          <s v="&gt;12/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BAT-0434"/>
    <s v="2025-02-17"/>
    <x v="0"/>
    <x v="0"/>
    <x v="0"/>
    <s v="Night"/>
    <s v="M. Hassan"/>
    <n v="1555"/>
    <n v="1525"/>
    <n v="46"/>
    <n v="5.9"/>
    <n v="6.5"/>
    <n v="18.100000000000001"/>
    <n v="27602.500000000004"/>
    <n v="832.6"/>
    <x v="0"/>
  </r>
  <r>
    <s v="BAT-0544"/>
    <s v="2025-03-05"/>
    <x v="0"/>
    <x v="1"/>
    <x v="1"/>
    <s v="Evening"/>
    <s v="F. Ali"/>
    <n v="1745"/>
    <n v="1510"/>
    <n v="52"/>
    <n v="83.3"/>
    <n v="7"/>
    <n v="18.25"/>
    <n v="27557.5"/>
    <n v="949"/>
    <x v="0"/>
  </r>
  <r>
    <s v="BAT-0370"/>
    <s v="2025-10-09"/>
    <x v="1"/>
    <x v="2"/>
    <x v="2"/>
    <s v="Evening"/>
    <s v="D. Kamau"/>
    <n v="713"/>
    <n v="582"/>
    <n v="9"/>
    <n v="22.3"/>
    <n v="8.1999999999999993"/>
    <n v="18.34"/>
    <n v="10673.88"/>
    <n v="165.06"/>
    <x v="1"/>
  </r>
  <r>
    <s v="BAT-0438"/>
    <s v="2025-12-05"/>
    <x v="2"/>
    <x v="1"/>
    <x v="1"/>
    <s v="Evening"/>
    <s v="S. Kiptoo"/>
    <n v="1361"/>
    <n v="1217"/>
    <n v="37"/>
    <n v="12.1"/>
    <n v="6.9"/>
    <n v="18.55"/>
    <n v="22575.350000000002"/>
    <n v="686.35"/>
    <x v="0"/>
  </r>
  <r>
    <s v="BAT-0481"/>
    <s v="2025-04-16"/>
    <x v="0"/>
    <x v="0"/>
    <x v="3"/>
    <s v="Night"/>
    <s v="R. Njeri"/>
    <n v="1025"/>
    <n v="955"/>
    <n v="16"/>
    <n v="38.700000000000003"/>
    <n v="8"/>
    <n v="18.850000000000001"/>
    <n v="18001.75"/>
    <n v="301.60000000000002"/>
    <x v="1"/>
  </r>
  <r>
    <s v="BAT-0036"/>
    <s v="2025-01-24"/>
    <x v="1"/>
    <x v="2"/>
    <x v="3"/>
    <s v="Night"/>
    <s v="D. Kamau"/>
    <n v="869"/>
    <n v="785"/>
    <n v="12"/>
    <n v="46.3"/>
    <n v="7.6"/>
    <n v="19.36"/>
    <n v="15197.6"/>
    <n v="232.32"/>
    <x v="1"/>
  </r>
  <r>
    <s v="BAT-0319"/>
    <s v="2025-12-09"/>
    <x v="1"/>
    <x v="3"/>
    <x v="3"/>
    <s v="Evening"/>
    <s v="A. Wanjiku"/>
    <n v="996"/>
    <n v="1060"/>
    <n v="28"/>
    <n v="60.4"/>
    <n v="6.9"/>
    <n v="19.39"/>
    <n v="20553.400000000001"/>
    <n v="542.92000000000007"/>
    <x v="0"/>
  </r>
  <r>
    <s v="BAT-0246"/>
    <s v="2025-01-31"/>
    <x v="1"/>
    <x v="1"/>
    <x v="3"/>
    <s v="Evening"/>
    <s v="R. Njeri"/>
    <n v="771"/>
    <n v="790"/>
    <n v="22"/>
    <n v="11.1"/>
    <n v="8.1999999999999993"/>
    <n v="19.399999999999999"/>
    <n v="15325.999999999998"/>
    <n v="426.79999999999995"/>
    <x v="0"/>
  </r>
  <r>
    <s v="BAT-0402"/>
    <s v="2025-10-11"/>
    <x v="2"/>
    <x v="4"/>
    <x v="2"/>
    <s v="Evening"/>
    <s v="M. Hassan"/>
    <n v="1347"/>
    <n v="1370"/>
    <n v="7"/>
    <n v="3.9"/>
    <n v="6.6"/>
    <n v="19.420000000000002"/>
    <n v="26605.4"/>
    <n v="135.94"/>
    <x v="1"/>
  </r>
  <r>
    <s v="BAT-0444"/>
    <s v="2025-06-28"/>
    <x v="0"/>
    <x v="1"/>
    <x v="3"/>
    <s v="Night"/>
    <s v="D. Kamau"/>
    <n v="1158"/>
    <n v="1173"/>
    <n v="31"/>
    <n v="118.5"/>
    <n v="6.9"/>
    <n v="19.649999999999999"/>
    <n v="23049.449999999997"/>
    <n v="609.15"/>
    <x v="0"/>
  </r>
  <r>
    <s v="BAT-0194"/>
    <s v="2025-05-13"/>
    <x v="0"/>
    <x v="1"/>
    <x v="2"/>
    <s v="Day"/>
    <s v="J. Mwangi"/>
    <n v="1540"/>
    <n v="1442"/>
    <n v="25"/>
    <n v="27.5"/>
    <n v="6.2"/>
    <n v="20.010000000000002"/>
    <n v="28854.420000000002"/>
    <n v="500.25000000000006"/>
    <x v="1"/>
  </r>
  <r>
    <s v="BAT-0422"/>
    <s v="2025-09-11"/>
    <x v="1"/>
    <x v="0"/>
    <x v="0"/>
    <s v="Evening"/>
    <s v="J. Mwangi"/>
    <n v="937"/>
    <n v="854"/>
    <n v="22"/>
    <n v="15.9"/>
    <n v="7.1"/>
    <n v="20.059999999999999"/>
    <n v="17131.239999999998"/>
    <n v="441.32"/>
    <x v="0"/>
  </r>
  <r>
    <s v="BAT-0267"/>
    <s v="2025-06-13"/>
    <x v="1"/>
    <x v="2"/>
    <x v="1"/>
    <s v="Night"/>
    <s v="R. Njeri"/>
    <n v="1511"/>
    <n v="1349"/>
    <n v="18"/>
    <n v="45.3"/>
    <n v="8.5"/>
    <n v="20.059999999999999"/>
    <n v="27060.94"/>
    <n v="361.08"/>
    <x v="1"/>
  </r>
  <r>
    <s v="BAT-0491"/>
    <s v="2025-12-07"/>
    <x v="1"/>
    <x v="3"/>
    <x v="3"/>
    <s v="Evening"/>
    <s v="J. Mwangi"/>
    <n v="1791"/>
    <n v="1917"/>
    <n v="35"/>
    <s v=""/>
    <n v="6.1"/>
    <n v="20.09"/>
    <n v="38512.53"/>
    <n v="703.15"/>
    <x v="1"/>
  </r>
  <r>
    <s v="BAT-0340"/>
    <s v="2025-12-14"/>
    <x v="0"/>
    <x v="0"/>
    <x v="2"/>
    <s v="Night"/>
    <s v="D. Kamau"/>
    <n v="1320"/>
    <n v="1147"/>
    <n v="26"/>
    <n v="33.200000000000003"/>
    <n v="7.7"/>
    <n v="20.09"/>
    <n v="23043.23"/>
    <n v="522.34"/>
    <x v="0"/>
  </r>
  <r>
    <s v="BAT-0076"/>
    <s v="2025-06-23"/>
    <x v="1"/>
    <x v="3"/>
    <x v="3"/>
    <s v="Day"/>
    <s v="P. Otieno"/>
    <n v="1784"/>
    <n v="1825"/>
    <n v="7"/>
    <n v="56.3"/>
    <n v="6.9"/>
    <n v="20.420000000000002"/>
    <n v="37266.5"/>
    <n v="142.94"/>
    <x v="1"/>
  </r>
  <r>
    <s v="BAT-0531"/>
    <s v="2025-08-07"/>
    <x v="2"/>
    <x v="3"/>
    <x v="0"/>
    <s v="Night"/>
    <s v="J. Mwangi"/>
    <n v="914"/>
    <n v="872"/>
    <n v="8"/>
    <n v="13.9"/>
    <n v="6.8"/>
    <n v="20.96"/>
    <n v="18277.12"/>
    <n v="167.68"/>
    <x v="1"/>
  </r>
  <r>
    <s v="BAT-0440"/>
    <s v="2025-05-26"/>
    <x v="2"/>
    <x v="4"/>
    <x v="0"/>
    <s v="Day"/>
    <s v="A. Wanjiku"/>
    <n v="1258"/>
    <n v="1410"/>
    <n v="17"/>
    <n v="57.8"/>
    <n v="6.5"/>
    <n v="21.41"/>
    <n v="30188.1"/>
    <n v="363.97"/>
    <x v="1"/>
  </r>
  <r>
    <s v="BAT-0574"/>
    <s v="2025-01-18"/>
    <x v="0"/>
    <x v="3"/>
    <x v="0"/>
    <s v="Evening"/>
    <s v="R. Njeri"/>
    <n v="877"/>
    <n v="867"/>
    <n v="14"/>
    <n v="41.3"/>
    <n v="6.4"/>
    <n v="21.69"/>
    <n v="18805.23"/>
    <n v="303.66000000000003"/>
    <x v="1"/>
  </r>
  <r>
    <s v="BAT-0508"/>
    <s v="2025-04-01"/>
    <x v="2"/>
    <x v="1"/>
    <x v="4"/>
    <s v="Day"/>
    <s v="R. Njeri"/>
    <n v="908"/>
    <n v="965"/>
    <n v="19"/>
    <n v="4.8"/>
    <n v="6.7"/>
    <n v="21.84"/>
    <n v="21075.599999999999"/>
    <n v="414.96"/>
    <x v="1"/>
  </r>
  <r>
    <s v="BAT-0344"/>
    <s v="2025-07-07"/>
    <x v="0"/>
    <x v="0"/>
    <x v="2"/>
    <s v="Day"/>
    <s v="D. Kamau"/>
    <n v="890"/>
    <n v="805"/>
    <n v="9"/>
    <n v="77.5"/>
    <n v="7.2"/>
    <n v="21.94"/>
    <n v="17661.7"/>
    <n v="197.46"/>
    <x v="1"/>
  </r>
  <r>
    <s v="BAT-0271"/>
    <s v="2025-04-18"/>
    <x v="0"/>
    <x v="2"/>
    <x v="0"/>
    <s v="Evening"/>
    <s v="D. Kamau"/>
    <n v="1155"/>
    <n v="1132"/>
    <n v="10"/>
    <n v="21.1"/>
    <n v="6.8"/>
    <n v="21.95"/>
    <n v="24847.399999999998"/>
    <n v="219.5"/>
    <x v="1"/>
  </r>
  <r>
    <s v="BAT-0585"/>
    <s v="2025-05-28"/>
    <x v="1"/>
    <x v="1"/>
    <x v="4"/>
    <s v="Night"/>
    <s v="F. Ali"/>
    <n v="1398"/>
    <n v="1262"/>
    <n v="22"/>
    <n v="27.8"/>
    <n v="6.6"/>
    <n v="21.97"/>
    <n v="27726.14"/>
    <n v="483.34"/>
    <x v="1"/>
  </r>
  <r>
    <s v="BAT-0365"/>
    <s v="2025-02-12"/>
    <x v="1"/>
    <x v="3"/>
    <x v="0"/>
    <s v="Night"/>
    <s v="F. Ali"/>
    <n v="1127"/>
    <n v="1082"/>
    <n v="8"/>
    <n v="73.2"/>
    <n v="8"/>
    <n v="22.08"/>
    <n v="23890.559999999998"/>
    <n v="176.64"/>
    <x v="1"/>
  </r>
  <r>
    <s v="BAT-0051"/>
    <s v="2025-10-05"/>
    <x v="2"/>
    <x v="0"/>
    <x v="1"/>
    <s v="Day"/>
    <s v="A. Wanjiku"/>
    <n v="781"/>
    <n v="849"/>
    <n v="27"/>
    <n v="18.3"/>
    <n v="8.1"/>
    <n v="22.7"/>
    <n v="19272.3"/>
    <n v="612.9"/>
    <x v="0"/>
  </r>
  <r>
    <s v="BAT-0155"/>
    <s v="2025-06-08"/>
    <x v="0"/>
    <x v="2"/>
    <x v="2"/>
    <s v="Day"/>
    <s v="A. Wanjiku"/>
    <n v="1792"/>
    <n v="1980"/>
    <n v="42"/>
    <n v="23.3"/>
    <n v="6"/>
    <n v="22.89"/>
    <n v="45322.200000000004"/>
    <n v="961.38"/>
    <x v="0"/>
  </r>
  <r>
    <s v="BAT-0202"/>
    <s v="2025-11-28"/>
    <x v="0"/>
    <x v="2"/>
    <x v="1"/>
    <s v="Night"/>
    <s v="F. Ali"/>
    <n v="991"/>
    <n v="807"/>
    <n v="17"/>
    <n v="9"/>
    <n v="8.5"/>
    <n v="22.91"/>
    <n v="18488.37"/>
    <n v="389.47"/>
    <x v="0"/>
  </r>
  <r>
    <s v="BAT-0304"/>
    <s v="2025-11-24"/>
    <x v="2"/>
    <x v="1"/>
    <x v="4"/>
    <s v="Night"/>
    <s v="A. Wanjiku"/>
    <n v="1474"/>
    <n v="1596"/>
    <n v="20"/>
    <n v="15.2"/>
    <n v="6.7"/>
    <n v="23.02"/>
    <n v="36739.919999999998"/>
    <n v="460.4"/>
    <x v="1"/>
  </r>
  <r>
    <s v="BAT-0538"/>
    <s v="2025-02-12"/>
    <x v="0"/>
    <x v="3"/>
    <x v="3"/>
    <s v="Night"/>
    <s v="D. Kamau"/>
    <n v="1300"/>
    <n v="1200"/>
    <n v="20"/>
    <n v="5.0999999999999996"/>
    <n v="7.7"/>
    <n v="23.07"/>
    <n v="27684"/>
    <n v="461.4"/>
    <x v="1"/>
  </r>
  <r>
    <s v="BAT-0478"/>
    <s v="2025-01-07"/>
    <x v="1"/>
    <x v="1"/>
    <x v="0"/>
    <s v="Day"/>
    <s v="F. Ali"/>
    <n v="1319"/>
    <n v="1288"/>
    <n v="14"/>
    <n v="30.8"/>
    <n v="6.5"/>
    <n v="23.13"/>
    <n v="29791.439999999999"/>
    <n v="323.82"/>
    <x v="1"/>
  </r>
  <r>
    <s v="BAT-0166"/>
    <s v="2025-10-25"/>
    <x v="0"/>
    <x v="3"/>
    <x v="3"/>
    <s v="Day"/>
    <s v="A. Wanjiku"/>
    <n v="1590"/>
    <n v="1594"/>
    <n v="55"/>
    <n v="45.4"/>
    <n v="8.4"/>
    <n v="23.13"/>
    <n v="36869.22"/>
    <n v="1272.1499999999999"/>
    <x v="0"/>
  </r>
  <r>
    <s v="BAT-0049"/>
    <s v="2025-09-05"/>
    <x v="0"/>
    <x v="4"/>
    <x v="0"/>
    <s v="Evening"/>
    <s v="F. Ali"/>
    <n v="818"/>
    <n v="805"/>
    <n v="11"/>
    <n v="109.2"/>
    <n v="6.3"/>
    <n v="23.2"/>
    <n v="18676"/>
    <n v="255.2"/>
    <x v="1"/>
  </r>
  <r>
    <s v="BAT-0065"/>
    <s v="2025-05-30"/>
    <x v="1"/>
    <x v="1"/>
    <x v="1"/>
    <s v="Night"/>
    <s v="A. Wanjiku"/>
    <n v="1051"/>
    <n v="1041"/>
    <n v="35"/>
    <n v="26.2"/>
    <n v="6.3"/>
    <n v="23.22"/>
    <n v="24172.02"/>
    <n v="812.69999999999993"/>
    <x v="0"/>
  </r>
  <r>
    <s v="BAT-0345"/>
    <s v="2025-11-27"/>
    <x v="1"/>
    <x v="1"/>
    <x v="1"/>
    <s v="Evening"/>
    <s v="J. Mwangi"/>
    <n v="1598"/>
    <n v="1681"/>
    <n v="37"/>
    <n v="92.2"/>
    <n v="7"/>
    <n v="23.24"/>
    <n v="39066.439999999995"/>
    <n v="859.88"/>
    <x v="0"/>
  </r>
  <r>
    <s v="BAT-0023"/>
    <s v="2025-03-08"/>
    <x v="1"/>
    <x v="0"/>
    <x v="0"/>
    <s v="Evening"/>
    <s v="A. Wanjiku"/>
    <n v="717"/>
    <n v="745"/>
    <n v="3"/>
    <n v="103.3"/>
    <n v="7.5"/>
    <n v="23.38"/>
    <n v="17418.099999999999"/>
    <n v="70.14"/>
    <x v="1"/>
  </r>
  <r>
    <s v="BAT-0283"/>
    <s v="2025-09-02"/>
    <x v="2"/>
    <x v="2"/>
    <x v="3"/>
    <s v="Day"/>
    <s v="P. Otieno"/>
    <n v="1513"/>
    <n v="1664"/>
    <n v="19"/>
    <n v="11.6"/>
    <n v="7"/>
    <n v="23.39"/>
    <n v="38920.959999999999"/>
    <n v="444.41"/>
    <x v="1"/>
  </r>
  <r>
    <s v="BAT-0039"/>
    <s v="2025-04-12"/>
    <x v="1"/>
    <x v="4"/>
    <x v="1"/>
    <s v="Day"/>
    <s v="R. Njeri"/>
    <n v="1619"/>
    <n v="1596"/>
    <n v="14"/>
    <n v="94.5"/>
    <n v="8.3000000000000007"/>
    <n v="23.67"/>
    <n v="37777.32"/>
    <n v="331.38"/>
    <x v="1"/>
  </r>
  <r>
    <s v="BAT-0092"/>
    <s v="2025-10-21"/>
    <x v="1"/>
    <x v="0"/>
    <x v="4"/>
    <s v="Night"/>
    <s v="S. Kiptoo"/>
    <n v="879"/>
    <n v="916"/>
    <n v="16"/>
    <n v="8.1"/>
    <n v="6.6"/>
    <n v="23.74"/>
    <n v="21745.84"/>
    <n v="379.84"/>
    <x v="1"/>
  </r>
  <r>
    <s v="BAT-0105"/>
    <s v="2025-10-18"/>
    <x v="1"/>
    <x v="1"/>
    <x v="3"/>
    <s v="Evening"/>
    <s v="S. Kiptoo"/>
    <n v="856"/>
    <n v="509"/>
    <n v="16"/>
    <n v="4.7"/>
    <n v="6.9"/>
    <n v="24.36"/>
    <n v="12399.24"/>
    <n v="389.76"/>
    <x v="0"/>
  </r>
  <r>
    <s v="BAT-0066"/>
    <s v="2025-04-29"/>
    <x v="2"/>
    <x v="4"/>
    <x v="1"/>
    <s v="Night"/>
    <s v="M. Hassan"/>
    <n v="1751"/>
    <n v="1274"/>
    <n v="24"/>
    <n v="12.8"/>
    <n v="6.8"/>
    <n v="24.47"/>
    <n v="31174.78"/>
    <n v="587.28"/>
    <x v="1"/>
  </r>
  <r>
    <s v="BAT-0128"/>
    <s v="2025-10-07"/>
    <x v="0"/>
    <x v="2"/>
    <x v="2"/>
    <s v="Day"/>
    <s v="F. Ali"/>
    <n v="1251"/>
    <n v="1262"/>
    <n v="22"/>
    <n v="65.8"/>
    <n v="7.1"/>
    <n v="24.53"/>
    <n v="30956.86"/>
    <n v="539.66000000000008"/>
    <x v="1"/>
  </r>
  <r>
    <s v="BAT-0384"/>
    <s v="2025-03-29"/>
    <x v="1"/>
    <x v="0"/>
    <x v="3"/>
    <s v="Evening"/>
    <s v="D. Kamau"/>
    <n v="882"/>
    <n v="941"/>
    <n v="11"/>
    <n v="9.6999999999999993"/>
    <n v="7.7"/>
    <n v="24.86"/>
    <n v="23393.26"/>
    <n v="273.45999999999998"/>
    <x v="1"/>
  </r>
  <r>
    <s v="BAT-0432"/>
    <s v="2025-09-27"/>
    <x v="0"/>
    <x v="0"/>
    <x v="2"/>
    <s v="Evening"/>
    <s v="P. Otieno"/>
    <n v="912"/>
    <n v="814"/>
    <n v="22"/>
    <n v="24.6"/>
    <n v="8.1"/>
    <n v="25.22"/>
    <n v="20529.079999999998"/>
    <n v="554.83999999999992"/>
    <x v="0"/>
  </r>
  <r>
    <s v="BAT-0435"/>
    <s v="2025-06-08"/>
    <x v="0"/>
    <x v="0"/>
    <x v="3"/>
    <s v="Night"/>
    <s v="F. Ali"/>
    <n v="881"/>
    <n v="734"/>
    <n v="9"/>
    <n v="69"/>
    <n v="6.2"/>
    <n v="25.23"/>
    <n v="18518.82"/>
    <n v="227.07"/>
    <x v="1"/>
  </r>
  <r>
    <s v="BAT-0397"/>
    <s v="2025-01-17"/>
    <x v="0"/>
    <x v="1"/>
    <x v="3"/>
    <s v="Night"/>
    <s v="A. Wanjiku"/>
    <n v="1181"/>
    <n v="1161"/>
    <n v="27"/>
    <n v="75.8"/>
    <n v="8.4"/>
    <n v="25.32"/>
    <n v="29396.52"/>
    <n v="683.64"/>
    <x v="0"/>
  </r>
  <r>
    <s v="BAT-0041"/>
    <s v="2025-03-02"/>
    <x v="1"/>
    <x v="3"/>
    <x v="1"/>
    <s v="Day"/>
    <s v="A. Wanjiku"/>
    <n v="996"/>
    <n v="873"/>
    <n v="21"/>
    <n v="39.299999999999997"/>
    <n v="7.9"/>
    <n v="25.38"/>
    <n v="22156.739999999998"/>
    <n v="532.98"/>
    <x v="0"/>
  </r>
  <r>
    <s v="BAT-0142"/>
    <s v="2025-03-20"/>
    <x v="1"/>
    <x v="0"/>
    <x v="4"/>
    <s v="Night"/>
    <s v="M. Hassan"/>
    <n v="1321"/>
    <n v="1349"/>
    <n v="24"/>
    <n v="28.7"/>
    <n v="8.3000000000000007"/>
    <n v="25.55"/>
    <n v="34466.950000000004"/>
    <n v="613.20000000000005"/>
    <x v="1"/>
  </r>
  <r>
    <s v="BAT-0381"/>
    <s v="2025-01-02"/>
    <x v="1"/>
    <x v="3"/>
    <x v="1"/>
    <s v="Day"/>
    <s v="R. Njeri"/>
    <n v="1281"/>
    <n v="1178"/>
    <n v="41"/>
    <n v="13.1"/>
    <n v="7.2"/>
    <n v="25.79"/>
    <n v="30380.62"/>
    <n v="1057.3899999999999"/>
    <x v="0"/>
  </r>
  <r>
    <s v="BAT-0507"/>
    <s v="2025-07-13"/>
    <x v="0"/>
    <x v="3"/>
    <x v="2"/>
    <s v="Night"/>
    <s v="P. Otieno"/>
    <n v="857"/>
    <n v="960"/>
    <n v="15"/>
    <n v="69.099999999999994"/>
    <n v="7.5"/>
    <n v="25.85"/>
    <n v="24816"/>
    <n v="387.75"/>
    <x v="1"/>
  </r>
  <r>
    <s v="BAT-0107"/>
    <s v="2025-10-12"/>
    <x v="1"/>
    <x v="1"/>
    <x v="1"/>
    <s v="Day"/>
    <s v="P. Otieno"/>
    <n v="931"/>
    <n v="800"/>
    <n v="27"/>
    <n v="29.4"/>
    <n v="6.7"/>
    <n v="25.88"/>
    <n v="20704"/>
    <n v="698.76"/>
    <x v="0"/>
  </r>
  <r>
    <s v="BAT-0416"/>
    <s v="2025-09-05"/>
    <x v="0"/>
    <x v="3"/>
    <x v="0"/>
    <s v="Evening"/>
    <s v="F. Ali"/>
    <n v="1059"/>
    <n v="1036"/>
    <n v="15"/>
    <n v="117.2"/>
    <n v="8"/>
    <n v="26.19"/>
    <n v="27132.84"/>
    <n v="392.85"/>
    <x v="1"/>
  </r>
  <r>
    <s v="BAT-0308"/>
    <s v="2025-07-22"/>
    <x v="1"/>
    <x v="3"/>
    <x v="0"/>
    <s v="Day"/>
    <s v="M. Hassan"/>
    <n v="1688"/>
    <n v="1723"/>
    <n v="55"/>
    <n v="26.9"/>
    <n v="6.1"/>
    <n v="26.51"/>
    <n v="45676.73"/>
    <n v="1458.0500000000002"/>
    <x v="0"/>
  </r>
  <r>
    <s v="BAT-0311"/>
    <s v="2025-09-01"/>
    <x v="2"/>
    <x v="0"/>
    <x v="3"/>
    <s v="Evening"/>
    <s v="R. Njeri"/>
    <n v="805"/>
    <n v="828"/>
    <n v="4"/>
    <n v="138.9"/>
    <n v="6.4"/>
    <n v="26.78"/>
    <n v="22173.84"/>
    <n v="107.12"/>
    <x v="1"/>
  </r>
  <r>
    <s v="BAT-0596"/>
    <s v="2025-10-20"/>
    <x v="0"/>
    <x v="2"/>
    <x v="3"/>
    <s v="Evening"/>
    <s v="A. Wanjiku"/>
    <n v="1526"/>
    <n v="1636"/>
    <n v="14"/>
    <n v="65.8"/>
    <n v="7.7"/>
    <n v="27.04"/>
    <n v="44237.439999999995"/>
    <n v="378.56"/>
    <x v="1"/>
  </r>
  <r>
    <s v="BAT-0228"/>
    <s v="2025-07-31"/>
    <x v="2"/>
    <x v="3"/>
    <x v="3"/>
    <s v="Night"/>
    <s v="F. Ali"/>
    <n v="1192"/>
    <n v="1320"/>
    <n v="32"/>
    <n v="47.7"/>
    <n v="8.1"/>
    <n v="27.87"/>
    <n v="36788.400000000001"/>
    <n v="891.84"/>
    <x v="0"/>
  </r>
  <r>
    <s v="BAT-0038"/>
    <s v="2025-10-30"/>
    <x v="2"/>
    <x v="2"/>
    <x v="4"/>
    <s v="Evening"/>
    <s v="F. Ali"/>
    <n v="930"/>
    <n v="810"/>
    <n v="14"/>
    <n v="82.5"/>
    <n v="7"/>
    <n v="28.17"/>
    <n v="22817.7"/>
    <n v="394.38"/>
    <x v="1"/>
  </r>
  <r>
    <s v="BAT-0439"/>
    <s v="2025-01-30"/>
    <x v="2"/>
    <x v="1"/>
    <x v="1"/>
    <s v="Day"/>
    <s v="D. Kamau"/>
    <n v="740"/>
    <n v="766"/>
    <n v="6"/>
    <n v="35.9"/>
    <n v="6.1"/>
    <n v="28.23"/>
    <n v="21624.18"/>
    <n v="169.38"/>
    <x v="1"/>
  </r>
  <r>
    <s v="BAT-0040"/>
    <s v="2025-08-19"/>
    <x v="2"/>
    <x v="0"/>
    <x v="1"/>
    <s v="Day"/>
    <s v="S. Kiptoo"/>
    <n v="1531"/>
    <n v="1230"/>
    <n v="26"/>
    <n v="52.4"/>
    <n v="7.2"/>
    <n v="28.68"/>
    <n v="35276.400000000001"/>
    <n v="745.68"/>
    <x v="0"/>
  </r>
  <r>
    <s v="BAT-0412"/>
    <s v="2025-03-25"/>
    <x v="0"/>
    <x v="1"/>
    <x v="0"/>
    <s v="Evening"/>
    <s v="F. Ali"/>
    <n v="1040"/>
    <n v="1120"/>
    <n v="12"/>
    <n v="69.400000000000006"/>
    <n v="7.9"/>
    <n v="28.73"/>
    <n v="32177.600000000002"/>
    <n v="344.76"/>
    <x v="1"/>
  </r>
  <r>
    <s v="BAT-0231"/>
    <s v="2025-06-19"/>
    <x v="2"/>
    <x v="3"/>
    <x v="1"/>
    <s v="Evening"/>
    <s v="F. Ali"/>
    <n v="1060"/>
    <n v="935"/>
    <n v="16"/>
    <n v="18.2"/>
    <n v="7"/>
    <n v="29.01"/>
    <n v="27124.350000000002"/>
    <n v="464.16"/>
    <x v="1"/>
  </r>
  <r>
    <s v="BAT-0224"/>
    <s v="2025-03-15"/>
    <x v="2"/>
    <x v="2"/>
    <x v="4"/>
    <s v="Evening"/>
    <s v="M. Hassan"/>
    <n v="921"/>
    <n v="895"/>
    <n v="7"/>
    <n v="19.100000000000001"/>
    <n v="6.5"/>
    <n v="29.43"/>
    <n v="26339.85"/>
    <n v="206.01"/>
    <x v="1"/>
  </r>
  <r>
    <s v="BAT-0414"/>
    <s v="2025-02-18"/>
    <x v="2"/>
    <x v="2"/>
    <x v="2"/>
    <s v="Evening"/>
    <s v="P. Otieno"/>
    <n v="1552"/>
    <n v="1525"/>
    <n v="39"/>
    <n v="96.4"/>
    <n v="8.4"/>
    <n v="29.63"/>
    <n v="45185.75"/>
    <n v="1155.57"/>
    <x v="0"/>
  </r>
  <r>
    <s v="BAT-0299"/>
    <s v="2025-04-14"/>
    <x v="0"/>
    <x v="3"/>
    <x v="1"/>
    <s v="Evening"/>
    <s v="J. Mwangi"/>
    <n v="1703"/>
    <n v="1738"/>
    <n v="60"/>
    <n v="22"/>
    <n v="7.1"/>
    <n v="29.78"/>
    <n v="51757.64"/>
    <n v="1786.8000000000002"/>
    <x v="0"/>
  </r>
  <r>
    <s v="BAT-0393"/>
    <s v="2025-05-15"/>
    <x v="1"/>
    <x v="4"/>
    <x v="1"/>
    <s v="Day"/>
    <s v="F. Ali"/>
    <n v="1669"/>
    <n v="1541"/>
    <n v="4"/>
    <n v="22.3"/>
    <n v="6.4"/>
    <n v="29.88"/>
    <n v="46045.08"/>
    <n v="119.52"/>
    <x v="1"/>
  </r>
  <r>
    <s v="BAT-0281"/>
    <s v="2025-04-11"/>
    <x v="0"/>
    <x v="0"/>
    <x v="1"/>
    <s v="Day"/>
    <s v="D. Kamau"/>
    <n v="1227"/>
    <n v="1278"/>
    <n v="16"/>
    <n v="34.9"/>
    <n v="8.3000000000000007"/>
    <n v="29.98"/>
    <n v="38314.44"/>
    <n v="479.68"/>
    <x v="1"/>
  </r>
  <r>
    <s v="BAT-0235"/>
    <s v="2025-06-29"/>
    <x v="2"/>
    <x v="2"/>
    <x v="3"/>
    <s v="Day"/>
    <s v="M. Hassan"/>
    <n v="1068"/>
    <n v="1154"/>
    <n v="10"/>
    <n v="71.8"/>
    <n v="6.5"/>
    <n v="30.09"/>
    <n v="34723.86"/>
    <n v="300.89999999999998"/>
    <x v="1"/>
  </r>
  <r>
    <s v="BAT-0127"/>
    <s v="2025-01-29"/>
    <x v="0"/>
    <x v="2"/>
    <x v="0"/>
    <s v="Evening"/>
    <s v="D. Kamau"/>
    <n v="968"/>
    <n v="1006"/>
    <n v="35"/>
    <n v="37.299999999999997"/>
    <n v="7.3"/>
    <n v="30.09"/>
    <n v="30270.54"/>
    <n v="1053.1500000000001"/>
    <x v="0"/>
  </r>
  <r>
    <s v="BAT-0419"/>
    <s v="2025-04-19"/>
    <x v="2"/>
    <x v="2"/>
    <x v="2"/>
    <s v="Day"/>
    <s v="P. Otieno"/>
    <n v="931"/>
    <n v="820"/>
    <n v="8"/>
    <n v="29"/>
    <n v="8.1999999999999993"/>
    <n v="30.39"/>
    <n v="24919.8"/>
    <n v="243.12"/>
    <x v="1"/>
  </r>
  <r>
    <s v="BAT-0087"/>
    <s v="2025-02-05"/>
    <x v="2"/>
    <x v="0"/>
    <x v="2"/>
    <s v="Evening"/>
    <s v="R. Njeri"/>
    <n v="1287"/>
    <n v="1436"/>
    <n v="44"/>
    <n v="10.6"/>
    <n v="8"/>
    <n v="30.68"/>
    <n v="44056.480000000003"/>
    <n v="1349.92"/>
    <x v="0"/>
  </r>
  <r>
    <s v="BAT-0159"/>
    <s v="2025-07-04"/>
    <x v="0"/>
    <x v="3"/>
    <x v="0"/>
    <s v="Night"/>
    <s v="P. Otieno"/>
    <n v="784"/>
    <n v="700"/>
    <n v="21"/>
    <n v="10.199999999999999"/>
    <n v="6.9"/>
    <n v="30.84"/>
    <n v="21588"/>
    <n v="647.64"/>
    <x v="0"/>
  </r>
  <r>
    <s v="BAT-0450"/>
    <s v="2025-04-15"/>
    <x v="1"/>
    <x v="0"/>
    <x v="2"/>
    <s v="Night"/>
    <s v="D. Kamau"/>
    <n v="826"/>
    <n v="864"/>
    <n v="3"/>
    <n v="37.200000000000003"/>
    <n v="8"/>
    <n v="30.88"/>
    <n v="26680.32"/>
    <n v="92.64"/>
    <x v="1"/>
  </r>
  <r>
    <s v="BAT-0459"/>
    <s v="2025-11-03"/>
    <x v="2"/>
    <x v="1"/>
    <x v="4"/>
    <s v="Evening"/>
    <s v="S. Kiptoo"/>
    <n v="1587"/>
    <n v="1610"/>
    <n v="8"/>
    <n v="71.2"/>
    <n v="7.8"/>
    <n v="30.93"/>
    <n v="49797.3"/>
    <n v="247.44"/>
    <x v="1"/>
  </r>
  <r>
    <s v="BAT-0463"/>
    <s v="2025-10-01"/>
    <x v="1"/>
    <x v="2"/>
    <x v="4"/>
    <s v="Day"/>
    <s v="J. Mwangi"/>
    <n v="1319"/>
    <n v="1122"/>
    <n v="32"/>
    <n v="41.9"/>
    <n v="6.4"/>
    <n v="31.15"/>
    <n v="34950.299999999996"/>
    <n v="996.8"/>
    <x v="0"/>
  </r>
  <r>
    <s v="BAT-0359"/>
    <s v="2025-02-03"/>
    <x v="0"/>
    <x v="3"/>
    <x v="3"/>
    <s v="Night"/>
    <s v="J. Mwangi"/>
    <n v="957"/>
    <n v="764"/>
    <n v="11"/>
    <n v="14.9"/>
    <n v="7.4"/>
    <n v="31.45"/>
    <n v="24027.8"/>
    <n v="345.95"/>
    <x v="1"/>
  </r>
  <r>
    <s v="BAT-0195"/>
    <s v="2025-12-17"/>
    <x v="1"/>
    <x v="4"/>
    <x v="3"/>
    <s v="Evening"/>
    <s v="J. Mwangi"/>
    <n v="1339"/>
    <n v="1368"/>
    <n v="28"/>
    <n v="49.4"/>
    <n v="8.1"/>
    <n v="31.8"/>
    <n v="43502.400000000001"/>
    <n v="890.4"/>
    <x v="0"/>
  </r>
  <r>
    <s v="BAT-0471"/>
    <s v="2025-09-27"/>
    <x v="1"/>
    <x v="4"/>
    <x v="1"/>
    <s v="Evening"/>
    <s v="R. Njeri"/>
    <n v="1137"/>
    <n v="1189"/>
    <n v="38"/>
    <n v="28.1"/>
    <n v="6.2"/>
    <n v="31.99"/>
    <n v="38036.11"/>
    <n v="1215.6199999999999"/>
    <x v="0"/>
  </r>
  <r>
    <s v="BAT-0123"/>
    <s v="2025-08-27"/>
    <x v="0"/>
    <x v="4"/>
    <x v="0"/>
    <s v="Night"/>
    <s v="J. Mwangi"/>
    <n v="1102"/>
    <n v="939"/>
    <n v="6"/>
    <n v="46"/>
    <n v="7.9"/>
    <n v="32.69"/>
    <n v="30695.909999999996"/>
    <n v="196.14"/>
    <x v="1"/>
  </r>
  <r>
    <s v="BAT-0167"/>
    <s v="2025-04-28"/>
    <x v="0"/>
    <x v="0"/>
    <x v="3"/>
    <s v="Night"/>
    <s v="S. Kiptoo"/>
    <n v="923"/>
    <n v="970"/>
    <n v="31"/>
    <n v="29.4"/>
    <n v="8.1"/>
    <n v="32.92"/>
    <n v="31932.400000000001"/>
    <n v="1020.5200000000001"/>
    <x v="0"/>
  </r>
  <r>
    <s v="BAT-0212"/>
    <s v="2025-09-19"/>
    <x v="0"/>
    <x v="0"/>
    <x v="1"/>
    <s v="Evening"/>
    <s v="R. Njeri"/>
    <n v="1536"/>
    <n v="1443"/>
    <n v="38"/>
    <n v="6.8"/>
    <n v="6.7"/>
    <n v="32.97"/>
    <n v="47575.71"/>
    <n v="1252.8599999999999"/>
    <x v="0"/>
  </r>
  <r>
    <s v="BAT-0392"/>
    <s v="2025-03-07"/>
    <x v="1"/>
    <x v="4"/>
    <x v="2"/>
    <s v="Evening"/>
    <s v="S. Kiptoo"/>
    <n v="1049"/>
    <n v="1018"/>
    <n v="3"/>
    <n v="103.6"/>
    <n v="6.6"/>
    <n v="33.049999999999997"/>
    <n v="33644.899999999994"/>
    <n v="99.149999999999991"/>
    <x v="1"/>
  </r>
  <r>
    <s v="BAT-0014"/>
    <s v="2025-10-05"/>
    <x v="1"/>
    <x v="2"/>
    <x v="2"/>
    <s v="Evening"/>
    <s v="S. Kiptoo"/>
    <n v="1503"/>
    <n v="1571"/>
    <n v="47"/>
    <n v="60.3"/>
    <n v="7.6"/>
    <n v="33.479999999999997"/>
    <n v="52597.079999999994"/>
    <n v="1573.56"/>
    <x v="0"/>
  </r>
  <r>
    <s v="BAT-0274"/>
    <s v="2025-12-16"/>
    <x v="1"/>
    <x v="3"/>
    <x v="4"/>
    <s v="Day"/>
    <s v="Not Found"/>
    <n v="1091"/>
    <n v="1101"/>
    <n v="4"/>
    <n v="35.1"/>
    <n v="7.2"/>
    <n v="33.74"/>
    <n v="37147.740000000005"/>
    <n v="134.96"/>
    <x v="1"/>
  </r>
  <r>
    <s v="BAT-0407"/>
    <s v="2025-06-08"/>
    <x v="1"/>
    <x v="3"/>
    <x v="3"/>
    <s v="Day"/>
    <s v="J. Mwangi"/>
    <n v="1072"/>
    <n v="969"/>
    <n v="17"/>
    <n v="7.4"/>
    <n v="7.6"/>
    <n v="34.28"/>
    <n v="33217.32"/>
    <n v="582.76"/>
    <x v="1"/>
  </r>
  <r>
    <s v="BAT-0090"/>
    <s v="2025-10-31"/>
    <x v="0"/>
    <x v="0"/>
    <x v="2"/>
    <s v="Night"/>
    <s v="A. Wanjiku"/>
    <n v="1677"/>
    <n v="1549"/>
    <n v="23"/>
    <n v="20.9"/>
    <n v="7"/>
    <n v="34.65"/>
    <n v="53672.85"/>
    <n v="796.94999999999993"/>
    <x v="1"/>
  </r>
  <r>
    <s v="BAT-0230"/>
    <s v="2025-03-06"/>
    <x v="2"/>
    <x v="2"/>
    <x v="0"/>
    <s v="Night"/>
    <s v="P. Otieno"/>
    <n v="1542"/>
    <n v="1649"/>
    <n v="37"/>
    <n v="52.1"/>
    <n v="7.6"/>
    <n v="35.159999999999997"/>
    <n v="57978.84"/>
    <n v="1300.9199999999998"/>
    <x v="0"/>
  </r>
  <r>
    <s v="BAT-0534"/>
    <s v="2025-04-14"/>
    <x v="1"/>
    <x v="0"/>
    <x v="1"/>
    <s v="Evening"/>
    <s v="R. Njeri"/>
    <n v="1001"/>
    <n v="989"/>
    <n v="28"/>
    <n v="33.5"/>
    <n v="7.4"/>
    <n v="35.47"/>
    <n v="35079.83"/>
    <n v="993.16"/>
    <x v="0"/>
  </r>
  <r>
    <s v="BAT-0470"/>
    <s v="2025-12-07"/>
    <x v="2"/>
    <x v="2"/>
    <x v="4"/>
    <s v="Day"/>
    <s v="D. Kamau"/>
    <n v="711"/>
    <n v="610"/>
    <n v="10"/>
    <n v="21.8"/>
    <n v="6.7"/>
    <n v="35.56"/>
    <n v="21691.600000000002"/>
    <n v="355.6"/>
    <x v="1"/>
  </r>
  <r>
    <s v="BAT-0445"/>
    <s v="2025-07-05"/>
    <x v="1"/>
    <x v="1"/>
    <x v="2"/>
    <s v="Night"/>
    <s v="R. Njeri"/>
    <n v="1600"/>
    <n v="1472"/>
    <n v="40"/>
    <n v="43.2"/>
    <n v="7.7"/>
    <n v="35.65"/>
    <n v="52476.799999999996"/>
    <n v="1426"/>
    <x v="0"/>
  </r>
  <r>
    <s v="BAT-0261"/>
    <s v="2025-10-17"/>
    <x v="1"/>
    <x v="3"/>
    <x v="3"/>
    <s v="Evening"/>
    <s v="F. Ali"/>
    <n v="1459"/>
    <n v="1361"/>
    <n v="6"/>
    <n v="26.4"/>
    <n v="6.7"/>
    <n v="35.75"/>
    <n v="48655.75"/>
    <n v="214.5"/>
    <x v="1"/>
  </r>
  <r>
    <s v="BAT-0452"/>
    <s v="2025-12-04"/>
    <x v="2"/>
    <x v="3"/>
    <x v="2"/>
    <s v="Evening"/>
    <s v="F. Ali"/>
    <n v="1039"/>
    <n v="855"/>
    <n v="23"/>
    <n v="7.3"/>
    <n v="8.4"/>
    <n v="35.799999999999997"/>
    <n v="30608.999999999996"/>
    <n v="823.4"/>
    <x v="0"/>
  </r>
  <r>
    <s v="BAT-0415"/>
    <s v="2025-01-07"/>
    <x v="2"/>
    <x v="0"/>
    <x v="2"/>
    <s v="Day"/>
    <s v="R. Njeri"/>
    <n v="1341"/>
    <n v="1247"/>
    <n v="26"/>
    <n v="0.9"/>
    <n v="6.8"/>
    <n v="35.94"/>
    <n v="44817.18"/>
    <n v="934.43999999999994"/>
    <x v="0"/>
  </r>
  <r>
    <s v="BAT-0546"/>
    <s v="2025-01-20"/>
    <x v="0"/>
    <x v="1"/>
    <x v="1"/>
    <s v="Night"/>
    <s v="R. Njeri"/>
    <n v="1749"/>
    <n v="1649"/>
    <n v="53"/>
    <n v="5.2"/>
    <n v="6.6"/>
    <n v="36.090000000000003"/>
    <n v="59512.41"/>
    <n v="1912.7700000000002"/>
    <x v="0"/>
  </r>
  <r>
    <s v="BAT-0132"/>
    <s v="2025-07-22"/>
    <x v="1"/>
    <x v="1"/>
    <x v="0"/>
    <s v="Night"/>
    <s v="A. Wanjiku"/>
    <n v="805"/>
    <n v="753"/>
    <n v="22"/>
    <n v="27.6"/>
    <n v="6.4"/>
    <n v="36.65"/>
    <n v="27597.45"/>
    <n v="806.3"/>
    <x v="0"/>
  </r>
  <r>
    <s v="BAT-0188"/>
    <s v="2025-05-20"/>
    <x v="2"/>
    <x v="1"/>
    <x v="4"/>
    <s v="Evening"/>
    <s v="D. Kamau"/>
    <n v="821"/>
    <n v="815"/>
    <n v="11"/>
    <n v="57.7"/>
    <n v="7.2"/>
    <n v="36.72"/>
    <n v="29926.799999999999"/>
    <n v="403.91999999999996"/>
    <x v="1"/>
  </r>
  <r>
    <s v="BAT-0404"/>
    <s v="2025-12-21"/>
    <x v="2"/>
    <x v="2"/>
    <x v="0"/>
    <s v="Night"/>
    <s v="A. Wanjiku"/>
    <n v="1786"/>
    <n v="1848"/>
    <n v="14"/>
    <n v="73.2"/>
    <n v="7.9"/>
    <n v="36.79"/>
    <n v="67987.92"/>
    <n v="515.05999999999995"/>
    <x v="1"/>
  </r>
  <r>
    <s v="BAT-0084"/>
    <s v="2025-10-31"/>
    <x v="1"/>
    <x v="4"/>
    <x v="4"/>
    <s v="Evening"/>
    <s v="R. Njeri"/>
    <n v="1535"/>
    <n v="1396"/>
    <n v="21"/>
    <n v="18.3"/>
    <n v="7.7"/>
    <n v="36.97"/>
    <n v="51610.119999999995"/>
    <n v="776.37"/>
    <x v="1"/>
  </r>
  <r>
    <s v="BAT-0420"/>
    <s v="2025-07-04"/>
    <x v="2"/>
    <x v="1"/>
    <x v="4"/>
    <s v="Evening"/>
    <s v="M. Hassan"/>
    <n v="1773"/>
    <n v="1667"/>
    <n v="31"/>
    <n v="39.700000000000003"/>
    <n v="7.5"/>
    <n v="37.26"/>
    <n v="62112.42"/>
    <n v="1155.06"/>
    <x v="1"/>
  </r>
  <r>
    <s v="BAT-0564"/>
    <s v="2025-03-08"/>
    <x v="2"/>
    <x v="0"/>
    <x v="4"/>
    <s v="Night"/>
    <s v="D. Kamau"/>
    <n v="715"/>
    <n v="783"/>
    <n v="6"/>
    <n v="149.4"/>
    <n v="7.2"/>
    <n v="37.36"/>
    <n v="29252.880000000001"/>
    <n v="224.16"/>
    <x v="1"/>
  </r>
  <r>
    <s v="BAT-0227"/>
    <s v="2025-10-23"/>
    <x v="1"/>
    <x v="1"/>
    <x v="2"/>
    <s v="Evening"/>
    <s v="J. Mwangi"/>
    <n v="1156"/>
    <n v="1215"/>
    <n v="34"/>
    <n v="7.8"/>
    <n v="6.7"/>
    <n v="37.5"/>
    <n v="45562.5"/>
    <n v="1275"/>
    <x v="0"/>
  </r>
  <r>
    <s v="BAT-0441"/>
    <s v="2025-12-22"/>
    <x v="1"/>
    <x v="1"/>
    <x v="0"/>
    <s v="Evening"/>
    <s v="D. Kamau"/>
    <n v="969"/>
    <n v="809"/>
    <n v="16"/>
    <n v="42"/>
    <n v="6.2"/>
    <n v="37.6"/>
    <n v="30418.400000000001"/>
    <n v="601.6"/>
    <x v="1"/>
  </r>
  <r>
    <s v="BAT-0533"/>
    <s v="2025-02-26"/>
    <x v="2"/>
    <x v="4"/>
    <x v="0"/>
    <s v="Day"/>
    <s v="P. Otieno"/>
    <n v="716"/>
    <n v="693"/>
    <n v="6"/>
    <n v="15.6"/>
    <n v="6.1"/>
    <n v="38"/>
    <n v="26334"/>
    <n v="228"/>
    <x v="1"/>
  </r>
  <r>
    <s v="BAT-0073"/>
    <s v="2025-06-18"/>
    <x v="1"/>
    <x v="3"/>
    <x v="2"/>
    <s v="Night"/>
    <s v="D. Kamau"/>
    <n v="797"/>
    <n v="683"/>
    <n v="20"/>
    <n v="3.8"/>
    <n v="7.5"/>
    <n v="38.67"/>
    <n v="26411.61"/>
    <n v="773.40000000000009"/>
    <x v="0"/>
  </r>
  <r>
    <s v="BAT-0338"/>
    <s v="2025-04-26"/>
    <x v="2"/>
    <x v="4"/>
    <x v="0"/>
    <s v="Evening"/>
    <s v="F. Ali"/>
    <n v="1286"/>
    <n v="1065"/>
    <n v="21"/>
    <n v="28.3"/>
    <n v="6.5"/>
    <n v="38.729999999999997"/>
    <n v="41247.449999999997"/>
    <n v="813.32999999999993"/>
    <x v="1"/>
  </r>
  <r>
    <s v="BAT-0162"/>
    <s v="2025-08-31"/>
    <x v="0"/>
    <x v="1"/>
    <x v="3"/>
    <s v="Evening"/>
    <s v="F. Ali"/>
    <n v="1107"/>
    <n v="1265"/>
    <n v="22"/>
    <n v="27.2"/>
    <n v="7.7"/>
    <n v="38.75"/>
    <n v="49018.75"/>
    <n v="852.5"/>
    <x v="1"/>
  </r>
  <r>
    <s v="BAT-0102"/>
    <s v="2025-03-14"/>
    <x v="2"/>
    <x v="0"/>
    <x v="2"/>
    <s v="Evening"/>
    <s v="A. Wanjiku"/>
    <n v="1677"/>
    <n v="1622"/>
    <n v="29"/>
    <n v="32.4"/>
    <n v="8.4"/>
    <n v="38.770000000000003"/>
    <n v="62884.94"/>
    <n v="1124.3300000000002"/>
    <x v="1"/>
  </r>
  <r>
    <s v="BAT-0526"/>
    <s v="2025-04-24"/>
    <x v="1"/>
    <x v="2"/>
    <x v="0"/>
    <s v="Night"/>
    <s v="D. Kamau"/>
    <n v="1664"/>
    <n v="1414"/>
    <n v="16"/>
    <n v="4.5999999999999996"/>
    <n v="8.3000000000000007"/>
    <n v="38.96"/>
    <n v="55089.440000000002"/>
    <n v="623.36"/>
    <x v="1"/>
  </r>
  <r>
    <s v="BAT-0122"/>
    <s v="2025-09-01"/>
    <x v="0"/>
    <x v="2"/>
    <x v="1"/>
    <s v="Night"/>
    <s v="D. Kamau"/>
    <n v="1539"/>
    <n v="1545"/>
    <n v="44"/>
    <n v="28.3"/>
    <n v="8.1999999999999993"/>
    <n v="39.299999999999997"/>
    <n v="60718.499999999993"/>
    <n v="1729.1999999999998"/>
    <x v="0"/>
  </r>
  <r>
    <s v="BAT-0369"/>
    <s v="2025-01-09"/>
    <x v="0"/>
    <x v="3"/>
    <x v="2"/>
    <s v="Night"/>
    <s v="R. Njeri"/>
    <n v="1144"/>
    <n v="989"/>
    <n v="14"/>
    <n v="27.7"/>
    <n v="7"/>
    <n v="39.33"/>
    <n v="38897.369999999995"/>
    <n v="550.62"/>
    <x v="1"/>
  </r>
  <r>
    <s v="BAT-0287"/>
    <s v="2025-02-28"/>
    <x v="0"/>
    <x v="1"/>
    <x v="4"/>
    <s v="Evening"/>
    <s v="P. Otieno"/>
    <n v="1437"/>
    <n v="1325"/>
    <n v="10"/>
    <n v="41.7"/>
    <n v="7.3"/>
    <n v="39.590000000000003"/>
    <n v="52456.750000000007"/>
    <n v="395.90000000000003"/>
    <x v="1"/>
  </r>
  <r>
    <s v="BAT-0514"/>
    <s v="2025-10-26"/>
    <x v="0"/>
    <x v="4"/>
    <x v="0"/>
    <s v="Evening"/>
    <s v="A. Wanjiku"/>
    <n v="1333"/>
    <n v="1459"/>
    <n v="6"/>
    <n v="108"/>
    <n v="7.8"/>
    <n v="39.72"/>
    <n v="57951.479999999996"/>
    <n v="238.32"/>
    <x v="1"/>
  </r>
  <r>
    <s v="BAT-0033"/>
    <s v="2025-02-03"/>
    <x v="0"/>
    <x v="4"/>
    <x v="2"/>
    <s v="Day"/>
    <s v="S. Kiptoo"/>
    <n v="745"/>
    <n v="764"/>
    <n v="9"/>
    <n v="70.7"/>
    <n v="6.8"/>
    <n v="39.97"/>
    <n v="30537.079999999998"/>
    <n v="359.73"/>
    <x v="1"/>
  </r>
  <r>
    <s v="BAT-0593"/>
    <s v="2025-03-29"/>
    <x v="1"/>
    <x v="1"/>
    <x v="2"/>
    <s v="Day"/>
    <s v="M. Hassan"/>
    <n v="1795"/>
    <n v="1869"/>
    <n v="12"/>
    <n v="45.3"/>
    <n v="8.1999999999999993"/>
    <n v="40.229999999999997"/>
    <n v="75189.87"/>
    <n v="482.76"/>
    <x v="1"/>
  </r>
  <r>
    <s v="BAT-0135"/>
    <s v="2025-10-18"/>
    <x v="0"/>
    <x v="3"/>
    <x v="0"/>
    <s v="Night"/>
    <s v="J. Mwangi"/>
    <n v="1153"/>
    <n v="1044"/>
    <n v="6"/>
    <n v="32.700000000000003"/>
    <n v="6.4"/>
    <n v="40.270000000000003"/>
    <n v="42041.880000000005"/>
    <n v="241.62"/>
    <x v="1"/>
  </r>
  <r>
    <s v="BAT-0251"/>
    <s v="2025-03-07"/>
    <x v="2"/>
    <x v="2"/>
    <x v="3"/>
    <s v="Day"/>
    <s v="Not Found"/>
    <n v="1383"/>
    <n v="1029"/>
    <n v="18"/>
    <n v="25.7"/>
    <n v="7"/>
    <n v="40.44"/>
    <n v="41612.759999999995"/>
    <n v="727.92"/>
    <x v="1"/>
  </r>
  <r>
    <s v="BAT-0044"/>
    <s v="2025-05-10"/>
    <x v="2"/>
    <x v="1"/>
    <x v="3"/>
    <s v="Day"/>
    <s v="F. Ali"/>
    <n v="1638"/>
    <n v="1488"/>
    <n v="48"/>
    <n v="13.9"/>
    <n v="7.6"/>
    <n v="40.54"/>
    <n v="60323.519999999997"/>
    <n v="1945.92"/>
    <x v="0"/>
  </r>
  <r>
    <s v="BAT-0276"/>
    <s v="2025-06-26"/>
    <x v="2"/>
    <x v="0"/>
    <x v="3"/>
    <s v="Evening"/>
    <s v="A. Wanjiku"/>
    <n v="962"/>
    <n v="784"/>
    <n v="15"/>
    <n v="103.3"/>
    <n v="7.3"/>
    <n v="40.590000000000003"/>
    <n v="31822.560000000001"/>
    <n v="608.85"/>
    <x v="1"/>
  </r>
  <r>
    <s v="BAT-0382"/>
    <s v="2025-12-08"/>
    <x v="0"/>
    <x v="0"/>
    <x v="2"/>
    <s v="Day"/>
    <s v="P. Otieno"/>
    <n v="1390"/>
    <n v="1424"/>
    <n v="19"/>
    <n v="14.8"/>
    <n v="7.8"/>
    <n v="41.34"/>
    <n v="58868.160000000003"/>
    <n v="785.46"/>
    <x v="1"/>
  </r>
  <r>
    <s v="BAT-0417"/>
    <s v="2025-12-20"/>
    <x v="1"/>
    <x v="3"/>
    <x v="0"/>
    <s v="Day"/>
    <s v="M. Hassan"/>
    <n v="1110"/>
    <n v="888"/>
    <n v="20"/>
    <n v="86.3"/>
    <n v="6"/>
    <n v="41.41"/>
    <n v="36772.079999999994"/>
    <n v="828.19999999999993"/>
    <x v="0"/>
  </r>
  <r>
    <s v="BAT-0496"/>
    <s v="2025-05-31"/>
    <x v="1"/>
    <x v="3"/>
    <x v="0"/>
    <s v="Evening"/>
    <s v="F. Ali"/>
    <n v="1309"/>
    <n v="976"/>
    <n v="18"/>
    <n v="26.7"/>
    <n v="8.3000000000000007"/>
    <n v="41.42"/>
    <n v="40425.919999999998"/>
    <n v="745.56000000000006"/>
    <x v="1"/>
  </r>
  <r>
    <s v="BAT-0430"/>
    <s v="2025-09-19"/>
    <x v="0"/>
    <x v="4"/>
    <x v="3"/>
    <s v="Day"/>
    <s v="D. Kamau"/>
    <n v="1482"/>
    <n v="1367"/>
    <n v="18"/>
    <n v="47"/>
    <n v="7.1"/>
    <n v="42.18"/>
    <n v="57660.06"/>
    <n v="759.24"/>
    <x v="1"/>
  </r>
  <r>
    <s v="BAT-0554"/>
    <s v="2025-04-27"/>
    <x v="1"/>
    <x v="1"/>
    <x v="1"/>
    <s v="Day"/>
    <s v="A. Wanjiku"/>
    <n v="1285"/>
    <n v="1221"/>
    <n v="6"/>
    <n v="174.1"/>
    <n v="6.5"/>
    <n v="42.24"/>
    <n v="51575.040000000001"/>
    <n v="253.44"/>
    <x v="1"/>
  </r>
  <r>
    <s v="BAT-0022"/>
    <s v="2025-05-16"/>
    <x v="0"/>
    <x v="0"/>
    <x v="3"/>
    <s v="Evening"/>
    <s v="R. Njeri"/>
    <n v="1550"/>
    <n v="1697"/>
    <n v="13"/>
    <n v="34.799999999999997"/>
    <n v="7.8"/>
    <n v="42.52"/>
    <n v="72156.44"/>
    <n v="552.76"/>
    <x v="1"/>
  </r>
  <r>
    <s v="BAT-0175"/>
    <s v="2025-09-12"/>
    <x v="1"/>
    <x v="4"/>
    <x v="4"/>
    <s v="Evening"/>
    <s v="S. Kiptoo"/>
    <n v="1431"/>
    <n v="1172"/>
    <n v="9"/>
    <n v="75.099999999999994"/>
    <n v="6.2"/>
    <n v="42.78"/>
    <n v="50138.16"/>
    <n v="385.02"/>
    <x v="1"/>
  </r>
  <r>
    <s v="BAT-0559"/>
    <s v="2025-10-17"/>
    <x v="2"/>
    <x v="2"/>
    <x v="1"/>
    <s v="Day"/>
    <s v="A. Wanjiku"/>
    <n v="776"/>
    <n v="643"/>
    <n v="5"/>
    <n v="40.799999999999997"/>
    <n v="6.2"/>
    <n v="43.69"/>
    <n v="28092.67"/>
    <n v="218.45"/>
    <x v="1"/>
  </r>
  <r>
    <s v="BAT-0469"/>
    <s v="2025-03-08"/>
    <x v="2"/>
    <x v="4"/>
    <x v="2"/>
    <s v="Day"/>
    <s v="D. Kamau"/>
    <n v="1373"/>
    <n v="1393"/>
    <n v="45"/>
    <n v="65.900000000000006"/>
    <n v="7.4"/>
    <n v="43.74"/>
    <n v="60929.82"/>
    <n v="1968.3000000000002"/>
    <x v="0"/>
  </r>
  <r>
    <s v="BAT-0097"/>
    <s v="2025-03-29"/>
    <x v="2"/>
    <x v="4"/>
    <x v="4"/>
    <s v="Night"/>
    <s v="M. Hassan"/>
    <n v="1276"/>
    <n v="1286"/>
    <n v="35"/>
    <n v="6.2"/>
    <n v="7.9"/>
    <n v="44.27"/>
    <n v="56931.22"/>
    <n v="1549.45"/>
    <x v="0"/>
  </r>
  <r>
    <s v="BAT-0143"/>
    <s v="2025-04-11"/>
    <x v="2"/>
    <x v="1"/>
    <x v="3"/>
    <s v="Evening"/>
    <s v="D. Kamau"/>
    <n v="1074"/>
    <n v="1241"/>
    <n v="12"/>
    <n v="9.4"/>
    <n v="6.2"/>
    <n v="44.29"/>
    <n v="54963.89"/>
    <n v="531.48"/>
    <x v="1"/>
  </r>
  <r>
    <s v="BAT-0587"/>
    <s v="2025-09-09"/>
    <x v="1"/>
    <x v="2"/>
    <x v="3"/>
    <s v="Night"/>
    <s v="A. Wanjiku"/>
    <n v="1219"/>
    <n v="1242"/>
    <n v="6"/>
    <n v="29.7"/>
    <n v="7.1"/>
    <n v="44.34"/>
    <n v="55070.280000000006"/>
    <n v="266.04000000000002"/>
    <x v="1"/>
  </r>
  <r>
    <s v="BAT-0485"/>
    <s v="2025-06-18"/>
    <x v="0"/>
    <x v="3"/>
    <x v="3"/>
    <s v="Night"/>
    <s v="F. Ali"/>
    <n v="789"/>
    <n v="659"/>
    <n v="16"/>
    <n v="55.1"/>
    <n v="7.9"/>
    <n v="44.5"/>
    <n v="29325.5"/>
    <n v="712"/>
    <x v="0"/>
  </r>
  <r>
    <s v="BAT-0523"/>
    <s v="2025-03-12"/>
    <x v="0"/>
    <x v="2"/>
    <x v="2"/>
    <s v="Night"/>
    <s v="F. Ali"/>
    <n v="1695"/>
    <n v="1858"/>
    <n v="52"/>
    <n v="33.700000000000003"/>
    <n v="7.1"/>
    <n v="44.82"/>
    <n v="83275.56"/>
    <n v="2330.64"/>
    <x v="0"/>
  </r>
  <r>
    <s v="BAT-0106"/>
    <s v="2025-10-15"/>
    <x v="0"/>
    <x v="1"/>
    <x v="4"/>
    <s v="Day"/>
    <s v="P. Otieno"/>
    <n v="1600"/>
    <n v="1755"/>
    <n v="47"/>
    <n v="21"/>
    <n v="8"/>
    <n v="44.92"/>
    <n v="78834.600000000006"/>
    <n v="2111.2400000000002"/>
    <x v="0"/>
  </r>
  <r>
    <s v="BAT-0163"/>
    <s v="2025-05-30"/>
    <x v="1"/>
    <x v="3"/>
    <x v="2"/>
    <s v="Evening"/>
    <s v="F. Ali"/>
    <n v="1389"/>
    <n v="1330"/>
    <n v="23"/>
    <n v="6"/>
    <n v="7.3"/>
    <n v="45.22"/>
    <n v="60142.6"/>
    <n v="1040.06"/>
    <x v="1"/>
  </r>
  <r>
    <s v="BAT-0256"/>
    <s v="2025-02-22"/>
    <x v="0"/>
    <x v="4"/>
    <x v="0"/>
    <s v="Night"/>
    <s v="J. Mwangi"/>
    <n v="1634"/>
    <n v="1688"/>
    <n v="55"/>
    <n v="4.7"/>
    <n v="7.8"/>
    <n v="45.34"/>
    <n v="76533.920000000013"/>
    <n v="2493.7000000000003"/>
    <x v="0"/>
  </r>
  <r>
    <s v="BAT-0220"/>
    <s v="2025-11-26"/>
    <x v="2"/>
    <x v="4"/>
    <x v="3"/>
    <s v="Evening"/>
    <s v="P. Otieno"/>
    <n v="1245"/>
    <n v="1128"/>
    <n v="30"/>
    <n v="5.9"/>
    <n v="8.1999999999999993"/>
    <n v="45.42"/>
    <n v="51233.760000000002"/>
    <n v="1362.6000000000001"/>
    <x v="0"/>
  </r>
  <r>
    <s v="BAT-0075"/>
    <s v="2025-09-08"/>
    <x v="1"/>
    <x v="1"/>
    <x v="2"/>
    <s v="Night"/>
    <s v="D. Kamau"/>
    <n v="1701"/>
    <n v="1826"/>
    <n v="52"/>
    <n v="13.4"/>
    <n v="7.5"/>
    <n v="45.48"/>
    <n v="83046.48"/>
    <n v="2364.96"/>
    <x v="0"/>
  </r>
  <r>
    <s v="BAT-0597"/>
    <s v="2025-07-31"/>
    <x v="2"/>
    <x v="1"/>
    <x v="4"/>
    <s v="Evening"/>
    <s v="A. Wanjiku"/>
    <n v="910"/>
    <n v="906"/>
    <n v="12"/>
    <n v="56.5"/>
    <n v="6.4"/>
    <n v="45.74"/>
    <n v="41440.44"/>
    <n v="548.88"/>
    <x v="1"/>
  </r>
  <r>
    <s v="BAT-0577"/>
    <s v="2025-12-04"/>
    <x v="2"/>
    <x v="4"/>
    <x v="2"/>
    <s v="Evening"/>
    <s v="R. Njeri"/>
    <n v="868"/>
    <n v="774"/>
    <n v="23"/>
    <n v="67.400000000000006"/>
    <n v="6.5"/>
    <n v="45.85"/>
    <n v="35487.9"/>
    <n v="1054.55"/>
    <x v="0"/>
  </r>
  <r>
    <s v="BAT-0566"/>
    <s v="2025-03-28"/>
    <x v="2"/>
    <x v="2"/>
    <x v="3"/>
    <s v="Evening"/>
    <s v="J. Mwangi"/>
    <n v="877"/>
    <n v="900"/>
    <n v="5"/>
    <n v="32.6"/>
    <n v="7.8"/>
    <n v="46.16"/>
    <n v="41544"/>
    <n v="230.79999999999998"/>
    <x v="1"/>
  </r>
  <r>
    <s v="BAT-0238"/>
    <s v="2025-06-07"/>
    <x v="0"/>
    <x v="3"/>
    <x v="3"/>
    <s v="Evening"/>
    <s v="J. Mwangi"/>
    <n v="869"/>
    <n v="842"/>
    <n v="25"/>
    <n v="32.299999999999997"/>
    <n v="8.5"/>
    <n v="46.44"/>
    <n v="39102.479999999996"/>
    <n v="1161"/>
    <x v="0"/>
  </r>
  <r>
    <s v="BAT-0373"/>
    <s v="2025-05-30"/>
    <x v="1"/>
    <x v="1"/>
    <x v="4"/>
    <s v="Night"/>
    <s v="P. Otieno"/>
    <n v="1647"/>
    <n v="1467"/>
    <n v="27"/>
    <n v="6.7"/>
    <n v="6.1"/>
    <n v="46.61"/>
    <n v="68376.87"/>
    <n v="1258.47"/>
    <x v="1"/>
  </r>
  <r>
    <s v="BAT-0503"/>
    <s v="2025-12-18"/>
    <x v="2"/>
    <x v="4"/>
    <x v="0"/>
    <s v="Day"/>
    <s v="P. Otieno"/>
    <n v="1786"/>
    <n v="1584"/>
    <n v="17"/>
    <n v="33.4"/>
    <n v="6.5"/>
    <n v="46.67"/>
    <n v="73925.279999999999"/>
    <n v="793.39"/>
    <x v="1"/>
  </r>
  <r>
    <s v="BAT-0181"/>
    <s v="2025-12-09"/>
    <x v="2"/>
    <x v="3"/>
    <x v="1"/>
    <s v="Evening"/>
    <s v="R. Njeri"/>
    <n v="1004"/>
    <n v="838"/>
    <n v="4"/>
    <n v="72.3"/>
    <n v="7.5"/>
    <n v="46.95"/>
    <n v="39344.100000000006"/>
    <n v="187.8"/>
    <x v="1"/>
  </r>
  <r>
    <s v="BAT-0002"/>
    <s v="2025-10-10"/>
    <x v="2"/>
    <x v="3"/>
    <x v="0"/>
    <s v="Night"/>
    <s v="A. Wanjiku"/>
    <n v="1557"/>
    <n v="1522"/>
    <n v="27"/>
    <n v="40.799999999999997"/>
    <n v="7"/>
    <n v="47.54"/>
    <n v="72355.88"/>
    <n v="1283.58"/>
    <x v="1"/>
  </r>
  <r>
    <s v="BAT-0337"/>
    <s v="2025-12-18"/>
    <x v="2"/>
    <x v="2"/>
    <x v="4"/>
    <s v="Night"/>
    <s v="F. Ali"/>
    <n v="761"/>
    <n v="737"/>
    <n v="5"/>
    <n v="66.7"/>
    <n v="6.2"/>
    <n v="47.56"/>
    <n v="35051.72"/>
    <n v="237.8"/>
    <x v="1"/>
  </r>
  <r>
    <s v="BAT-0060"/>
    <s v="2025-09-07"/>
    <x v="1"/>
    <x v="4"/>
    <x v="3"/>
    <s v="Evening"/>
    <s v="A. Wanjiku"/>
    <n v="773"/>
    <n v="611"/>
    <n v="7"/>
    <n v="31.8"/>
    <n v="8.1999999999999993"/>
    <n v="47.86"/>
    <n v="29242.46"/>
    <n v="335.02"/>
    <x v="1"/>
  </r>
  <r>
    <s v="BAT-0192"/>
    <s v="2025-08-19"/>
    <x v="0"/>
    <x v="0"/>
    <x v="3"/>
    <s v="Evening"/>
    <s v="F. Ali"/>
    <n v="1097"/>
    <n v="1067"/>
    <n v="13"/>
    <n v="34.1"/>
    <n v="6.9"/>
    <n v="47.97"/>
    <n v="51183.99"/>
    <n v="623.61"/>
    <x v="1"/>
  </r>
  <r>
    <s v="BAT-0562"/>
    <s v="2025-01-16"/>
    <x v="0"/>
    <x v="1"/>
    <x v="1"/>
    <s v="Evening"/>
    <s v="M. Hassan"/>
    <n v="1339"/>
    <n v="1525"/>
    <n v="8"/>
    <n v="18.100000000000001"/>
    <n v="6.8"/>
    <n v="48.19"/>
    <n v="73489.75"/>
    <n v="385.52"/>
    <x v="1"/>
  </r>
  <r>
    <s v="BAT-0277"/>
    <s v="2025-06-20"/>
    <x v="0"/>
    <x v="1"/>
    <x v="4"/>
    <s v="Night"/>
    <s v="J. Mwangi"/>
    <n v="1194"/>
    <n v="1142"/>
    <n v="4"/>
    <n v="48.6"/>
    <n v="6.3"/>
    <n v="48.51"/>
    <n v="55398.42"/>
    <n v="194.04"/>
    <x v="1"/>
  </r>
  <r>
    <s v="BAT-0190"/>
    <s v="2025-04-21"/>
    <x v="0"/>
    <x v="3"/>
    <x v="2"/>
    <s v="Evening"/>
    <s v="J. Mwangi"/>
    <n v="1001"/>
    <n v="993"/>
    <n v="17"/>
    <n v="10.3"/>
    <n v="8.1"/>
    <n v="48.58"/>
    <n v="48239.939999999995"/>
    <n v="825.86"/>
    <x v="1"/>
  </r>
  <r>
    <s v="BAT-0409"/>
    <s v="2025-12-08"/>
    <x v="2"/>
    <x v="3"/>
    <x v="3"/>
    <s v="Evening"/>
    <s v="M. Hassan"/>
    <n v="1373"/>
    <n v="1011"/>
    <n v="22"/>
    <n v="42.8"/>
    <n v="6.2"/>
    <n v="48.64"/>
    <n v="49175.040000000001"/>
    <n v="1070.08"/>
    <x v="0"/>
  </r>
  <r>
    <s v="BAT-0570"/>
    <s v="2025-07-28"/>
    <x v="1"/>
    <x v="3"/>
    <x v="4"/>
    <s v="Day"/>
    <s v="D. Kamau"/>
    <n v="836"/>
    <n v="797"/>
    <n v="14"/>
    <n v="31.2"/>
    <n v="6.6"/>
    <n v="48.67"/>
    <n v="38789.99"/>
    <n v="681.38"/>
    <x v="1"/>
  </r>
  <r>
    <s v="BAT-0072"/>
    <s v="2025-03-11"/>
    <x v="1"/>
    <x v="2"/>
    <x v="2"/>
    <s v="Night"/>
    <s v="F. Ali"/>
    <n v="753"/>
    <n v="734"/>
    <n v="4"/>
    <n v="57.7"/>
    <n v="7.6"/>
    <n v="48.69"/>
    <n v="35738.46"/>
    <n v="194.76"/>
    <x v="1"/>
  </r>
  <r>
    <s v="BAT-0517"/>
    <s v="2025-11-18"/>
    <x v="1"/>
    <x v="0"/>
    <x v="1"/>
    <s v="Night"/>
    <s v="S. Kiptoo"/>
    <n v="1790"/>
    <n v="1581"/>
    <n v="26"/>
    <n v="19.2"/>
    <n v="8.1999999999999993"/>
    <n v="49"/>
    <n v="77469"/>
    <n v="1274"/>
    <x v="1"/>
  </r>
  <r>
    <s v="BAT-0119"/>
    <s v="2025-03-31"/>
    <x v="0"/>
    <x v="1"/>
    <x v="3"/>
    <s v="Day"/>
    <s v="R. Njeri"/>
    <n v="1632"/>
    <n v="1410"/>
    <n v="32"/>
    <n v="65.8"/>
    <n v="6.8"/>
    <n v="49.01"/>
    <n v="69104.099999999991"/>
    <n v="1568.32"/>
    <x v="0"/>
  </r>
  <r>
    <s v="BAT-0509"/>
    <s v="2025-04-09"/>
    <x v="2"/>
    <x v="2"/>
    <x v="4"/>
    <s v="Night"/>
    <s v="D. Kamau"/>
    <n v="825"/>
    <n v="723"/>
    <n v="10"/>
    <n v="55.4"/>
    <n v="7"/>
    <n v="49.38"/>
    <n v="35701.740000000005"/>
    <n v="493.8"/>
    <x v="1"/>
  </r>
  <r>
    <s v="BAT-0588"/>
    <s v="2025-02-06"/>
    <x v="1"/>
    <x v="2"/>
    <x v="1"/>
    <s v="Day"/>
    <s v="J. Mwangi"/>
    <n v="1221"/>
    <n v="1194"/>
    <n v="18"/>
    <n v="44.6"/>
    <n v="7.6"/>
    <n v="49.61"/>
    <n v="59234.34"/>
    <n v="892.98"/>
    <x v="1"/>
  </r>
  <r>
    <s v="BAT-0521"/>
    <s v="2025-05-11"/>
    <x v="1"/>
    <x v="0"/>
    <x v="4"/>
    <s v="Evening"/>
    <s v="M. Hassan"/>
    <n v="1323"/>
    <n v="1099"/>
    <n v="31"/>
    <n v="25.7"/>
    <n v="8.4"/>
    <n v="49.61"/>
    <n v="54521.39"/>
    <n v="1537.91"/>
    <x v="0"/>
  </r>
  <r>
    <s v="BAT-0524"/>
    <s v="2025-10-29"/>
    <x v="1"/>
    <x v="1"/>
    <x v="4"/>
    <s v="Evening"/>
    <s v="S. Kiptoo"/>
    <n v="884"/>
    <n v="903"/>
    <n v="5"/>
    <n v="42.5"/>
    <n v="7.8"/>
    <n v="49.77"/>
    <n v="44942.310000000005"/>
    <n v="248.85000000000002"/>
    <x v="1"/>
  </r>
  <r>
    <s v="BAT-0316"/>
    <s v="2025-08-29"/>
    <x v="2"/>
    <x v="0"/>
    <x v="1"/>
    <s v="Night"/>
    <s v="D. Kamau"/>
    <n v="756"/>
    <n v="894"/>
    <n v="12"/>
    <n v="25.6"/>
    <n v="6.8"/>
    <n v="49.86"/>
    <n v="44574.84"/>
    <n v="598.31999999999994"/>
    <x v="1"/>
  </r>
  <r>
    <s v="BAT-0081"/>
    <s v="2025-12-10"/>
    <x v="1"/>
    <x v="4"/>
    <x v="0"/>
    <s v="Evening"/>
    <s v="J. Mwangi"/>
    <n v="1078"/>
    <n v="842"/>
    <n v="8"/>
    <n v="29.1"/>
    <n v="8.1999999999999993"/>
    <n v="50.22"/>
    <n v="42285.24"/>
    <n v="401.76"/>
    <x v="1"/>
  </r>
  <r>
    <s v="BAT-0296"/>
    <s v="2025-07-10"/>
    <x v="0"/>
    <x v="2"/>
    <x v="2"/>
    <s v="Day"/>
    <s v="J. Mwangi"/>
    <n v="1421"/>
    <n v="1649"/>
    <n v="8"/>
    <n v="49.2"/>
    <n v="6.9"/>
    <n v="50.33"/>
    <n v="82994.17"/>
    <n v="402.64"/>
    <x v="1"/>
  </r>
  <r>
    <s v="BAT-0207"/>
    <s v="2025-10-06"/>
    <x v="0"/>
    <x v="4"/>
    <x v="4"/>
    <s v="Evening"/>
    <s v="J. Mwangi"/>
    <n v="962"/>
    <n v="942"/>
    <n v="10"/>
    <n v="26.8"/>
    <n v="6.7"/>
    <n v="50.35"/>
    <n v="47429.700000000004"/>
    <n v="503.5"/>
    <x v="1"/>
  </r>
  <r>
    <s v="BAT-0428"/>
    <s v="2025-10-21"/>
    <x v="0"/>
    <x v="0"/>
    <x v="3"/>
    <s v="Evening"/>
    <s v="A. Wanjiku"/>
    <n v="887"/>
    <n v="742"/>
    <n v="24"/>
    <n v="42.7"/>
    <n v="6.8"/>
    <n v="50.41"/>
    <n v="37404.219999999994"/>
    <n v="1209.8399999999999"/>
    <x v="0"/>
  </r>
  <r>
    <s v="BAT-0457"/>
    <s v="2025-02-24"/>
    <x v="1"/>
    <x v="1"/>
    <x v="1"/>
    <s v="Evening"/>
    <s v="F. Ali"/>
    <n v="1107"/>
    <n v="878"/>
    <n v="29"/>
    <n v="3.9"/>
    <n v="6.8"/>
    <n v="50.5"/>
    <n v="44339"/>
    <n v="1464.5"/>
    <x v="0"/>
  </r>
  <r>
    <s v="BAT-0286"/>
    <s v="2025-12-09"/>
    <x v="1"/>
    <x v="3"/>
    <x v="1"/>
    <s v="Day"/>
    <s v="S. Kiptoo"/>
    <n v="1684"/>
    <n v="1649"/>
    <n v="26"/>
    <n v="134"/>
    <n v="8.1"/>
    <n v="50.6"/>
    <n v="83439.400000000009"/>
    <n v="1315.6000000000001"/>
    <x v="1"/>
  </r>
  <r>
    <s v="BAT-0426"/>
    <s v="2025-03-14"/>
    <x v="0"/>
    <x v="3"/>
    <x v="1"/>
    <s v="Night"/>
    <s v="S. Kiptoo"/>
    <n v="1537"/>
    <n v="1393"/>
    <n v="7"/>
    <n v="91.1"/>
    <n v="7"/>
    <n v="50.73"/>
    <n v="70666.89"/>
    <n v="355.10999999999996"/>
    <x v="1"/>
  </r>
  <r>
    <s v="BAT-0121"/>
    <s v="2025-06-10"/>
    <x v="1"/>
    <x v="2"/>
    <x v="4"/>
    <s v="Evening"/>
    <s v="F. Ali"/>
    <n v="956"/>
    <n v="1151"/>
    <n v="27"/>
    <n v="7.7"/>
    <n v="6.7"/>
    <n v="50.74"/>
    <n v="58401.740000000005"/>
    <n v="1369.98"/>
    <x v="0"/>
  </r>
  <r>
    <s v="BAT-0257"/>
    <s v="2025-09-05"/>
    <x v="1"/>
    <x v="4"/>
    <x v="2"/>
    <s v="Night"/>
    <s v="M. Hassan"/>
    <n v="1742"/>
    <n v="1666"/>
    <n v="37"/>
    <n v="10.199999999999999"/>
    <n v="8.3000000000000007"/>
    <n v="50.75"/>
    <n v="84549.5"/>
    <n v="1877.75"/>
    <x v="0"/>
  </r>
  <r>
    <s v="BAT-0289"/>
    <s v="2025-07-17"/>
    <x v="1"/>
    <x v="4"/>
    <x v="1"/>
    <s v="Night"/>
    <s v="J. Mwangi"/>
    <n v="1121"/>
    <n v="998"/>
    <n v="5"/>
    <n v="13.1"/>
    <n v="7.3"/>
    <n v="50.84"/>
    <n v="50738.320000000007"/>
    <n v="254.20000000000002"/>
    <x v="1"/>
  </r>
  <r>
    <s v="BAT-0272"/>
    <s v="2025-01-09"/>
    <x v="2"/>
    <x v="3"/>
    <x v="4"/>
    <s v="Evening"/>
    <s v="D. Kamau"/>
    <n v="1641"/>
    <n v="1594"/>
    <n v="14"/>
    <n v="56.1"/>
    <n v="7.7"/>
    <n v="51.46"/>
    <n v="82027.240000000005"/>
    <n v="720.44"/>
    <x v="1"/>
  </r>
  <r>
    <s v="BAT-0284"/>
    <s v="2025-06-29"/>
    <x v="2"/>
    <x v="2"/>
    <x v="2"/>
    <s v="Evening"/>
    <s v="R. Njeri"/>
    <n v="1579"/>
    <n v="1659"/>
    <n v="27"/>
    <n v="37.9"/>
    <n v="8.1999999999999993"/>
    <n v="52.33"/>
    <n v="86815.47"/>
    <n v="1412.9099999999999"/>
    <x v="1"/>
  </r>
  <r>
    <s v="BAT-0429"/>
    <s v="2025-01-10"/>
    <x v="1"/>
    <x v="1"/>
    <x v="0"/>
    <s v="Evening"/>
    <s v="R. Njeri"/>
    <n v="1113"/>
    <n v="1060"/>
    <n v="8"/>
    <n v="78.8"/>
    <n v="7.7"/>
    <n v="52.37"/>
    <n v="55512.2"/>
    <n v="418.96"/>
    <x v="1"/>
  </r>
  <r>
    <s v="BAT-0186"/>
    <s v="2025-06-12"/>
    <x v="0"/>
    <x v="2"/>
    <x v="1"/>
    <s v="Evening"/>
    <s v="R. Njeri"/>
    <n v="1168"/>
    <n v="1134"/>
    <n v="30"/>
    <n v="72.5"/>
    <n v="8.1999999999999993"/>
    <n v="52.62"/>
    <n v="59671.079999999994"/>
    <n v="1578.6"/>
    <x v="0"/>
  </r>
  <r>
    <s v="BAT-0575"/>
    <s v="2025-01-03"/>
    <x v="0"/>
    <x v="2"/>
    <x v="3"/>
    <s v="Evening"/>
    <s v="R. Njeri"/>
    <n v="1596"/>
    <n v="1475"/>
    <n v="25"/>
    <n v="7.8"/>
    <n v="6.9"/>
    <n v="52.82"/>
    <n v="77909.5"/>
    <n v="1320.5"/>
    <x v="1"/>
  </r>
  <r>
    <s v="BAT-0244"/>
    <s v="2025-08-26"/>
    <x v="1"/>
    <x v="4"/>
    <x v="4"/>
    <s v="Day"/>
    <s v="J. Mwangi"/>
    <n v="1064"/>
    <n v="902"/>
    <n v="7"/>
    <n v="23.1"/>
    <n v="7.6"/>
    <n v="52.93"/>
    <n v="47742.86"/>
    <n v="370.51"/>
    <x v="1"/>
  </r>
  <r>
    <s v="BAT-0454"/>
    <s v="2025-01-10"/>
    <x v="0"/>
    <x v="0"/>
    <x v="3"/>
    <s v="Night"/>
    <s v="M. Hassan"/>
    <n v="1756"/>
    <n v="1631"/>
    <n v="39"/>
    <n v="71.5"/>
    <n v="6.1"/>
    <n v="53.01"/>
    <n v="86459.31"/>
    <n v="2067.39"/>
    <x v="0"/>
  </r>
  <r>
    <s v="BAT-0488"/>
    <s v="2025-07-13"/>
    <x v="2"/>
    <x v="3"/>
    <x v="2"/>
    <s v="Evening"/>
    <s v="M. Hassan"/>
    <n v="1534"/>
    <n v="1635"/>
    <n v="47"/>
    <n v="12.6"/>
    <n v="7.7"/>
    <n v="53.32"/>
    <n v="87178.2"/>
    <n v="2506.04"/>
    <x v="0"/>
  </r>
  <r>
    <s v="BAT-0091"/>
    <s v="2025-06-08"/>
    <x v="2"/>
    <x v="4"/>
    <x v="4"/>
    <s v="Evening"/>
    <s v="J. Mwangi"/>
    <n v="1065"/>
    <n v="1067"/>
    <n v="28"/>
    <n v="12.5"/>
    <n v="8.1999999999999993"/>
    <n v="53.32"/>
    <n v="56892.44"/>
    <n v="1492.96"/>
    <x v="0"/>
  </r>
  <r>
    <s v="BAT-0270"/>
    <s v="2025-08-04"/>
    <x v="2"/>
    <x v="4"/>
    <x v="3"/>
    <s v="Evening"/>
    <s v="F. Ali"/>
    <n v="844"/>
    <n v="743"/>
    <n v="22"/>
    <n v="35.9"/>
    <n v="7.1"/>
    <n v="53.49"/>
    <n v="39743.07"/>
    <n v="1176.78"/>
    <x v="0"/>
  </r>
  <r>
    <s v="BAT-0383"/>
    <s v="2025-12-12"/>
    <x v="0"/>
    <x v="2"/>
    <x v="4"/>
    <s v="Evening"/>
    <s v="A. Wanjiku"/>
    <n v="1694"/>
    <n v="1597"/>
    <n v="6"/>
    <n v="56.6"/>
    <n v="7.4"/>
    <n v="53.88"/>
    <n v="86046.36"/>
    <n v="323.28000000000003"/>
    <x v="1"/>
  </r>
  <r>
    <s v="BAT-0115"/>
    <s v="2025-07-04"/>
    <x v="1"/>
    <x v="4"/>
    <x v="0"/>
    <s v="Evening"/>
    <s v="P. Otieno"/>
    <n v="1734"/>
    <n v="1483"/>
    <n v="17"/>
    <n v="12"/>
    <n v="6.3"/>
    <n v="54.01"/>
    <n v="80096.83"/>
    <n v="918.17"/>
    <x v="1"/>
  </r>
  <r>
    <s v="BAT-0447"/>
    <s v="2025-04-25"/>
    <x v="1"/>
    <x v="2"/>
    <x v="0"/>
    <s v="Night"/>
    <s v="M. Hassan"/>
    <n v="962"/>
    <n v="898"/>
    <n v="6"/>
    <n v="6.9"/>
    <n v="8.4"/>
    <n v="54.18"/>
    <n v="48653.64"/>
    <n v="325.08"/>
    <x v="1"/>
  </r>
  <r>
    <s v="BAT-0363"/>
    <s v="2025-03-23"/>
    <x v="1"/>
    <x v="2"/>
    <x v="0"/>
    <s v="Night"/>
    <s v="R. Njeri"/>
    <n v="1464"/>
    <n v="1305"/>
    <n v="10"/>
    <n v="17.3"/>
    <n v="7.5"/>
    <n v="54.23"/>
    <n v="70770.149999999994"/>
    <n v="542.29999999999995"/>
    <x v="1"/>
  </r>
  <r>
    <s v="BAT-0169"/>
    <s v="2025-05-03"/>
    <x v="0"/>
    <x v="2"/>
    <x v="3"/>
    <s v="Night"/>
    <s v="J. Mwangi"/>
    <n v="1479"/>
    <n v="1363"/>
    <n v="17"/>
    <n v="63.4"/>
    <n v="6.5"/>
    <n v="54.33"/>
    <n v="74051.789999999994"/>
    <n v="923.61"/>
    <x v="1"/>
  </r>
  <r>
    <s v="BAT-0307"/>
    <s v="2025-04-21"/>
    <x v="2"/>
    <x v="4"/>
    <x v="3"/>
    <s v="Evening"/>
    <s v="R. Njeri"/>
    <n v="1397"/>
    <n v="1009"/>
    <n v="8"/>
    <n v="15.5"/>
    <n v="6.9"/>
    <n v="54.51"/>
    <n v="55000.59"/>
    <n v="436.08"/>
    <x v="1"/>
  </r>
  <r>
    <s v="BAT-0303"/>
    <s v="2025-01-04"/>
    <x v="1"/>
    <x v="1"/>
    <x v="2"/>
    <s v="Day"/>
    <s v="S. Kiptoo"/>
    <n v="1475"/>
    <n v="1279"/>
    <n v="35"/>
    <n v="11.7"/>
    <n v="6.5"/>
    <n v="55.12"/>
    <n v="70498.48"/>
    <n v="1929.1999999999998"/>
    <x v="0"/>
  </r>
  <r>
    <s v="BAT-0500"/>
    <s v="2025-06-05"/>
    <x v="1"/>
    <x v="4"/>
    <x v="3"/>
    <s v="Day"/>
    <s v="A. Wanjiku"/>
    <n v="982"/>
    <n v="1005"/>
    <n v="18"/>
    <n v="9.8000000000000007"/>
    <n v="7.9"/>
    <n v="55.16"/>
    <n v="55435.799999999996"/>
    <n v="992.87999999999988"/>
    <x v="1"/>
  </r>
  <r>
    <s v="BAT-0080"/>
    <s v="2025-09-02"/>
    <x v="0"/>
    <x v="0"/>
    <x v="1"/>
    <s v="Evening"/>
    <s v="P. Otieno"/>
    <n v="704"/>
    <n v="661"/>
    <n v="3"/>
    <n v="11.2"/>
    <n v="7.5"/>
    <n v="55.43"/>
    <n v="36639.230000000003"/>
    <n v="166.29"/>
    <x v="1"/>
  </r>
  <r>
    <s v="BAT-0093"/>
    <s v="2025-11-04"/>
    <x v="0"/>
    <x v="3"/>
    <x v="2"/>
    <s v="Night"/>
    <s v="R. Njeri"/>
    <n v="709"/>
    <n v="731"/>
    <n v="4"/>
    <n v="34"/>
    <n v="6.6"/>
    <n v="55.44"/>
    <n v="40526.639999999999"/>
    <n v="221.76"/>
    <x v="1"/>
  </r>
  <r>
    <s v="BAT-0578"/>
    <s v="2025-07-11"/>
    <x v="0"/>
    <x v="2"/>
    <x v="0"/>
    <s v="Evening"/>
    <s v="F. Ali"/>
    <n v="780"/>
    <n v="818"/>
    <n v="20"/>
    <n v="40.1"/>
    <n v="8.3000000000000007"/>
    <n v="55.47"/>
    <n v="45374.46"/>
    <n v="1109.4000000000001"/>
    <x v="0"/>
  </r>
  <r>
    <s v="BAT-0555"/>
    <s v="2025-12-26"/>
    <x v="2"/>
    <x v="0"/>
    <x v="2"/>
    <s v="Night"/>
    <s v="D. Kamau"/>
    <n v="1056"/>
    <n v="976"/>
    <n v="5"/>
    <n v="34.799999999999997"/>
    <n v="8.1999999999999993"/>
    <n v="55.51"/>
    <n v="54177.759999999995"/>
    <n v="277.55"/>
    <x v="1"/>
  </r>
  <r>
    <s v="BAT-0061"/>
    <s v="2025-12-03"/>
    <x v="1"/>
    <x v="0"/>
    <x v="3"/>
    <s v="Night"/>
    <s v="J. Mwangi"/>
    <n v="1317"/>
    <n v="1327"/>
    <n v="29"/>
    <n v="20.2"/>
    <n v="7.6"/>
    <n v="56.02"/>
    <n v="74338.540000000008"/>
    <n v="1624.5800000000002"/>
    <x v="0"/>
  </r>
  <r>
    <s v="BAT-0448"/>
    <s v="2025-12-15"/>
    <x v="0"/>
    <x v="2"/>
    <x v="0"/>
    <s v="Night"/>
    <s v="S. Kiptoo"/>
    <n v="823"/>
    <n v="845"/>
    <n v="17"/>
    <n v="18"/>
    <n v="8.3000000000000007"/>
    <n v="56.09"/>
    <n v="47396.05"/>
    <n v="953.53000000000009"/>
    <x v="0"/>
  </r>
  <r>
    <s v="BAT-0025"/>
    <s v="2025-10-13"/>
    <x v="2"/>
    <x v="3"/>
    <x v="4"/>
    <s v="Evening"/>
    <s v="D. Kamau"/>
    <n v="1351"/>
    <n v="1354"/>
    <n v="10"/>
    <n v="27.5"/>
    <n v="8.4"/>
    <n v="56.27"/>
    <n v="76189.58"/>
    <n v="562.70000000000005"/>
    <x v="1"/>
  </r>
  <r>
    <s v="BAT-0161"/>
    <s v="2025-12-30"/>
    <x v="2"/>
    <x v="1"/>
    <x v="0"/>
    <s v="Day"/>
    <s v="J. Mwangi"/>
    <n v="1729"/>
    <n v="1599"/>
    <n v="47"/>
    <n v="9.9"/>
    <n v="6.7"/>
    <n v="56.58"/>
    <n v="90471.42"/>
    <n v="2659.2599999999998"/>
    <x v="0"/>
  </r>
  <r>
    <s v="BAT-0482"/>
    <s v="2025-10-30"/>
    <x v="2"/>
    <x v="3"/>
    <x v="1"/>
    <s v="Day"/>
    <s v="S. Kiptoo"/>
    <n v="1732"/>
    <n v="1736"/>
    <n v="39"/>
    <n v="31.6"/>
    <n v="6.8"/>
    <n v="57.42"/>
    <n v="99681.12000000001"/>
    <n v="2239.38"/>
    <x v="0"/>
  </r>
  <r>
    <s v="BAT-0191"/>
    <s v="2025-09-07"/>
    <x v="0"/>
    <x v="1"/>
    <x v="3"/>
    <s v="Day"/>
    <s v="S. Kiptoo"/>
    <n v="1073"/>
    <n v="1065"/>
    <n v="11"/>
    <n v="26.9"/>
    <n v="7.9"/>
    <n v="57.86"/>
    <n v="61620.9"/>
    <n v="636.46"/>
    <x v="1"/>
  </r>
  <r>
    <s v="BAT-0140"/>
    <s v="2025-06-09"/>
    <x v="0"/>
    <x v="1"/>
    <x v="1"/>
    <s v="Day"/>
    <s v="D. Kamau"/>
    <n v="729"/>
    <n v="583"/>
    <n v="6"/>
    <n v="15.9"/>
    <n v="7.3"/>
    <n v="57.97"/>
    <n v="33796.51"/>
    <n v="347.82"/>
    <x v="1"/>
  </r>
  <r>
    <s v="BAT-0375"/>
    <s v="2025-11-20"/>
    <x v="2"/>
    <x v="2"/>
    <x v="2"/>
    <s v="Evening"/>
    <s v="F. Ali"/>
    <n v="1260"/>
    <n v="1272"/>
    <n v="41"/>
    <n v="36.299999999999997"/>
    <n v="6.3"/>
    <n v="58.1"/>
    <n v="73903.199999999997"/>
    <n v="2382.1"/>
    <x v="0"/>
  </r>
  <r>
    <s v="BAT-0510"/>
    <s v="2025-03-28"/>
    <x v="1"/>
    <x v="2"/>
    <x v="4"/>
    <s v="Evening"/>
    <s v="P. Otieno"/>
    <n v="1598"/>
    <n v="1801"/>
    <n v="23"/>
    <n v="55.4"/>
    <n v="6.5"/>
    <n v="58.34"/>
    <n v="105070.34000000001"/>
    <n v="1341.8200000000002"/>
    <x v="1"/>
  </r>
  <r>
    <s v="BAT-0295"/>
    <s v="2025-07-18"/>
    <x v="1"/>
    <x v="2"/>
    <x v="1"/>
    <s v="Day"/>
    <s v="P. Otieno"/>
    <n v="1347"/>
    <n v="1042"/>
    <n v="32"/>
    <n v="12.3"/>
    <n v="6.3"/>
    <n v="58.66"/>
    <n v="61123.719999999994"/>
    <n v="1877.12"/>
    <x v="0"/>
  </r>
  <r>
    <s v="BAT-0178"/>
    <s v="2025-02-28"/>
    <x v="2"/>
    <x v="0"/>
    <x v="2"/>
    <s v="Evening"/>
    <s v="F. Ali"/>
    <n v="1380"/>
    <n v="1458"/>
    <n v="29"/>
    <n v="33"/>
    <n v="6.5"/>
    <n v="58.73"/>
    <n v="85628.34"/>
    <n v="1703.1699999999998"/>
    <x v="1"/>
  </r>
  <r>
    <s v="BAT-0149"/>
    <s v="2025-10-27"/>
    <x v="1"/>
    <x v="3"/>
    <x v="3"/>
    <s v="Day"/>
    <s v="D. Kamau"/>
    <n v="1284"/>
    <n v="939"/>
    <n v="20"/>
    <n v="34.6"/>
    <n v="6.3"/>
    <n v="58.78"/>
    <n v="55194.42"/>
    <n v="1175.5999999999999"/>
    <x v="0"/>
  </r>
  <r>
    <s v="BAT-0103"/>
    <s v="2025-10-21"/>
    <x v="2"/>
    <x v="2"/>
    <x v="0"/>
    <s v="Day"/>
    <s v="S. Kiptoo"/>
    <n v="1110"/>
    <n v="937"/>
    <n v="6"/>
    <n v="30"/>
    <n v="8.3000000000000007"/>
    <n v="58.83"/>
    <n v="55123.71"/>
    <n v="352.98"/>
    <x v="1"/>
  </r>
  <r>
    <s v="BAT-0129"/>
    <s v="2025-07-29"/>
    <x v="2"/>
    <x v="0"/>
    <x v="1"/>
    <s v="Day"/>
    <s v="R. Njeri"/>
    <n v="1105"/>
    <n v="939"/>
    <n v="27"/>
    <n v="54.8"/>
    <n v="7"/>
    <n v="58.84"/>
    <n v="55250.76"/>
    <n v="1588.68"/>
    <x v="0"/>
  </r>
  <r>
    <s v="BAT-0069"/>
    <s v="2025-01-28"/>
    <x v="2"/>
    <x v="0"/>
    <x v="3"/>
    <s v="Day"/>
    <s v="M. Hassan"/>
    <n v="1002"/>
    <n v="805"/>
    <n v="24"/>
    <n v="54.2"/>
    <n v="6.7"/>
    <n v="58.96"/>
    <n v="47462.8"/>
    <n v="1415.04"/>
    <x v="0"/>
  </r>
  <r>
    <s v="BAT-0290"/>
    <s v="2025-06-22"/>
    <x v="0"/>
    <x v="1"/>
    <x v="1"/>
    <s v="Night"/>
    <s v="D. Kamau"/>
    <n v="1493"/>
    <n v="1542"/>
    <n v="48"/>
    <n v="14.6"/>
    <n v="6.5"/>
    <n v="59.05"/>
    <n v="91055.099999999991"/>
    <n v="2834.3999999999996"/>
    <x v="0"/>
  </r>
  <r>
    <s v="BAT-0147"/>
    <s v="2025-01-13"/>
    <x v="1"/>
    <x v="2"/>
    <x v="4"/>
    <s v="Evening"/>
    <s v="R. Njeri"/>
    <n v="1759"/>
    <n v="1915"/>
    <n v="8"/>
    <n v="44.5"/>
    <n v="7"/>
    <n v="59.14"/>
    <n v="113253.1"/>
    <n v="473.12"/>
    <x v="1"/>
  </r>
  <r>
    <s v="BAT-0403"/>
    <s v="2025-04-27"/>
    <x v="0"/>
    <x v="4"/>
    <x v="1"/>
    <s v="Night"/>
    <s v="M. Hassan"/>
    <n v="871"/>
    <n v="720"/>
    <n v="8"/>
    <n v="20"/>
    <n v="7"/>
    <n v="59.2"/>
    <n v="42624"/>
    <n v="473.6"/>
    <x v="1"/>
  </r>
  <r>
    <s v="BAT-0477"/>
    <s v="2025-11-06"/>
    <x v="2"/>
    <x v="2"/>
    <x v="1"/>
    <s v="Evening"/>
    <s v="S. Kiptoo"/>
    <n v="1500"/>
    <n v="1388"/>
    <n v="7"/>
    <n v="0.5"/>
    <n v="7.4"/>
    <n v="59.76"/>
    <n v="82946.87999999999"/>
    <n v="418.32"/>
    <x v="1"/>
  </r>
  <r>
    <s v="BAT-0493"/>
    <s v="2025-10-02"/>
    <x v="0"/>
    <x v="1"/>
    <x v="2"/>
    <s v="Evening"/>
    <s v="D. Kamau"/>
    <n v="1594"/>
    <n v="1379"/>
    <n v="43"/>
    <n v="26.6"/>
    <n v="6.6"/>
    <n v="59.91"/>
    <n v="82615.89"/>
    <n v="2576.1299999999997"/>
    <x v="0"/>
  </r>
  <r>
    <s v="BAT-0242"/>
    <s v="2025-08-02"/>
    <x v="2"/>
    <x v="2"/>
    <x v="3"/>
    <s v="Night"/>
    <s v="S. Kiptoo"/>
    <n v="1785"/>
    <n v="1816"/>
    <n v="29"/>
    <n v="34.700000000000003"/>
    <n v="7.9"/>
    <n v="60.36"/>
    <n v="109613.75999999999"/>
    <n v="1750.44"/>
    <x v="1"/>
  </r>
  <r>
    <s v="BAT-0278"/>
    <s v="2025-10-13"/>
    <x v="2"/>
    <x v="2"/>
    <x v="2"/>
    <s v="Evening"/>
    <s v="A. Wanjiku"/>
    <n v="1375"/>
    <n v="1284"/>
    <n v="19"/>
    <n v="33.799999999999997"/>
    <n v="7"/>
    <n v="61.05"/>
    <n v="78388.2"/>
    <n v="1159.95"/>
    <x v="1"/>
  </r>
  <r>
    <s v="BAT-0302"/>
    <s v="2025-10-29"/>
    <x v="1"/>
    <x v="2"/>
    <x v="4"/>
    <s v="Day"/>
    <s v="F. Ali"/>
    <n v="1392"/>
    <n v="1416"/>
    <n v="23"/>
    <n v="132.6"/>
    <n v="6.5"/>
    <n v="61.06"/>
    <n v="86460.96"/>
    <n v="1404.38"/>
    <x v="1"/>
  </r>
  <r>
    <s v="BAT-0294"/>
    <s v="2025-05-02"/>
    <x v="1"/>
    <x v="1"/>
    <x v="1"/>
    <s v="Night"/>
    <s v="J. Mwangi"/>
    <n v="1743"/>
    <n v="1682"/>
    <n v="7"/>
    <n v="46.9"/>
    <n v="7.6"/>
    <n v="61.06"/>
    <n v="102702.92"/>
    <n v="427.42"/>
    <x v="1"/>
  </r>
  <r>
    <s v="BAT-0258"/>
    <s v="2025-02-07"/>
    <x v="1"/>
    <x v="3"/>
    <x v="0"/>
    <s v="Day"/>
    <s v="J. Mwangi"/>
    <n v="1646"/>
    <n v="1378"/>
    <n v="8"/>
    <n v="2.1"/>
    <n v="7.7"/>
    <n v="61.15"/>
    <n v="84264.7"/>
    <n v="489.2"/>
    <x v="1"/>
  </r>
  <r>
    <s v="BAT-0056"/>
    <s v="2025-01-16"/>
    <x v="1"/>
    <x v="2"/>
    <x v="0"/>
    <s v="Day"/>
    <s v="J. Mwangi"/>
    <n v="1439"/>
    <n v="1336"/>
    <n v="12"/>
    <n v="25.2"/>
    <n v="6.2"/>
    <n v="61.42"/>
    <n v="82057.119999999995"/>
    <n v="737.04"/>
    <x v="1"/>
  </r>
  <r>
    <s v="BAT-0553"/>
    <s v="2025-10-30"/>
    <x v="2"/>
    <x v="3"/>
    <x v="0"/>
    <s v="Night"/>
    <s v="R. Njeri"/>
    <n v="1417"/>
    <n v="1164"/>
    <n v="22"/>
    <n v="30"/>
    <n v="6.7"/>
    <n v="61.52"/>
    <n v="71609.279999999999"/>
    <n v="1353.44"/>
    <x v="1"/>
  </r>
  <r>
    <s v="BAT-0542"/>
    <s v="2025-01-21"/>
    <x v="0"/>
    <x v="0"/>
    <x v="4"/>
    <s v="Day"/>
    <s v="S. Kiptoo"/>
    <n v="1005"/>
    <n v="1040"/>
    <n v="4"/>
    <n v="21.9"/>
    <n v="7.7"/>
    <n v="61.65"/>
    <n v="64116"/>
    <n v="246.6"/>
    <x v="1"/>
  </r>
  <r>
    <s v="BAT-0152"/>
    <s v="2025-04-13"/>
    <x v="0"/>
    <x v="4"/>
    <x v="0"/>
    <s v="Evening"/>
    <s v="R. Njeri"/>
    <n v="1175"/>
    <n v="1306"/>
    <n v="27"/>
    <n v="15.4"/>
    <n v="6.8"/>
    <n v="61.91"/>
    <n v="80854.459999999992"/>
    <n v="1671.57"/>
    <x v="0"/>
  </r>
  <r>
    <s v="BAT-0595"/>
    <s v="2025-04-28"/>
    <x v="0"/>
    <x v="2"/>
    <x v="2"/>
    <s v="Evening"/>
    <s v="S. Kiptoo"/>
    <n v="1708"/>
    <n v="1735"/>
    <n v="16"/>
    <n v="49.6"/>
    <n v="7.7"/>
    <n v="63.3"/>
    <n v="109825.5"/>
    <n v="1012.8"/>
    <x v="1"/>
  </r>
  <r>
    <s v="BAT-0563"/>
    <s v="2025-06-29"/>
    <x v="1"/>
    <x v="3"/>
    <x v="1"/>
    <s v="Day"/>
    <s v="D. Kamau"/>
    <n v="966"/>
    <n v="771"/>
    <n v="6"/>
    <n v="151.19999999999999"/>
    <n v="7.8"/>
    <n v="63.35"/>
    <n v="48842.85"/>
    <n v="380.1"/>
    <x v="1"/>
  </r>
  <r>
    <s v="BAT-0248"/>
    <s v="2025-06-01"/>
    <x v="2"/>
    <x v="3"/>
    <x v="4"/>
    <s v="Evening"/>
    <s v="D. Kamau"/>
    <n v="896"/>
    <n v="753"/>
    <n v="9"/>
    <n v="11.4"/>
    <n v="7.2"/>
    <n v="63.68"/>
    <n v="47951.040000000001"/>
    <n v="573.12"/>
    <x v="1"/>
  </r>
  <r>
    <s v="BAT-0144"/>
    <s v="2025-05-30"/>
    <x v="0"/>
    <x v="2"/>
    <x v="3"/>
    <s v="Day"/>
    <s v="A. Wanjiku"/>
    <n v="936"/>
    <n v="853"/>
    <n v="26"/>
    <n v="44.8"/>
    <n v="6.8"/>
    <n v="63.82"/>
    <n v="54438.46"/>
    <n v="1659.32"/>
    <x v="0"/>
  </r>
  <r>
    <s v="BAT-0172"/>
    <s v="2025-02-02"/>
    <x v="2"/>
    <x v="3"/>
    <x v="0"/>
    <s v="Day"/>
    <s v="J. Mwangi"/>
    <n v="1627"/>
    <n v="1801"/>
    <n v="31"/>
    <n v="77.2"/>
    <n v="7"/>
    <n v="63.92"/>
    <n v="115119.92"/>
    <n v="1981.52"/>
    <x v="1"/>
  </r>
  <r>
    <s v="BAT-0011"/>
    <s v="2025-07-12"/>
    <x v="0"/>
    <x v="0"/>
    <x v="3"/>
    <s v="Evening"/>
    <s v="S. Kiptoo"/>
    <n v="1714"/>
    <n v="1784"/>
    <n v="48"/>
    <n v="69.900000000000006"/>
    <n v="6.7"/>
    <n v="64.25"/>
    <n v="114622"/>
    <n v="3084"/>
    <x v="0"/>
  </r>
  <r>
    <s v="BAT-0058"/>
    <s v="2025-02-26"/>
    <x v="1"/>
    <x v="0"/>
    <x v="1"/>
    <s v="Evening"/>
    <s v="P. Otieno"/>
    <n v="1490"/>
    <n v="1172"/>
    <n v="22"/>
    <n v="36.799999999999997"/>
    <n v="6.3"/>
    <n v="64.400000000000006"/>
    <n v="75476.800000000003"/>
    <n v="1416.8000000000002"/>
    <x v="1"/>
  </r>
  <r>
    <s v="BAT-0134"/>
    <s v="2025-07-24"/>
    <x v="1"/>
    <x v="0"/>
    <x v="2"/>
    <s v="Night"/>
    <s v="A. Wanjiku"/>
    <n v="1647"/>
    <n v="1591"/>
    <n v="42"/>
    <n v="33.299999999999997"/>
    <n v="7.2"/>
    <n v="64.72"/>
    <n v="102969.52"/>
    <n v="2718.24"/>
    <x v="0"/>
  </r>
  <r>
    <s v="BAT-0255"/>
    <s v="2025-08-30"/>
    <x v="2"/>
    <x v="4"/>
    <x v="1"/>
    <s v="Night"/>
    <s v="S. Kiptoo"/>
    <n v="901"/>
    <n v="966"/>
    <n v="32"/>
    <n v="30.8"/>
    <n v="7.8"/>
    <n v="64.86"/>
    <n v="62654.76"/>
    <n v="2075.52"/>
    <x v="0"/>
  </r>
  <r>
    <s v="BAT-0543"/>
    <s v="2025-03-13"/>
    <x v="2"/>
    <x v="3"/>
    <x v="2"/>
    <s v="Night"/>
    <s v="J. Mwangi"/>
    <n v="942"/>
    <n v="818"/>
    <n v="18"/>
    <n v="46.1"/>
    <n v="7.2"/>
    <n v="65.069999999999993"/>
    <n v="53227.259999999995"/>
    <n v="1171.2599999999998"/>
    <x v="0"/>
  </r>
  <r>
    <s v="BAT-0184"/>
    <s v="2025-09-12"/>
    <x v="1"/>
    <x v="4"/>
    <x v="3"/>
    <s v="Evening"/>
    <s v="F. Ali"/>
    <n v="766"/>
    <n v="742"/>
    <n v="18"/>
    <n v="107"/>
    <n v="8.4"/>
    <n v="65.11"/>
    <n v="48311.62"/>
    <n v="1171.98"/>
    <x v="0"/>
  </r>
  <r>
    <s v="BAT-0203"/>
    <s v="2025-06-30"/>
    <x v="0"/>
    <x v="0"/>
    <x v="0"/>
    <s v="Evening"/>
    <s v="R. Njeri"/>
    <n v="929"/>
    <n v="877"/>
    <n v="13"/>
    <n v="49.3"/>
    <n v="7.9"/>
    <n v="65.19"/>
    <n v="57171.63"/>
    <n v="847.47"/>
    <x v="1"/>
  </r>
  <r>
    <s v="BAT-0034"/>
    <s v="2025-07-22"/>
    <x v="1"/>
    <x v="3"/>
    <x v="3"/>
    <s v="Night"/>
    <s v="F. Ali"/>
    <n v="827"/>
    <n v="871"/>
    <n v="25"/>
    <n v="3.9"/>
    <n v="8.1"/>
    <n v="65.28"/>
    <n v="56858.879999999997"/>
    <n v="1632"/>
    <x v="0"/>
  </r>
  <r>
    <s v="BAT-0421"/>
    <s v="2025-12-05"/>
    <x v="1"/>
    <x v="3"/>
    <x v="4"/>
    <s v="Evening"/>
    <s v="F. Ali"/>
    <n v="1628"/>
    <n v="1599"/>
    <n v="17"/>
    <n v="85"/>
    <n v="8.1999999999999993"/>
    <n v="65.489999999999995"/>
    <n v="104718.51"/>
    <n v="1113.33"/>
    <x v="1"/>
  </r>
  <r>
    <s v="BAT-0201"/>
    <s v="2025-05-14"/>
    <x v="0"/>
    <x v="1"/>
    <x v="1"/>
    <s v="Evening"/>
    <s v="M. Hassan"/>
    <n v="1318"/>
    <n v="1361"/>
    <n v="37"/>
    <n v="5.8"/>
    <n v="7.9"/>
    <n v="66.05"/>
    <n v="89894.05"/>
    <n v="2443.85"/>
    <x v="0"/>
  </r>
  <r>
    <s v="BAT-0512"/>
    <s v="2025-09-30"/>
    <x v="0"/>
    <x v="3"/>
    <x v="0"/>
    <s v="Night"/>
    <s v="D. Kamau"/>
    <n v="791"/>
    <n v="803"/>
    <n v="7"/>
    <n v="8.1"/>
    <n v="6.3"/>
    <n v="66.260000000000005"/>
    <n v="53206.780000000006"/>
    <n v="463.82000000000005"/>
    <x v="1"/>
  </r>
  <r>
    <s v="BAT-0012"/>
    <s v="2025-12-23"/>
    <x v="1"/>
    <x v="4"/>
    <x v="1"/>
    <s v="Evening"/>
    <s v="A. Wanjiku"/>
    <n v="1552"/>
    <n v="1467"/>
    <n v="48"/>
    <n v="28.4"/>
    <n v="7.1"/>
    <n v="66.680000000000007"/>
    <n v="97819.560000000012"/>
    <n v="3200.6400000000003"/>
    <x v="0"/>
  </r>
  <r>
    <s v="BAT-0396"/>
    <s v="2025-11-16"/>
    <x v="0"/>
    <x v="1"/>
    <x v="1"/>
    <s v="Night"/>
    <s v="F. Ali"/>
    <n v="819"/>
    <n v="711"/>
    <n v="16"/>
    <n v="66.099999999999994"/>
    <n v="7.1"/>
    <n v="66.760000000000005"/>
    <n v="47466.36"/>
    <n v="1068.1600000000001"/>
    <x v="0"/>
  </r>
  <r>
    <s v="BAT-0001"/>
    <s v="2025-02-02"/>
    <x v="1"/>
    <x v="2"/>
    <x v="1"/>
    <s v="Day"/>
    <s v="S. Kiptoo"/>
    <n v="1378"/>
    <n v="1308"/>
    <n v="39"/>
    <n v="26"/>
    <n v="7.2"/>
    <n v="66.91"/>
    <n v="87518.28"/>
    <n v="2609.4899999999998"/>
    <x v="0"/>
  </r>
  <r>
    <s v="BAT-0379"/>
    <s v="2025-05-19"/>
    <x v="2"/>
    <x v="1"/>
    <x v="1"/>
    <s v="Evening"/>
    <s v="P. Otieno"/>
    <n v="942"/>
    <n v="740"/>
    <n v="14"/>
    <n v="37.299999999999997"/>
    <n v="8.3000000000000007"/>
    <n v="66.95"/>
    <n v="49543"/>
    <n v="937.30000000000007"/>
    <x v="1"/>
  </r>
  <r>
    <s v="BAT-0464"/>
    <s v="2025-06-02"/>
    <x v="2"/>
    <x v="0"/>
    <x v="2"/>
    <s v="Day"/>
    <s v="R. Njeri"/>
    <n v="1672"/>
    <n v="1598"/>
    <n v="34"/>
    <n v="24.6"/>
    <n v="7.9"/>
    <n v="67.87"/>
    <n v="108456.26000000001"/>
    <n v="2307.58"/>
    <x v="0"/>
  </r>
  <r>
    <s v="BAT-0067"/>
    <s v="2025-11-27"/>
    <x v="0"/>
    <x v="3"/>
    <x v="0"/>
    <s v="Day"/>
    <s v="R. Njeri"/>
    <n v="1638"/>
    <n v="1563"/>
    <n v="15"/>
    <n v="69.099999999999994"/>
    <n v="6.8"/>
    <n v="68.05"/>
    <n v="106362.15"/>
    <n v="1020.75"/>
    <x v="1"/>
  </r>
  <r>
    <s v="BAT-0263"/>
    <s v="2025-04-20"/>
    <x v="1"/>
    <x v="0"/>
    <x v="3"/>
    <s v="Day"/>
    <s v="M. Hassan"/>
    <n v="1037"/>
    <n v="1075"/>
    <n v="11"/>
    <n v="3.5"/>
    <n v="7.1"/>
    <n v="68.05"/>
    <n v="73153.75"/>
    <n v="748.55"/>
    <x v="1"/>
  </r>
  <r>
    <s v="BAT-0208"/>
    <s v="2025-12-20"/>
    <x v="2"/>
    <x v="0"/>
    <x v="0"/>
    <s v="Evening"/>
    <s v="A. Wanjiku"/>
    <n v="1018"/>
    <n v="985"/>
    <n v="10"/>
    <n v="17.399999999999999"/>
    <n v="8.1"/>
    <n v="68.7"/>
    <n v="67669.5"/>
    <n v="687"/>
    <x v="1"/>
  </r>
  <r>
    <s v="BAT-0547"/>
    <s v="2025-06-06"/>
    <x v="1"/>
    <x v="0"/>
    <x v="3"/>
    <s v="Day"/>
    <s v="S. Kiptoo"/>
    <n v="1627"/>
    <n v="1526"/>
    <n v="34"/>
    <n v="41"/>
    <n v="6.8"/>
    <n v="68.81"/>
    <n v="105004.06"/>
    <n v="2339.54"/>
    <x v="0"/>
  </r>
  <r>
    <s v="BAT-0475"/>
    <s v="2025-08-20"/>
    <x v="2"/>
    <x v="3"/>
    <x v="1"/>
    <s v="Evening"/>
    <s v="M. Hassan"/>
    <n v="770"/>
    <n v="798"/>
    <n v="11"/>
    <n v="101.3"/>
    <n v="7.6"/>
    <n v="69.13"/>
    <n v="55165.74"/>
    <n v="760.43"/>
    <x v="1"/>
  </r>
  <r>
    <s v="BAT-0198"/>
    <s v="2025-02-13"/>
    <x v="2"/>
    <x v="2"/>
    <x v="3"/>
    <s v="Evening"/>
    <s v="F. Ali"/>
    <n v="1046"/>
    <n v="1061"/>
    <n v="5"/>
    <n v="44"/>
    <n v="8.4"/>
    <n v="69.17"/>
    <n v="73389.37"/>
    <n v="345.85"/>
    <x v="1"/>
  </r>
  <r>
    <s v="BAT-0164"/>
    <s v="2025-05-29"/>
    <x v="1"/>
    <x v="1"/>
    <x v="1"/>
    <s v="Evening"/>
    <s v="A. Wanjiku"/>
    <n v="1435"/>
    <n v="1359"/>
    <n v="8"/>
    <n v="56.3"/>
    <n v="8.4"/>
    <n v="69.430000000000007"/>
    <n v="94355.37000000001"/>
    <n v="555.44000000000005"/>
    <x v="1"/>
  </r>
  <r>
    <s v="BAT-0150"/>
    <s v="2025-01-22"/>
    <x v="2"/>
    <x v="4"/>
    <x v="4"/>
    <s v="Night"/>
    <s v="F. Ali"/>
    <n v="1243"/>
    <n v="1270"/>
    <n v="27"/>
    <n v="93.8"/>
    <n v="6.9"/>
    <n v="69.900000000000006"/>
    <n v="88773"/>
    <n v="1887.3000000000002"/>
    <x v="0"/>
  </r>
  <r>
    <s v="BAT-0050"/>
    <s v="2025-10-12"/>
    <x v="1"/>
    <x v="1"/>
    <x v="0"/>
    <s v="Night"/>
    <s v="A. Wanjiku"/>
    <n v="1784"/>
    <n v="1637"/>
    <n v="29"/>
    <n v="20.3"/>
    <n v="8.4"/>
    <n v="70.27"/>
    <n v="115031.98999999999"/>
    <n v="2037.83"/>
    <x v="1"/>
  </r>
  <r>
    <s v="BAT-0237"/>
    <s v="2025-08-31"/>
    <x v="1"/>
    <x v="4"/>
    <x v="1"/>
    <s v="Night"/>
    <s v="D. Kamau"/>
    <n v="1774"/>
    <n v="1603"/>
    <n v="21"/>
    <n v="21.8"/>
    <n v="7.6"/>
    <n v="70.36"/>
    <n v="112787.08"/>
    <n v="1477.56"/>
    <x v="1"/>
  </r>
  <r>
    <s v="BAT-0532"/>
    <s v="2025-03-02"/>
    <x v="2"/>
    <x v="3"/>
    <x v="1"/>
    <s v="Day"/>
    <s v="D. Kamau"/>
    <n v="1757"/>
    <n v="1655"/>
    <n v="39"/>
    <n v="50.9"/>
    <n v="7.9"/>
    <n v="70.739999999999995"/>
    <n v="117074.7"/>
    <n v="2758.8599999999997"/>
    <x v="0"/>
  </r>
  <r>
    <s v="BAT-0322"/>
    <s v="2025-02-09"/>
    <x v="0"/>
    <x v="2"/>
    <x v="2"/>
    <s v="Evening"/>
    <s v="D. Kamau"/>
    <n v="1356"/>
    <n v="1345"/>
    <n v="33"/>
    <n v="76.400000000000006"/>
    <n v="8.4"/>
    <n v="70.95"/>
    <n v="95427.75"/>
    <n v="2341.35"/>
    <x v="0"/>
  </r>
  <r>
    <s v="BAT-0315"/>
    <s v="2025-03-31"/>
    <x v="1"/>
    <x v="2"/>
    <x v="1"/>
    <s v="Evening"/>
    <s v="A. Wanjiku"/>
    <n v="1740"/>
    <n v="1908"/>
    <n v="47"/>
    <n v="33.799999999999997"/>
    <n v="6.7"/>
    <n v="71.16"/>
    <n v="135773.28"/>
    <n v="3344.52"/>
    <x v="0"/>
  </r>
  <r>
    <s v="BAT-0010"/>
    <s v="2025-02-04"/>
    <x v="2"/>
    <x v="3"/>
    <x v="4"/>
    <s v="Evening"/>
    <s v="A. Wanjiku"/>
    <n v="1330"/>
    <n v="1198"/>
    <n v="6"/>
    <n v="50.7"/>
    <n v="7.6"/>
    <n v="71.16"/>
    <n v="85249.68"/>
    <n v="426.96"/>
    <x v="1"/>
  </r>
  <r>
    <s v="BAT-0112"/>
    <s v="2025-10-12"/>
    <x v="2"/>
    <x v="2"/>
    <x v="0"/>
    <s v="Night"/>
    <s v="F. Ali"/>
    <n v="1682"/>
    <n v="1596"/>
    <n v="30"/>
    <n v="42.6"/>
    <n v="8.3000000000000007"/>
    <n v="71.25"/>
    <n v="113715"/>
    <n v="2137.5"/>
    <x v="1"/>
  </r>
  <r>
    <s v="BAT-0358"/>
    <s v="2025-11-22"/>
    <x v="2"/>
    <x v="1"/>
    <x v="0"/>
    <s v="Day"/>
    <s v="A. Wanjiku"/>
    <n v="918"/>
    <n v="1010"/>
    <n v="30"/>
    <n v="41.2"/>
    <n v="8.5"/>
    <n v="71.36"/>
    <n v="72073.600000000006"/>
    <n v="2140.8000000000002"/>
    <x v="0"/>
  </r>
  <r>
    <s v="BAT-0059"/>
    <s v="2025-09-29"/>
    <x v="2"/>
    <x v="3"/>
    <x v="1"/>
    <s v="Day"/>
    <s v="A. Wanjiku"/>
    <n v="790"/>
    <n v="804"/>
    <n v="18"/>
    <n v="41.5"/>
    <n v="6.9"/>
    <n v="71.39"/>
    <n v="57397.56"/>
    <n v="1285.02"/>
    <x v="0"/>
  </r>
  <r>
    <s v="BAT-0354"/>
    <s v="2025-06-08"/>
    <x v="1"/>
    <x v="1"/>
    <x v="1"/>
    <s v="Night"/>
    <s v="F. Ali"/>
    <n v="1550"/>
    <n v="1495"/>
    <n v="49"/>
    <n v="82.2"/>
    <n v="7.4"/>
    <n v="71.66"/>
    <n v="107131.7"/>
    <n v="3511.3399999999997"/>
    <x v="0"/>
  </r>
  <r>
    <s v="BAT-0540"/>
    <s v="2025-01-08"/>
    <x v="1"/>
    <x v="0"/>
    <x v="0"/>
    <s v="Night"/>
    <s v="M. Hassan"/>
    <n v="1575"/>
    <n v="1480"/>
    <n v="15"/>
    <n v="8.9"/>
    <n v="6.7"/>
    <n v="71.849999999999994"/>
    <n v="106337.99999999999"/>
    <n v="1077.75"/>
    <x v="1"/>
  </r>
  <r>
    <s v="BAT-0468"/>
    <s v="2025-08-06"/>
    <x v="2"/>
    <x v="4"/>
    <x v="2"/>
    <s v="Day"/>
    <s v="R. Njeri"/>
    <n v="1356"/>
    <n v="1376"/>
    <n v="11"/>
    <n v="19.100000000000001"/>
    <n v="7.3"/>
    <n v="71.89"/>
    <n v="98920.639999999999"/>
    <n v="790.79"/>
    <x v="1"/>
  </r>
  <r>
    <s v="BAT-0160"/>
    <s v="2025-10-14"/>
    <x v="1"/>
    <x v="3"/>
    <x v="2"/>
    <s v="Night"/>
    <s v="M. Hassan"/>
    <n v="1760"/>
    <n v="1797"/>
    <n v="61"/>
    <n v="56.8"/>
    <n v="7.5"/>
    <n v="71.97"/>
    <n v="129330.09"/>
    <n v="4390.17"/>
    <x v="0"/>
  </r>
  <r>
    <s v="BAT-0313"/>
    <s v="2025-02-13"/>
    <x v="0"/>
    <x v="0"/>
    <x v="2"/>
    <s v="Day"/>
    <s v="R. Njeri"/>
    <n v="782"/>
    <n v="726"/>
    <n v="7"/>
    <n v="20.9"/>
    <n v="7.4"/>
    <n v="72.13"/>
    <n v="52366.38"/>
    <n v="504.90999999999997"/>
    <x v="1"/>
  </r>
  <r>
    <s v="BAT-0027"/>
    <s v="2025-05-27"/>
    <x v="2"/>
    <x v="0"/>
    <x v="1"/>
    <s v="Evening"/>
    <s v="R. Njeri"/>
    <n v="1460"/>
    <n v="1686"/>
    <n v="20"/>
    <n v="125.3"/>
    <n v="6.8"/>
    <n v="72.34"/>
    <n v="121965.24"/>
    <n v="1446.8000000000002"/>
    <x v="1"/>
  </r>
  <r>
    <s v="BAT-0310"/>
    <s v="2025-02-09"/>
    <x v="2"/>
    <x v="1"/>
    <x v="0"/>
    <s v="Evening"/>
    <s v="F. Ali"/>
    <n v="1144"/>
    <n v="871"/>
    <n v="25"/>
    <n v="77.599999999999994"/>
    <n v="6.3"/>
    <n v="72.41"/>
    <n v="63069.11"/>
    <n v="1810.25"/>
    <x v="0"/>
  </r>
  <r>
    <s v="BAT-0165"/>
    <s v="2025-06-02"/>
    <x v="2"/>
    <x v="3"/>
    <x v="3"/>
    <s v="Day"/>
    <s v="P. Otieno"/>
    <n v="947"/>
    <n v="1085"/>
    <n v="33"/>
    <n v="46.4"/>
    <n v="7.6"/>
    <n v="72.489999999999995"/>
    <n v="78651.649999999994"/>
    <n v="2392.1699999999996"/>
    <x v="0"/>
  </r>
  <r>
    <s v="BAT-0558"/>
    <s v="2025-11-16"/>
    <x v="2"/>
    <x v="0"/>
    <x v="0"/>
    <s v="Night"/>
    <s v="D. Kamau"/>
    <n v="1788"/>
    <n v="1628"/>
    <n v="30"/>
    <n v="9.6"/>
    <n v="6.4"/>
    <n v="72.88"/>
    <n v="118648.64"/>
    <n v="2186.3999999999996"/>
    <x v="1"/>
  </r>
  <r>
    <s v="BAT-0483"/>
    <s v="2025-04-02"/>
    <x v="2"/>
    <x v="4"/>
    <x v="3"/>
    <s v="Day"/>
    <s v="R. Njeri"/>
    <n v="1574"/>
    <n v="1385"/>
    <n v="22"/>
    <n v="11.6"/>
    <n v="7.4"/>
    <n v="72.91"/>
    <n v="100980.34999999999"/>
    <n v="1604.02"/>
    <x v="1"/>
  </r>
  <r>
    <s v="BAT-0455"/>
    <s v="2025-08-06"/>
    <x v="1"/>
    <x v="0"/>
    <x v="0"/>
    <s v="Night"/>
    <s v="S. Kiptoo"/>
    <n v="812"/>
    <n v="734"/>
    <n v="12"/>
    <n v="33.4"/>
    <n v="6.2"/>
    <n v="73.040000000000006"/>
    <n v="53611.360000000008"/>
    <n v="876.48"/>
    <x v="1"/>
  </r>
  <r>
    <s v="BAT-0101"/>
    <s v="2025-10-31"/>
    <x v="0"/>
    <x v="4"/>
    <x v="3"/>
    <s v="Night"/>
    <s v="A. Wanjiku"/>
    <n v="781"/>
    <n v="705"/>
    <n v="14"/>
    <n v="28"/>
    <n v="7.3"/>
    <n v="73.19"/>
    <n v="51598.95"/>
    <n v="1024.6599999999999"/>
    <x v="1"/>
  </r>
  <r>
    <s v="BAT-0131"/>
    <s v="2025-07-26"/>
    <x v="1"/>
    <x v="4"/>
    <x v="1"/>
    <s v="Day"/>
    <s v="P. Otieno"/>
    <n v="1708"/>
    <n v="1577"/>
    <n v="7"/>
    <n v="42.6"/>
    <n v="6"/>
    <n v="73.41"/>
    <n v="115767.56999999999"/>
    <n v="513.87"/>
    <x v="1"/>
  </r>
  <r>
    <s v="BAT-0180"/>
    <s v="2025-07-02"/>
    <x v="2"/>
    <x v="0"/>
    <x v="2"/>
    <s v="Evening"/>
    <s v="F. Ali"/>
    <n v="1419"/>
    <n v="1230"/>
    <n v="24"/>
    <n v="14.2"/>
    <n v="7.3"/>
    <n v="73.459999999999994"/>
    <n v="90355.799999999988"/>
    <n v="1763.04"/>
    <x v="1"/>
  </r>
  <r>
    <s v="BAT-0326"/>
    <s v="2025-03-26"/>
    <x v="2"/>
    <x v="4"/>
    <x v="1"/>
    <s v="Evening"/>
    <s v="M. Hassan"/>
    <n v="775"/>
    <n v="703"/>
    <n v="15"/>
    <n v="54.1"/>
    <n v="7.7"/>
    <n v="73.52"/>
    <n v="51684.56"/>
    <n v="1102.8"/>
    <x v="0"/>
  </r>
  <r>
    <s v="BAT-0541"/>
    <s v="2025-09-16"/>
    <x v="0"/>
    <x v="1"/>
    <x v="2"/>
    <s v="Day"/>
    <s v="R. Njeri"/>
    <n v="1257"/>
    <n v="1280"/>
    <n v="12"/>
    <n v="30.6"/>
    <n v="8"/>
    <n v="73.569999999999993"/>
    <n v="94169.599999999991"/>
    <n v="882.83999999999992"/>
    <x v="1"/>
  </r>
  <r>
    <s v="BAT-0177"/>
    <s v="2025-09-19"/>
    <x v="1"/>
    <x v="3"/>
    <x v="2"/>
    <s v="Day"/>
    <s v="P. Otieno"/>
    <n v="1650"/>
    <n v="1325"/>
    <n v="7"/>
    <n v="78.900000000000006"/>
    <n v="6.6"/>
    <n v="73.61"/>
    <n v="97533.25"/>
    <n v="515.27"/>
    <x v="1"/>
  </r>
  <r>
    <s v="BAT-0586"/>
    <s v="2025-12-04"/>
    <x v="0"/>
    <x v="0"/>
    <x v="3"/>
    <s v="Night"/>
    <s v="D. Kamau"/>
    <n v="1129"/>
    <n v="1022"/>
    <n v="11"/>
    <n v="50"/>
    <n v="7.3"/>
    <n v="73.63"/>
    <n v="75249.86"/>
    <n v="809.93"/>
    <x v="1"/>
  </r>
  <r>
    <s v="BAT-0387"/>
    <s v="2025-01-25"/>
    <x v="1"/>
    <x v="2"/>
    <x v="3"/>
    <s v="Evening"/>
    <s v="F. Ali"/>
    <n v="1749"/>
    <n v="1604"/>
    <n v="45"/>
    <n v="165.7"/>
    <n v="7.1"/>
    <n v="73.66"/>
    <n v="118150.64"/>
    <n v="3314.7"/>
    <x v="0"/>
  </r>
  <r>
    <s v="BAT-0446"/>
    <s v="2025-08-30"/>
    <x v="0"/>
    <x v="2"/>
    <x v="3"/>
    <s v="Night"/>
    <s v="F. Ali"/>
    <n v="1008"/>
    <n v="994"/>
    <n v="23"/>
    <n v="13.6"/>
    <n v="7.2"/>
    <n v="73.8"/>
    <n v="73357.2"/>
    <n v="1697.3999999999999"/>
    <x v="0"/>
  </r>
  <r>
    <s v="BAT-0240"/>
    <s v="2025-08-17"/>
    <x v="2"/>
    <x v="1"/>
    <x v="2"/>
    <s v="Night"/>
    <s v="R. Njeri"/>
    <n v="1015"/>
    <n v="947"/>
    <n v="28"/>
    <n v="77"/>
    <n v="6.8"/>
    <n v="73.86"/>
    <n v="69945.42"/>
    <n v="2068.08"/>
    <x v="0"/>
  </r>
  <r>
    <s v="BAT-0560"/>
    <s v="2025-11-07"/>
    <x v="0"/>
    <x v="4"/>
    <x v="1"/>
    <s v="Evening"/>
    <s v="P. Otieno"/>
    <n v="857"/>
    <n v="757"/>
    <n v="18"/>
    <n v="33.799999999999997"/>
    <n v="6.2"/>
    <n v="74.010000000000005"/>
    <n v="56025.570000000007"/>
    <n v="1332.18"/>
    <x v="0"/>
  </r>
  <r>
    <s v="BAT-0467"/>
    <s v="2025-03-02"/>
    <x v="0"/>
    <x v="4"/>
    <x v="1"/>
    <s v="Night"/>
    <s v="F. Ali"/>
    <n v="1650"/>
    <n v="1761"/>
    <n v="41"/>
    <n v="22.6"/>
    <n v="6.3"/>
    <n v="74.010000000000005"/>
    <n v="130331.61000000002"/>
    <n v="3034.4100000000003"/>
    <x v="0"/>
  </r>
  <r>
    <s v="BAT-0569"/>
    <s v="2025-08-23"/>
    <x v="1"/>
    <x v="2"/>
    <x v="0"/>
    <s v="Evening"/>
    <s v="M. Hassan"/>
    <n v="1593"/>
    <n v="1560"/>
    <n v="23"/>
    <n v="54.9"/>
    <n v="8.1"/>
    <n v="74.180000000000007"/>
    <n v="115720.80000000002"/>
    <n v="1706.14"/>
    <x v="1"/>
  </r>
  <r>
    <s v="BAT-0348"/>
    <s v="2025-12-08"/>
    <x v="0"/>
    <x v="3"/>
    <x v="1"/>
    <s v="Night"/>
    <s v="R. Njeri"/>
    <n v="1610"/>
    <n v="1511"/>
    <n v="13"/>
    <n v="4.0999999999999996"/>
    <n v="6"/>
    <n v="74.55"/>
    <n v="112645.05"/>
    <n v="969.15"/>
    <x v="1"/>
  </r>
  <r>
    <s v="BAT-0361"/>
    <s v="2025-11-05"/>
    <x v="0"/>
    <x v="3"/>
    <x v="2"/>
    <s v="Evening"/>
    <s v="A. Wanjiku"/>
    <n v="1319"/>
    <n v="1240"/>
    <n v="22"/>
    <n v="59.7"/>
    <n v="7.5"/>
    <n v="74.8"/>
    <n v="92752"/>
    <n v="1645.6"/>
    <x v="1"/>
  </r>
  <r>
    <s v="BAT-0136"/>
    <s v="2025-04-21"/>
    <x v="2"/>
    <x v="1"/>
    <x v="2"/>
    <s v="Evening"/>
    <s v="S. Kiptoo"/>
    <n v="941"/>
    <n v="1000"/>
    <n v="7"/>
    <n v="37.4"/>
    <n v="7.6"/>
    <n v="74.989999999999995"/>
    <n v="74990"/>
    <n v="524.92999999999995"/>
    <x v="1"/>
  </r>
  <r>
    <s v="BAT-0110"/>
    <s v="2025-09-15"/>
    <x v="2"/>
    <x v="0"/>
    <x v="4"/>
    <s v="Evening"/>
    <s v="F. Ali"/>
    <n v="1051"/>
    <n v="848"/>
    <n v="25"/>
    <n v="38.799999999999997"/>
    <n v="6.1"/>
    <n v="75.099999999999994"/>
    <n v="63684.799999999996"/>
    <n v="1877.4999999999998"/>
    <x v="0"/>
  </r>
  <r>
    <s v="BAT-0505"/>
    <s v="2025-04-11"/>
    <x v="2"/>
    <x v="2"/>
    <x v="3"/>
    <s v="Day"/>
    <s v="M. Hassan"/>
    <n v="1185"/>
    <n v="1179"/>
    <n v="26"/>
    <n v="46.5"/>
    <n v="6.7"/>
    <n v="75.27"/>
    <n v="88743.33"/>
    <n v="1957.02"/>
    <x v="0"/>
  </r>
  <r>
    <s v="BAT-0151"/>
    <s v="2025-11-09"/>
    <x v="0"/>
    <x v="3"/>
    <x v="4"/>
    <s v="Day"/>
    <s v="M. Hassan"/>
    <n v="1184"/>
    <n v="1144"/>
    <n v="17"/>
    <n v="22.5"/>
    <n v="6.8"/>
    <n v="75.28"/>
    <n v="86120.320000000007"/>
    <n v="1279.76"/>
    <x v="1"/>
  </r>
  <r>
    <s v="BAT-0291"/>
    <s v="2025-10-22"/>
    <x v="2"/>
    <x v="1"/>
    <x v="4"/>
    <s v="Evening"/>
    <s v="M. Hassan"/>
    <n v="832"/>
    <n v="855"/>
    <n v="5"/>
    <n v="16.2"/>
    <n v="8.5"/>
    <n v="75.83"/>
    <n v="64834.65"/>
    <n v="379.15"/>
    <x v="1"/>
  </r>
  <r>
    <s v="BAT-0015"/>
    <s v="2025-09-19"/>
    <x v="2"/>
    <x v="3"/>
    <x v="2"/>
    <s v="Night"/>
    <s v="P. Otieno"/>
    <n v="1226"/>
    <n v="1120"/>
    <n v="32"/>
    <n v="35.200000000000003"/>
    <n v="6.7"/>
    <n v="76.239999999999995"/>
    <n v="85388.799999999988"/>
    <n v="2439.6799999999998"/>
    <x v="0"/>
  </r>
  <r>
    <s v="BAT-0545"/>
    <s v="2025-10-31"/>
    <x v="2"/>
    <x v="3"/>
    <x v="1"/>
    <s v="Night"/>
    <s v="P. Otieno"/>
    <n v="871"/>
    <n v="793"/>
    <n v="25"/>
    <n v="21.2"/>
    <n v="7.8"/>
    <n v="76.88"/>
    <n v="60965.84"/>
    <n v="1922"/>
    <x v="0"/>
  </r>
  <r>
    <s v="BAT-0206"/>
    <s v="2025-04-08"/>
    <x v="0"/>
    <x v="3"/>
    <x v="0"/>
    <s v="Evening"/>
    <s v="F. Ali"/>
    <n v="1460"/>
    <n v="1393"/>
    <n v="13"/>
    <n v="72.8"/>
    <n v="6.5"/>
    <n v="76.91"/>
    <n v="107135.62999999999"/>
    <n v="999.82999999999993"/>
    <x v="1"/>
  </r>
  <r>
    <s v="BAT-0085"/>
    <s v="2025-08-18"/>
    <x v="1"/>
    <x v="4"/>
    <x v="2"/>
    <s v="Day"/>
    <s v="S. Kiptoo"/>
    <n v="1095"/>
    <n v="998"/>
    <n v="32"/>
    <n v="87.7"/>
    <n v="6.5"/>
    <n v="77.66"/>
    <n v="77504.679999999993"/>
    <n v="2485.12"/>
    <x v="0"/>
  </r>
  <r>
    <s v="BAT-0305"/>
    <s v="2025-07-18"/>
    <x v="0"/>
    <x v="2"/>
    <x v="4"/>
    <s v="Day"/>
    <s v="R. Njeri"/>
    <n v="780"/>
    <n v="690"/>
    <n v="23"/>
    <n v="30.8"/>
    <n v="7.9"/>
    <n v="77.900000000000006"/>
    <n v="53751.000000000007"/>
    <n v="1791.7"/>
    <x v="0"/>
  </r>
  <r>
    <s v="BAT-0215"/>
    <s v="2025-09-26"/>
    <x v="1"/>
    <x v="3"/>
    <x v="4"/>
    <s v="Evening"/>
    <s v="P. Otieno"/>
    <n v="1199"/>
    <n v="1241"/>
    <n v="17"/>
    <n v="35.799999999999997"/>
    <n v="7.6"/>
    <n v="78.19"/>
    <n v="97033.79"/>
    <n v="1329.23"/>
    <x v="1"/>
  </r>
  <r>
    <s v="BAT-0268"/>
    <s v="2025-05-07"/>
    <x v="2"/>
    <x v="0"/>
    <x v="4"/>
    <s v="Evening"/>
    <s v="F. Ali"/>
    <n v="746"/>
    <n v="633"/>
    <n v="11"/>
    <n v="75.400000000000006"/>
    <n v="8.4"/>
    <n v="78.31"/>
    <n v="49570.23"/>
    <n v="861.41000000000008"/>
    <x v="1"/>
  </r>
  <r>
    <s v="BAT-0250"/>
    <s v="2025-01-16"/>
    <x v="1"/>
    <x v="2"/>
    <x v="4"/>
    <s v="Day"/>
    <s v="R. Njeri"/>
    <n v="947"/>
    <n v="808"/>
    <n v="20"/>
    <n v="37.9"/>
    <n v="6.3"/>
    <n v="78.33"/>
    <n v="63290.64"/>
    <n v="1566.6"/>
    <x v="0"/>
  </r>
  <r>
    <s v="BAT-0182"/>
    <s v="2025-02-25"/>
    <x v="0"/>
    <x v="3"/>
    <x v="3"/>
    <s v="Day"/>
    <s v="S. Kiptoo"/>
    <n v="1795"/>
    <n v="1697"/>
    <n v="30"/>
    <n v="40.6"/>
    <n v="8.1999999999999993"/>
    <n v="78.400000000000006"/>
    <n v="133044.80000000002"/>
    <n v="2352"/>
    <x v="1"/>
  </r>
  <r>
    <s v="BAT-0451"/>
    <s v="2025-12-17"/>
    <x v="0"/>
    <x v="4"/>
    <x v="4"/>
    <s v="Evening"/>
    <s v="J. Mwangi"/>
    <n v="1591"/>
    <n v="1617"/>
    <n v="40"/>
    <n v="54.4"/>
    <n v="6.2"/>
    <n v="78.59"/>
    <n v="127080.03"/>
    <n v="3143.6000000000004"/>
    <x v="0"/>
  </r>
  <r>
    <s v="BAT-0189"/>
    <s v="2025-03-29"/>
    <x v="1"/>
    <x v="1"/>
    <x v="3"/>
    <s v="Day"/>
    <s v="R. Njeri"/>
    <n v="1128"/>
    <n v="1013"/>
    <n v="25"/>
    <n v="31.7"/>
    <n v="6.2"/>
    <n v="79.099999999999994"/>
    <n v="80128.299999999988"/>
    <n v="1977.4999999999998"/>
    <x v="0"/>
  </r>
  <r>
    <s v="BAT-0453"/>
    <s v="2025-07-02"/>
    <x v="2"/>
    <x v="1"/>
    <x v="2"/>
    <s v="Day"/>
    <s v="S. Kiptoo"/>
    <n v="1733"/>
    <n v="1438"/>
    <n v="36"/>
    <n v="27.1"/>
    <n v="8"/>
    <n v="79.400000000000006"/>
    <n v="114177.20000000001"/>
    <n v="2858.4"/>
    <x v="0"/>
  </r>
  <r>
    <s v="BAT-0360"/>
    <s v="2025-10-01"/>
    <x v="0"/>
    <x v="3"/>
    <x v="4"/>
    <s v="Night"/>
    <s v="D. Kamau"/>
    <n v="1596"/>
    <n v="1445"/>
    <n v="22"/>
    <n v="86.4"/>
    <n v="6.6"/>
    <n v="80.430000000000007"/>
    <n v="116221.35"/>
    <n v="1769.46"/>
    <x v="1"/>
  </r>
  <r>
    <s v="BAT-0352"/>
    <s v="2025-01-17"/>
    <x v="2"/>
    <x v="0"/>
    <x v="3"/>
    <s v="Night"/>
    <s v="D. Kamau"/>
    <n v="1152"/>
    <n v="906"/>
    <n v="28"/>
    <n v="47.5"/>
    <n v="8"/>
    <n v="80.59"/>
    <n v="73014.540000000008"/>
    <n v="2256.52"/>
    <x v="0"/>
  </r>
  <r>
    <s v="BAT-0032"/>
    <s v="2025-03-24"/>
    <x v="0"/>
    <x v="1"/>
    <x v="3"/>
    <s v="Day"/>
    <s v="A. Wanjiku"/>
    <n v="1174"/>
    <n v="1120"/>
    <n v="14"/>
    <n v="27.9"/>
    <n v="8.1"/>
    <n v="80.760000000000005"/>
    <n v="90451.200000000012"/>
    <n v="1130.6400000000001"/>
    <x v="1"/>
  </r>
  <r>
    <s v="BAT-0156"/>
    <s v="2025-08-30"/>
    <x v="0"/>
    <x v="3"/>
    <x v="0"/>
    <s v="Night"/>
    <s v="P. Otieno"/>
    <n v="757"/>
    <n v="849"/>
    <n v="22"/>
    <n v="43"/>
    <n v="8.1"/>
    <n v="81.05"/>
    <n v="68811.45"/>
    <n v="1783.1"/>
    <x v="0"/>
  </r>
  <r>
    <s v="BAT-0148"/>
    <s v="2025-03-27"/>
    <x v="2"/>
    <x v="2"/>
    <x v="2"/>
    <s v="Night"/>
    <s v="J. Mwangi"/>
    <n v="1530"/>
    <n v="1380"/>
    <n v="11"/>
    <n v="49.6"/>
    <n v="8.4"/>
    <n v="81.33"/>
    <n v="112235.4"/>
    <n v="894.63"/>
    <x v="1"/>
  </r>
  <r>
    <s v="BAT-0043"/>
    <s v="2025-09-13"/>
    <x v="2"/>
    <x v="1"/>
    <x v="2"/>
    <s v="Day"/>
    <s v="P. Otieno"/>
    <n v="1458"/>
    <n v="1386"/>
    <n v="41"/>
    <n v="24.8"/>
    <n v="6.9"/>
    <n v="81.349999999999994"/>
    <n v="112751.09999999999"/>
    <n v="3335.35"/>
    <x v="0"/>
  </r>
  <r>
    <s v="BAT-0580"/>
    <s v="2025-02-07"/>
    <x v="0"/>
    <x v="3"/>
    <x v="4"/>
    <s v="Night"/>
    <s v="S. Kiptoo"/>
    <n v="1425"/>
    <n v="1392"/>
    <n v="41"/>
    <n v="29.3"/>
    <n v="7.9"/>
    <n v="81.540000000000006"/>
    <n v="113503.68000000001"/>
    <n v="3343.1400000000003"/>
    <x v="0"/>
  </r>
  <r>
    <s v="BAT-0502"/>
    <s v="2025-08-26"/>
    <x v="2"/>
    <x v="3"/>
    <x v="0"/>
    <s v="Evening"/>
    <s v="F. Ali"/>
    <n v="1585"/>
    <n v="1501"/>
    <n v="18"/>
    <n v="42.7"/>
    <n v="6.3"/>
    <n v="81.650000000000006"/>
    <n v="122556.65000000001"/>
    <n v="1469.7"/>
    <x v="1"/>
  </r>
  <r>
    <s v="BAT-0269"/>
    <s v="2025-08-12"/>
    <x v="2"/>
    <x v="1"/>
    <x v="3"/>
    <s v="Day"/>
    <s v="A. Wanjiku"/>
    <n v="720"/>
    <n v="702"/>
    <n v="11"/>
    <n v="31.5"/>
    <n v="8.3000000000000007"/>
    <n v="81.81"/>
    <n v="57430.62"/>
    <n v="899.91000000000008"/>
    <x v="1"/>
  </r>
  <r>
    <s v="BAT-0285"/>
    <s v="2025-06-11"/>
    <x v="1"/>
    <x v="4"/>
    <x v="1"/>
    <s v="Night"/>
    <s v="D. Kamau"/>
    <n v="1648"/>
    <n v="1709"/>
    <n v="27"/>
    <n v="49.4"/>
    <n v="6.6"/>
    <n v="81.84"/>
    <n v="139864.56"/>
    <n v="2209.6800000000003"/>
    <x v="1"/>
  </r>
  <r>
    <s v="BAT-0021"/>
    <s v="2025-07-02"/>
    <x v="0"/>
    <x v="4"/>
    <x v="0"/>
    <s v="Day"/>
    <s v="M. Hassan"/>
    <n v="832"/>
    <n v="889"/>
    <n v="8"/>
    <n v="82.1"/>
    <n v="6.3"/>
    <n v="82.08"/>
    <n v="72969.119999999995"/>
    <n v="656.64"/>
    <x v="1"/>
  </r>
  <r>
    <s v="BAT-0490"/>
    <s v="2025-08-10"/>
    <x v="0"/>
    <x v="2"/>
    <x v="1"/>
    <s v="Night"/>
    <s v="A. Wanjiku"/>
    <n v="1755"/>
    <n v="1702"/>
    <n v="11"/>
    <n v="25.3"/>
    <n v="7"/>
    <n v="82.26"/>
    <n v="140006.52000000002"/>
    <n v="904.86"/>
    <x v="1"/>
  </r>
  <r>
    <s v="BAT-0341"/>
    <s v="2025-08-20"/>
    <x v="1"/>
    <x v="0"/>
    <x v="0"/>
    <s v="Day"/>
    <s v="M. Hassan"/>
    <n v="738"/>
    <n v="643"/>
    <n v="2"/>
    <n v="38.4"/>
    <n v="7.3"/>
    <n v="82.41"/>
    <n v="52989.63"/>
    <n v="164.82"/>
    <x v="1"/>
  </r>
  <r>
    <s v="BAT-0068"/>
    <s v="2025-05-16"/>
    <x v="1"/>
    <x v="1"/>
    <x v="2"/>
    <s v="Night"/>
    <s v="M. Hassan"/>
    <n v="822"/>
    <n v="842"/>
    <n v="25"/>
    <n v="31.9"/>
    <n v="6"/>
    <n v="82.54"/>
    <n v="69498.680000000008"/>
    <n v="2063.5"/>
    <x v="0"/>
  </r>
  <r>
    <s v="BAT-0026"/>
    <s v="2025-08-24"/>
    <x v="0"/>
    <x v="0"/>
    <x v="3"/>
    <s v="Evening"/>
    <s v="J. Mwangi"/>
    <n v="1204"/>
    <n v="978"/>
    <n v="32"/>
    <n v="69.900000000000006"/>
    <n v="6.4"/>
    <n v="82.56"/>
    <n v="80743.680000000008"/>
    <n v="2641.92"/>
    <x v="0"/>
  </r>
  <r>
    <s v="BAT-0600"/>
    <s v="2025-08-23"/>
    <x v="1"/>
    <x v="0"/>
    <x v="3"/>
    <s v="Day"/>
    <s v="R. Njeri"/>
    <n v="736"/>
    <n v="691"/>
    <n v="20"/>
    <n v="40.5"/>
    <n v="7.2"/>
    <n v="82.62"/>
    <n v="57090.420000000006"/>
    <n v="1652.4"/>
    <x v="0"/>
  </r>
  <r>
    <s v="BAT-0583"/>
    <s v="2025-02-08"/>
    <x v="0"/>
    <x v="1"/>
    <x v="1"/>
    <s v="Day"/>
    <s v="M. Hassan"/>
    <n v="1587"/>
    <n v="1408"/>
    <n v="32"/>
    <n v="36.799999999999997"/>
    <n v="7.1"/>
    <n v="82.81"/>
    <n v="116596.48000000001"/>
    <n v="2649.92"/>
    <x v="0"/>
  </r>
  <r>
    <s v="BAT-0549"/>
    <s v="2025-07-08"/>
    <x v="1"/>
    <x v="2"/>
    <x v="1"/>
    <s v="Night"/>
    <s v="J. Mwangi"/>
    <n v="815"/>
    <n v="747"/>
    <n v="15"/>
    <n v="16.399999999999999"/>
    <n v="8"/>
    <n v="82.94"/>
    <n v="61956.18"/>
    <n v="1244.0999999999999"/>
    <x v="0"/>
  </r>
  <r>
    <s v="BAT-0527"/>
    <s v="2025-12-04"/>
    <x v="1"/>
    <x v="4"/>
    <x v="2"/>
    <s v="Evening"/>
    <s v="S. Kiptoo"/>
    <n v="866"/>
    <n v="713"/>
    <n v="3"/>
    <n v="118.6"/>
    <n v="8"/>
    <n v="83.09"/>
    <n v="59243.170000000006"/>
    <n v="249.27"/>
    <x v="1"/>
  </r>
  <r>
    <s v="BAT-0264"/>
    <s v="2025-12-04"/>
    <x v="2"/>
    <x v="3"/>
    <x v="4"/>
    <s v="Day"/>
    <s v="F. Ali"/>
    <n v="1111"/>
    <n v="1004"/>
    <n v="22"/>
    <n v="33.1"/>
    <n v="6.1"/>
    <n v="83.42"/>
    <n v="83753.680000000008"/>
    <n v="1835.24"/>
    <x v="0"/>
  </r>
  <r>
    <s v="BAT-0174"/>
    <s v="2025-09-21"/>
    <x v="1"/>
    <x v="2"/>
    <x v="1"/>
    <s v="Night"/>
    <s v="M. Hassan"/>
    <n v="1131"/>
    <n v="1024"/>
    <n v="35"/>
    <n v="46.2"/>
    <n v="6.5"/>
    <n v="83.5"/>
    <n v="85504"/>
    <n v="2922.5"/>
    <x v="0"/>
  </r>
  <r>
    <s v="BAT-0582"/>
    <s v="2025-11-01"/>
    <x v="2"/>
    <x v="4"/>
    <x v="4"/>
    <s v="Evening"/>
    <s v="M. Hassan"/>
    <n v="1545"/>
    <n v="1581"/>
    <n v="55"/>
    <n v="28"/>
    <n v="6.4"/>
    <n v="83.88"/>
    <n v="132614.28"/>
    <n v="4613.3999999999996"/>
    <x v="0"/>
  </r>
  <r>
    <s v="BAT-0550"/>
    <s v="2025-09-06"/>
    <x v="0"/>
    <x v="3"/>
    <x v="0"/>
    <s v="Day"/>
    <s v="P. Otieno"/>
    <n v="1112"/>
    <n v="1174"/>
    <n v="18"/>
    <n v="77.5"/>
    <n v="6.8"/>
    <n v="83.88"/>
    <n v="98475.12"/>
    <n v="1509.84"/>
    <x v="1"/>
  </r>
  <r>
    <s v="BAT-0331"/>
    <s v="2025-07-19"/>
    <x v="1"/>
    <x v="2"/>
    <x v="0"/>
    <s v="Evening"/>
    <s v="S. Kiptoo"/>
    <n v="1118"/>
    <n v="989"/>
    <n v="30"/>
    <n v="18.2"/>
    <n v="7.8"/>
    <n v="84.01"/>
    <n v="83085.89"/>
    <n v="2520.3000000000002"/>
    <x v="0"/>
  </r>
  <r>
    <s v="BAT-0259"/>
    <s v="2025-03-05"/>
    <x v="1"/>
    <x v="0"/>
    <x v="2"/>
    <s v="Evening"/>
    <s v="J. Mwangi"/>
    <n v="1041"/>
    <n v="1207"/>
    <n v="16"/>
    <n v="33.799999999999997"/>
    <n v="8.1"/>
    <n v="84.05"/>
    <n v="101448.34999999999"/>
    <n v="1344.8"/>
    <x v="1"/>
  </r>
  <r>
    <s v="BAT-0083"/>
    <s v="2025-02-28"/>
    <x v="1"/>
    <x v="3"/>
    <x v="2"/>
    <s v="Evening"/>
    <s v="J. Mwangi"/>
    <n v="994"/>
    <n v="830"/>
    <n v="2"/>
    <n v="24.5"/>
    <n v="8"/>
    <n v="84.07"/>
    <n v="69778.099999999991"/>
    <n v="168.14"/>
    <x v="1"/>
  </r>
  <r>
    <s v="BAT-0462"/>
    <s v="2025-02-21"/>
    <x v="0"/>
    <x v="4"/>
    <x v="0"/>
    <s v="Day"/>
    <s v="D. Kamau"/>
    <n v="1365"/>
    <n v="1259"/>
    <n v="18"/>
    <n v="42.3"/>
    <n v="6.9"/>
    <n v="84.63"/>
    <n v="106549.17"/>
    <n v="1523.34"/>
    <x v="1"/>
  </r>
  <r>
    <s v="BAT-0390"/>
    <s v="2025-02-25"/>
    <x v="2"/>
    <x v="1"/>
    <x v="0"/>
    <s v="Day"/>
    <s v="R. Njeri"/>
    <n v="1114"/>
    <n v="1011"/>
    <n v="17"/>
    <n v="71.400000000000006"/>
    <n v="7"/>
    <n v="84.71"/>
    <n v="85641.81"/>
    <n v="1440.07"/>
    <x v="1"/>
  </r>
  <r>
    <s v="BAT-0239"/>
    <s v="2025-04-23"/>
    <x v="2"/>
    <x v="3"/>
    <x v="2"/>
    <s v="Evening"/>
    <s v="R. Njeri"/>
    <n v="1498"/>
    <n v="1437"/>
    <n v="49"/>
    <n v="37"/>
    <n v="8.5"/>
    <n v="84.9"/>
    <n v="122001.3"/>
    <n v="4160.1000000000004"/>
    <x v="0"/>
  </r>
  <r>
    <s v="BAT-0233"/>
    <s v="2025-01-08"/>
    <x v="0"/>
    <x v="2"/>
    <x v="1"/>
    <s v="Night"/>
    <s v="D. Kamau"/>
    <n v="740"/>
    <n v="614"/>
    <n v="20"/>
    <n v="102.4"/>
    <n v="7.2"/>
    <n v="85.14"/>
    <n v="52275.96"/>
    <n v="1702.8"/>
    <x v="0"/>
  </r>
  <r>
    <s v="BAT-0371"/>
    <s v="2025-05-03"/>
    <x v="0"/>
    <x v="2"/>
    <x v="4"/>
    <s v="Day"/>
    <s v="F. Ali"/>
    <n v="1479"/>
    <n v="1522"/>
    <n v="26"/>
    <n v="87.6"/>
    <n v="6.5"/>
    <n v="85.26"/>
    <n v="129765.72"/>
    <n v="2216.7600000000002"/>
    <x v="1"/>
  </r>
  <r>
    <s v="BAT-0548"/>
    <s v="2025-08-04"/>
    <x v="2"/>
    <x v="0"/>
    <x v="0"/>
    <s v="Evening"/>
    <s v="M. Hassan"/>
    <n v="1430"/>
    <n v="1358"/>
    <n v="39"/>
    <n v="44.3"/>
    <n v="7.8"/>
    <n v="85.35"/>
    <n v="115905.29999999999"/>
    <n v="3328.6499999999996"/>
    <x v="0"/>
  </r>
  <r>
    <s v="BAT-0297"/>
    <s v="2025-11-07"/>
    <x v="2"/>
    <x v="1"/>
    <x v="4"/>
    <s v="Day"/>
    <s v="P. Otieno"/>
    <n v="1431"/>
    <n v="1108"/>
    <n v="17"/>
    <n v="27.7"/>
    <n v="6.9"/>
    <n v="85.81"/>
    <n v="95077.48"/>
    <n v="1458.77"/>
    <x v="1"/>
  </r>
  <r>
    <s v="BAT-0406"/>
    <s v="2025-07-02"/>
    <x v="2"/>
    <x v="0"/>
    <x v="0"/>
    <s v="Night"/>
    <s v="R. Njeri"/>
    <n v="1705"/>
    <n v="1523"/>
    <n v="33"/>
    <n v="17.600000000000001"/>
    <n v="6.6"/>
    <n v="86.95"/>
    <n v="132424.85"/>
    <n v="2869.35"/>
    <x v="0"/>
  </r>
  <r>
    <s v="BAT-0489"/>
    <s v="2025-10-07"/>
    <x v="2"/>
    <x v="4"/>
    <x v="1"/>
    <s v="Night"/>
    <s v="A. Wanjiku"/>
    <n v="1271"/>
    <n v="1320"/>
    <n v="29"/>
    <n v="24"/>
    <n v="6.4"/>
    <n v="87.01"/>
    <n v="114853.20000000001"/>
    <n v="2523.29"/>
    <x v="0"/>
  </r>
  <r>
    <s v="BAT-0232"/>
    <s v="2025-11-09"/>
    <x v="2"/>
    <x v="2"/>
    <x v="1"/>
    <s v="Night"/>
    <s v="P. Otieno"/>
    <n v="1463"/>
    <n v="1527"/>
    <n v="16"/>
    <n v="13.5"/>
    <n v="8.1"/>
    <n v="87.32"/>
    <n v="133337.63999999998"/>
    <n v="1397.12"/>
    <x v="1"/>
  </r>
  <r>
    <s v="BAT-0568"/>
    <s v="2025-04-02"/>
    <x v="2"/>
    <x v="4"/>
    <x v="3"/>
    <s v="Night"/>
    <s v="D. Kamau"/>
    <n v="912"/>
    <n v="984"/>
    <n v="14"/>
    <n v="46.5"/>
    <n v="7.6"/>
    <n v="87.36"/>
    <n v="85962.240000000005"/>
    <n v="1223.04"/>
    <x v="1"/>
  </r>
  <r>
    <s v="BAT-0241"/>
    <s v="2025-02-21"/>
    <x v="2"/>
    <x v="4"/>
    <x v="1"/>
    <s v="Evening"/>
    <s v="J. Mwangi"/>
    <n v="965"/>
    <n v="841"/>
    <n v="9"/>
    <n v="26.6"/>
    <n v="6.8"/>
    <n v="87.5"/>
    <n v="73587.5"/>
    <n v="787.5"/>
    <x v="1"/>
  </r>
  <r>
    <s v="BAT-0030"/>
    <s v="2025-06-11"/>
    <x v="1"/>
    <x v="2"/>
    <x v="3"/>
    <s v="Night"/>
    <s v="S. Kiptoo"/>
    <n v="1049"/>
    <n v="964"/>
    <n v="12"/>
    <n v="25.3"/>
    <n v="8"/>
    <n v="87.74"/>
    <n v="84581.36"/>
    <n v="1052.8799999999999"/>
    <x v="1"/>
  </r>
  <r>
    <s v="BAT-0253"/>
    <s v="2025-03-10"/>
    <x v="2"/>
    <x v="0"/>
    <x v="0"/>
    <s v="Day"/>
    <s v="J. Mwangi"/>
    <n v="1270"/>
    <n v="1223"/>
    <n v="39"/>
    <n v="36.4"/>
    <n v="8.4"/>
    <n v="87.89"/>
    <n v="107489.47"/>
    <n v="3427.71"/>
    <x v="0"/>
  </r>
  <r>
    <s v="BAT-0126"/>
    <s v="2025-07-26"/>
    <x v="1"/>
    <x v="2"/>
    <x v="0"/>
    <s v="Evening"/>
    <s v="R. Njeri"/>
    <n v="1727"/>
    <n v="1587"/>
    <n v="13"/>
    <n v="7.5"/>
    <n v="7.1"/>
    <n v="88.13"/>
    <n v="139862.31"/>
    <n v="1145.69"/>
    <x v="1"/>
  </r>
  <r>
    <s v="BAT-0320"/>
    <s v="2025-10-08"/>
    <x v="2"/>
    <x v="3"/>
    <x v="2"/>
    <s v="Night"/>
    <s v="P. Otieno"/>
    <n v="749"/>
    <n v="779"/>
    <n v="7"/>
    <n v="12.7"/>
    <n v="6.3"/>
    <n v="88.52"/>
    <n v="68957.08"/>
    <n v="619.64"/>
    <x v="1"/>
  </r>
  <r>
    <s v="BAT-0321"/>
    <s v="2025-04-28"/>
    <x v="1"/>
    <x v="1"/>
    <x v="1"/>
    <s v="Evening"/>
    <s v="P. Otieno"/>
    <n v="1373"/>
    <n v="1403"/>
    <n v="40"/>
    <n v="31.3"/>
    <n v="6.6"/>
    <n v="88.6"/>
    <n v="124305.79999999999"/>
    <n v="3544"/>
    <x v="0"/>
  </r>
  <r>
    <s v="BAT-0037"/>
    <s v="2025-11-10"/>
    <x v="2"/>
    <x v="4"/>
    <x v="0"/>
    <s v="Night"/>
    <s v="M. Hassan"/>
    <n v="1443"/>
    <n v="1435"/>
    <n v="42"/>
    <n v="53.5"/>
    <n v="8.5"/>
    <n v="88.61"/>
    <n v="127155.35"/>
    <n v="3721.62"/>
    <x v="0"/>
  </r>
  <r>
    <s v="BAT-0301"/>
    <s v="2025-05-13"/>
    <x v="0"/>
    <x v="1"/>
    <x v="3"/>
    <s v="Evening"/>
    <s v="A. Wanjiku"/>
    <n v="1358"/>
    <n v="1199"/>
    <n v="36"/>
    <n v="34.6"/>
    <n v="6.1"/>
    <n v="88.64"/>
    <n v="106279.36"/>
    <n v="3191.04"/>
    <x v="0"/>
  </r>
  <r>
    <s v="BAT-0197"/>
    <s v="2025-05-06"/>
    <x v="1"/>
    <x v="4"/>
    <x v="4"/>
    <s v="Evening"/>
    <s v="M. Hassan"/>
    <n v="876"/>
    <n v="861"/>
    <n v="28"/>
    <n v="29.6"/>
    <n v="6.9"/>
    <n v="88.74"/>
    <n v="76405.14"/>
    <n v="2484.7199999999998"/>
    <x v="0"/>
  </r>
  <r>
    <s v="BAT-0465"/>
    <s v="2025-01-03"/>
    <x v="0"/>
    <x v="0"/>
    <x v="2"/>
    <s v="Night"/>
    <s v="F. Ali"/>
    <n v="1680"/>
    <n v="1290"/>
    <n v="24"/>
    <n v="10.5"/>
    <n v="6.9"/>
    <n v="89.2"/>
    <n v="115068"/>
    <n v="2140.8000000000002"/>
    <x v="1"/>
  </r>
  <r>
    <s v="BAT-0062"/>
    <s v="2025-09-29"/>
    <x v="1"/>
    <x v="1"/>
    <x v="3"/>
    <s v="Night"/>
    <s v="R. Njeri"/>
    <n v="1058"/>
    <n v="876"/>
    <n v="27"/>
    <n v="60.1"/>
    <n v="6.7"/>
    <n v="89.31"/>
    <n v="78235.56"/>
    <n v="2411.37"/>
    <x v="0"/>
  </r>
  <r>
    <s v="BAT-0153"/>
    <s v="2025-12-01"/>
    <x v="2"/>
    <x v="0"/>
    <x v="4"/>
    <s v="Evening"/>
    <s v="D. Kamau"/>
    <n v="777"/>
    <n v="881"/>
    <n v="13"/>
    <n v="21"/>
    <n v="6.5"/>
    <n v="89.46"/>
    <n v="78814.259999999995"/>
    <n v="1162.98"/>
    <x v="1"/>
  </r>
  <r>
    <s v="BAT-0218"/>
    <s v="2025-02-05"/>
    <x v="2"/>
    <x v="1"/>
    <x v="0"/>
    <s v="Night"/>
    <s v="P. Otieno"/>
    <n v="1121"/>
    <n v="1117"/>
    <n v="11"/>
    <n v="16.5"/>
    <n v="7.8"/>
    <n v="89.57"/>
    <n v="100049.68999999999"/>
    <n v="985.27"/>
    <x v="1"/>
  </r>
  <r>
    <s v="BAT-0288"/>
    <s v="2025-07-28"/>
    <x v="0"/>
    <x v="2"/>
    <x v="2"/>
    <s v="Night"/>
    <s v="A. Wanjiku"/>
    <n v="1767"/>
    <n v="1752"/>
    <n v="57"/>
    <n v="78.8"/>
    <n v="6.3"/>
    <n v="89.61"/>
    <n v="156996.72"/>
    <n v="5107.7699999999995"/>
    <x v="0"/>
  </r>
  <r>
    <s v="BAT-0008"/>
    <s v="2025-09-12"/>
    <x v="1"/>
    <x v="3"/>
    <x v="2"/>
    <s v="Evening"/>
    <s v="A. Wanjiku"/>
    <n v="851"/>
    <n v="819"/>
    <n v="18"/>
    <n v="9.5"/>
    <n v="6.4"/>
    <n v="89.75"/>
    <n v="73505.25"/>
    <n v="1615.5"/>
    <x v="0"/>
  </r>
  <r>
    <s v="BAT-0157"/>
    <s v="2025-02-16"/>
    <x v="1"/>
    <x v="1"/>
    <x v="0"/>
    <s v="Evening"/>
    <s v="Not Found"/>
    <n v="923"/>
    <n v="891"/>
    <n v="27"/>
    <n v="39.4"/>
    <n v="6.9"/>
    <n v="89.76"/>
    <n v="79976.160000000003"/>
    <n v="2423.52"/>
    <x v="0"/>
  </r>
  <r>
    <s v="BAT-0565"/>
    <s v="2025-11-21"/>
    <x v="1"/>
    <x v="3"/>
    <x v="1"/>
    <s v="Evening"/>
    <s v="A. Wanjiku"/>
    <n v="1149"/>
    <n v="1028"/>
    <n v="33"/>
    <n v="38.5"/>
    <n v="6.1"/>
    <n v="89.77"/>
    <n v="92283.56"/>
    <n v="2962.41"/>
    <x v="0"/>
  </r>
  <r>
    <s v="BAT-0029"/>
    <s v="2025-07-19"/>
    <x v="2"/>
    <x v="2"/>
    <x v="1"/>
    <s v="Night"/>
    <s v="P. Otieno"/>
    <n v="1362"/>
    <n v="1245"/>
    <n v="12"/>
    <n v="25.1"/>
    <n v="7.4"/>
    <n v="89.85"/>
    <n v="111863.25"/>
    <n v="1078.1999999999998"/>
    <x v="1"/>
  </r>
  <r>
    <s v="BAT-0082"/>
    <s v="2025-06-09"/>
    <x v="2"/>
    <x v="2"/>
    <x v="0"/>
    <s v="Evening"/>
    <s v="S. Kiptoo"/>
    <n v="1430"/>
    <n v="1251"/>
    <n v="30"/>
    <n v="11.1"/>
    <n v="7.8"/>
    <n v="90"/>
    <n v="112590"/>
    <n v="2700"/>
    <x v="0"/>
  </r>
  <r>
    <s v="BAT-0168"/>
    <s v="2025-03-02"/>
    <x v="0"/>
    <x v="1"/>
    <x v="3"/>
    <s v="Evening"/>
    <s v="M. Hassan"/>
    <n v="1477"/>
    <n v="1524"/>
    <n v="30"/>
    <n v="114.8"/>
    <n v="8.3000000000000007"/>
    <n v="90.07"/>
    <n v="137266.68"/>
    <n v="2702.1"/>
    <x v="1"/>
  </r>
  <r>
    <s v="BAT-0229"/>
    <s v="2025-07-19"/>
    <x v="1"/>
    <x v="0"/>
    <x v="2"/>
    <s v="Evening"/>
    <s v="S. Kiptoo"/>
    <n v="1670"/>
    <n v="1521"/>
    <n v="48"/>
    <n v="62.4"/>
    <n v="6.7"/>
    <n v="90.24"/>
    <n v="137255.03999999998"/>
    <n v="4331.5199999999995"/>
    <x v="0"/>
  </r>
  <r>
    <s v="BAT-0236"/>
    <s v="2025-09-20"/>
    <x v="0"/>
    <x v="2"/>
    <x v="4"/>
    <s v="Day"/>
    <s v="F. Ali"/>
    <n v="1243"/>
    <n v="1192"/>
    <n v="31"/>
    <n v="40.1"/>
    <n v="6.1"/>
    <n v="90.39"/>
    <n v="107744.88"/>
    <n v="2802.09"/>
    <x v="0"/>
  </r>
  <r>
    <s v="BAT-0327"/>
    <s v="2025-03-28"/>
    <x v="1"/>
    <x v="0"/>
    <x v="4"/>
    <s v="Night"/>
    <s v="A. Wanjiku"/>
    <n v="1439"/>
    <n v="1099"/>
    <n v="22"/>
    <n v="55"/>
    <n v="7.2"/>
    <n v="90.59"/>
    <n v="99558.41"/>
    <n v="1992.98"/>
    <x v="0"/>
  </r>
  <r>
    <s v="BAT-0273"/>
    <s v="2025-02-25"/>
    <x v="2"/>
    <x v="2"/>
    <x v="2"/>
    <s v="Evening"/>
    <s v="P. Otieno"/>
    <n v="1257"/>
    <n v="1289"/>
    <n v="18"/>
    <n v="115"/>
    <n v="8.1"/>
    <n v="90.64"/>
    <n v="116834.96"/>
    <n v="1631.52"/>
    <x v="1"/>
  </r>
  <r>
    <s v="BAT-0309"/>
    <s v="2025-04-26"/>
    <x v="1"/>
    <x v="0"/>
    <x v="0"/>
    <s v="Day"/>
    <s v="A. Wanjiku"/>
    <n v="729"/>
    <n v="766"/>
    <n v="7"/>
    <n v="35.799999999999997"/>
    <n v="6.5"/>
    <n v="90.85"/>
    <n v="69591.099999999991"/>
    <n v="635.94999999999993"/>
    <x v="1"/>
  </r>
  <r>
    <s v="BAT-0057"/>
    <s v="2025-07-19"/>
    <x v="2"/>
    <x v="0"/>
    <x v="3"/>
    <s v="Day"/>
    <s v="R. Njeri"/>
    <n v="1195"/>
    <n v="1230"/>
    <n v="19"/>
    <n v="123.7"/>
    <n v="6.3"/>
    <n v="91.01"/>
    <n v="111942.3"/>
    <n v="1729.19"/>
    <x v="1"/>
  </r>
  <r>
    <s v="BAT-0522"/>
    <s v="2025-02-23"/>
    <x v="0"/>
    <x v="0"/>
    <x v="4"/>
    <s v="Night"/>
    <s v="R. Njeri"/>
    <n v="1266"/>
    <n v="1426"/>
    <n v="45"/>
    <n v="29.9"/>
    <n v="7.4"/>
    <n v="91.55"/>
    <n v="130550.3"/>
    <n v="4119.75"/>
    <x v="0"/>
  </r>
  <r>
    <s v="BAT-0380"/>
    <s v="2025-04-06"/>
    <x v="1"/>
    <x v="0"/>
    <x v="1"/>
    <s v="Night"/>
    <s v="F. Ali"/>
    <n v="1086"/>
    <n v="1242"/>
    <n v="43"/>
    <n v="8.9"/>
    <n v="8.1"/>
    <n v="91.62"/>
    <n v="113792.04000000001"/>
    <n v="3939.6600000000003"/>
    <x v="0"/>
  </r>
  <r>
    <s v="BAT-0225"/>
    <s v="2025-09-21"/>
    <x v="0"/>
    <x v="1"/>
    <x v="0"/>
    <s v="Day"/>
    <s v="S. Kiptoo"/>
    <n v="906"/>
    <n v="809"/>
    <n v="5"/>
    <n v="115.4"/>
    <n v="8.1"/>
    <n v="91.69"/>
    <n v="74177.209999999992"/>
    <n v="458.45"/>
    <x v="1"/>
  </r>
  <r>
    <s v="BAT-0096"/>
    <s v="2025-04-16"/>
    <x v="2"/>
    <x v="4"/>
    <x v="2"/>
    <s v="Day"/>
    <s v="D. Kamau"/>
    <n v="779"/>
    <n v="704"/>
    <n v="5"/>
    <n v="22.6"/>
    <n v="8.1"/>
    <n v="92.2"/>
    <n v="64908.800000000003"/>
    <n v="461"/>
    <x v="1"/>
  </r>
  <r>
    <s v="BAT-0466"/>
    <s v="2025-12-19"/>
    <x v="2"/>
    <x v="1"/>
    <x v="0"/>
    <s v="Evening"/>
    <s v="S. Kiptoo"/>
    <n v="736"/>
    <n v="834"/>
    <n v="10"/>
    <n v="57.4"/>
    <n v="6.9"/>
    <n v="92.31"/>
    <n v="76986.540000000008"/>
    <n v="923.1"/>
    <x v="1"/>
  </r>
  <r>
    <s v="BAT-0325"/>
    <s v="2025-12-22"/>
    <x v="0"/>
    <x v="0"/>
    <x v="2"/>
    <s v="Day"/>
    <s v="R. Njeri"/>
    <n v="816"/>
    <n v="726"/>
    <n v="21"/>
    <n v="33.4"/>
    <n v="7.8"/>
    <n v="92.44"/>
    <n v="67111.44"/>
    <n v="1941.24"/>
    <x v="0"/>
  </r>
  <r>
    <s v="BAT-0028"/>
    <s v="2025-10-28"/>
    <x v="0"/>
    <x v="1"/>
    <x v="1"/>
    <s v="Day"/>
    <s v="F. Ali"/>
    <n v="1144"/>
    <n v="1136"/>
    <n v="18"/>
    <n v="31.6"/>
    <n v="6.5"/>
    <n v="92.71"/>
    <n v="105318.56"/>
    <n v="1668.78"/>
    <x v="1"/>
  </r>
  <r>
    <s v="BAT-0055"/>
    <s v="2025-07-01"/>
    <x v="2"/>
    <x v="0"/>
    <x v="4"/>
    <s v="Night"/>
    <s v="F. Ali"/>
    <n v="1372"/>
    <n v="1174"/>
    <n v="35"/>
    <n v="1.2"/>
    <n v="6.7"/>
    <n v="92.97"/>
    <n v="109146.78"/>
    <n v="3253.95"/>
    <x v="0"/>
  </r>
  <r>
    <s v="BAT-0492"/>
    <s v="2025-11-13"/>
    <x v="0"/>
    <x v="4"/>
    <x v="2"/>
    <s v="Day"/>
    <s v="D. Kamau"/>
    <n v="1175"/>
    <n v="942"/>
    <n v="26"/>
    <n v="54.9"/>
    <n v="6.6"/>
    <n v="93.21"/>
    <n v="87803.819999999992"/>
    <n v="2423.46"/>
    <x v="0"/>
  </r>
  <r>
    <s v="BAT-0556"/>
    <s v="2025-07-04"/>
    <x v="1"/>
    <x v="2"/>
    <x v="2"/>
    <s v="Evening"/>
    <s v="F. Ali"/>
    <n v="1369"/>
    <n v="1368"/>
    <n v="35"/>
    <n v="9.5"/>
    <n v="6.2"/>
    <n v="93.35"/>
    <n v="127702.79999999999"/>
    <n v="3267.25"/>
    <x v="0"/>
  </r>
  <r>
    <s v="BAT-0077"/>
    <s v="2025-05-01"/>
    <x v="1"/>
    <x v="2"/>
    <x v="3"/>
    <s v="Night"/>
    <s v="P. Otieno"/>
    <n v="1473"/>
    <n v="1225"/>
    <n v="16"/>
    <n v="101"/>
    <n v="8.1999999999999993"/>
    <n v="93.42"/>
    <n v="114439.5"/>
    <n v="1494.72"/>
    <x v="1"/>
  </r>
  <r>
    <s v="BAT-0306"/>
    <s v="2025-02-21"/>
    <x v="1"/>
    <x v="0"/>
    <x v="0"/>
    <s v="Night"/>
    <s v="A. Wanjiku"/>
    <n v="1502"/>
    <n v="1084"/>
    <n v="21"/>
    <s v=""/>
    <n v="7.1"/>
    <n v="93.97"/>
    <n v="101863.48"/>
    <n v="1973.37"/>
    <x v="1"/>
  </r>
  <r>
    <s v="BAT-0045"/>
    <s v="2025-01-25"/>
    <x v="1"/>
    <x v="3"/>
    <x v="4"/>
    <s v="Day"/>
    <s v="D. Kamau"/>
    <n v="709"/>
    <n v="733"/>
    <n v="12"/>
    <n v="28.2"/>
    <n v="6.8"/>
    <n v="94.01"/>
    <n v="68909.33"/>
    <n v="1128.1200000000001"/>
    <x v="1"/>
  </r>
  <r>
    <s v="BAT-0009"/>
    <s v="2025-03-15"/>
    <x v="0"/>
    <x v="0"/>
    <x v="2"/>
    <s v="Evening"/>
    <s v="J. Mwangi"/>
    <n v="708"/>
    <n v="517"/>
    <n v="14"/>
    <n v="41.1"/>
    <n v="7.2"/>
    <n v="94.15"/>
    <n v="48675.55"/>
    <n v="1318.1000000000001"/>
    <x v="0"/>
  </r>
  <r>
    <s v="BAT-0265"/>
    <s v="2025-12-28"/>
    <x v="0"/>
    <x v="3"/>
    <x v="4"/>
    <s v="Evening"/>
    <s v="F. Ali"/>
    <n v="1532"/>
    <n v="1347"/>
    <n v="44"/>
    <n v="7.9"/>
    <n v="6.1"/>
    <n v="94.37"/>
    <n v="127116.39"/>
    <n v="4152.2800000000007"/>
    <x v="0"/>
  </r>
  <r>
    <s v="BAT-0089"/>
    <s v="2025-10-08"/>
    <x v="1"/>
    <x v="0"/>
    <x v="1"/>
    <s v="Evening"/>
    <s v="R. Njeri"/>
    <n v="1725"/>
    <n v="1678"/>
    <n v="36"/>
    <n v="43"/>
    <n v="7"/>
    <n v="94.43"/>
    <n v="158453.54"/>
    <n v="3399.4800000000005"/>
    <x v="0"/>
  </r>
  <r>
    <s v="BAT-0074"/>
    <s v="2025-02-17"/>
    <x v="1"/>
    <x v="3"/>
    <x v="2"/>
    <s v="Evening"/>
    <s v="P. Otieno"/>
    <n v="1326"/>
    <n v="1223"/>
    <n v="39"/>
    <n v="13.8"/>
    <n v="7.1"/>
    <n v="94.63"/>
    <n v="115732.48999999999"/>
    <n v="3690.5699999999997"/>
    <x v="0"/>
  </r>
  <r>
    <s v="BAT-0019"/>
    <s v="2025-11-03"/>
    <x v="1"/>
    <x v="4"/>
    <x v="2"/>
    <s v="Night"/>
    <s v="R. Njeri"/>
    <n v="1589"/>
    <n v="1462"/>
    <n v="4"/>
    <n v="48.2"/>
    <n v="6.1"/>
    <n v="94.95"/>
    <n v="138816.9"/>
    <n v="379.8"/>
    <x v="1"/>
  </r>
  <r>
    <s v="BAT-0217"/>
    <s v="2025-01-29"/>
    <x v="0"/>
    <x v="2"/>
    <x v="2"/>
    <s v="Evening"/>
    <s v="P. Otieno"/>
    <n v="1361"/>
    <n v="1089"/>
    <n v="30"/>
    <n v="36"/>
    <n v="6.8"/>
    <n v="95.01"/>
    <n v="103465.89"/>
    <n v="2850.3"/>
    <x v="0"/>
  </r>
  <r>
    <s v="BAT-0245"/>
    <s v="2025-08-18"/>
    <x v="0"/>
    <x v="3"/>
    <x v="2"/>
    <s v="Day"/>
    <s v="S. Kiptoo"/>
    <n v="1456"/>
    <n v="1466"/>
    <n v="44"/>
    <n v="17.100000000000001"/>
    <n v="6.4"/>
    <n v="95.03"/>
    <n v="139313.98000000001"/>
    <n v="4181.32"/>
    <x v="0"/>
  </r>
  <r>
    <s v="BAT-0423"/>
    <s v="2025-10-07"/>
    <x v="0"/>
    <x v="1"/>
    <x v="1"/>
    <s v="Night"/>
    <s v="F. Ali"/>
    <n v="1284"/>
    <n v="1320"/>
    <n v="42"/>
    <n v="118.1"/>
    <n v="6.8"/>
    <n v="95.59"/>
    <n v="126178.8"/>
    <n v="4014.78"/>
    <x v="0"/>
  </r>
  <r>
    <s v="BAT-0173"/>
    <s v="2025-10-09"/>
    <x v="0"/>
    <x v="0"/>
    <x v="4"/>
    <s v="Evening"/>
    <s v="M. Hassan"/>
    <n v="914"/>
    <n v="991"/>
    <n v="17"/>
    <n v="11.1"/>
    <n v="8.3000000000000007"/>
    <n v="95.75"/>
    <n v="94888.25"/>
    <n v="1627.75"/>
    <x v="1"/>
  </r>
  <r>
    <s v="BAT-0193"/>
    <s v="2025-08-10"/>
    <x v="1"/>
    <x v="2"/>
    <x v="1"/>
    <s v="Night"/>
    <s v="P. Otieno"/>
    <n v="1293"/>
    <n v="1148"/>
    <n v="35"/>
    <n v="81.400000000000006"/>
    <n v="8.5"/>
    <n v="95.92"/>
    <n v="110116.16"/>
    <n v="3357.2000000000003"/>
    <x v="0"/>
  </r>
  <r>
    <s v="BAT-0351"/>
    <s v="2025-07-14"/>
    <x v="1"/>
    <x v="2"/>
    <x v="1"/>
    <s v="Day"/>
    <s v="P. Otieno"/>
    <n v="1180"/>
    <n v="1094"/>
    <n v="4"/>
    <n v="58.1"/>
    <n v="6.4"/>
    <n v="96"/>
    <n v="105024"/>
    <n v="384"/>
    <x v="1"/>
  </r>
  <r>
    <s v="BAT-0262"/>
    <s v="2025-03-04"/>
    <x v="2"/>
    <x v="0"/>
    <x v="2"/>
    <s v="Day"/>
    <s v="F. Ali"/>
    <n v="1238"/>
    <n v="1135"/>
    <n v="13"/>
    <n v="58.5"/>
    <n v="6.1"/>
    <n v="96.03"/>
    <n v="108994.05"/>
    <n v="1248.3900000000001"/>
    <x v="1"/>
  </r>
  <r>
    <s v="BAT-0515"/>
    <s v="2025-12-17"/>
    <x v="0"/>
    <x v="3"/>
    <x v="4"/>
    <s v="Night"/>
    <s v="S. Kiptoo"/>
    <n v="1790"/>
    <n v="1400"/>
    <n v="19"/>
    <n v="85.6"/>
    <n v="8.4"/>
    <n v="96.12"/>
    <n v="134568"/>
    <n v="1826.2800000000002"/>
    <x v="1"/>
  </r>
  <r>
    <s v="BAT-0095"/>
    <s v="2025-11-24"/>
    <x v="0"/>
    <x v="1"/>
    <x v="3"/>
    <s v="Evening"/>
    <s v="D. Kamau"/>
    <n v="1348"/>
    <n v="1333"/>
    <n v="8"/>
    <n v="78.099999999999994"/>
    <n v="8.1"/>
    <n v="96.33"/>
    <n v="128407.89"/>
    <n v="770.64"/>
    <x v="1"/>
  </r>
  <r>
    <s v="BAT-0576"/>
    <s v="2025-05-17"/>
    <x v="2"/>
    <x v="0"/>
    <x v="4"/>
    <s v="Day"/>
    <s v="M. Hassan"/>
    <n v="1147"/>
    <n v="1238"/>
    <n v="40"/>
    <n v="13.6"/>
    <n v="7.3"/>
    <n v="96.36"/>
    <n v="119293.68"/>
    <n v="3854.4"/>
    <x v="0"/>
  </r>
  <r>
    <s v="BAT-0210"/>
    <s v="2025-10-12"/>
    <x v="0"/>
    <x v="4"/>
    <x v="0"/>
    <s v="Day"/>
    <s v="F. Ali"/>
    <n v="738"/>
    <n v="535"/>
    <n v="16"/>
    <n v="95.9"/>
    <n v="6.8"/>
    <n v="96.6"/>
    <n v="51681"/>
    <n v="1545.6"/>
    <x v="0"/>
  </r>
  <r>
    <s v="BAT-0124"/>
    <s v="2025-06-21"/>
    <x v="2"/>
    <x v="0"/>
    <x v="4"/>
    <s v="Night"/>
    <s v="J. Mwangi"/>
    <n v="708"/>
    <n v="663"/>
    <n v="5"/>
    <n v="5.7"/>
    <n v="7.1"/>
    <n v="96.7"/>
    <n v="64112.1"/>
    <n v="483.5"/>
    <x v="1"/>
  </r>
  <r>
    <s v="BAT-0474"/>
    <s v="2025-06-20"/>
    <x v="2"/>
    <x v="2"/>
    <x v="2"/>
    <s v="Night"/>
    <s v="S. Kiptoo"/>
    <n v="1666"/>
    <n v="1608"/>
    <n v="20"/>
    <n v="25.3"/>
    <n v="6.6"/>
    <n v="96.74"/>
    <n v="155557.91999999998"/>
    <n v="1934.8"/>
    <x v="1"/>
  </r>
  <r>
    <s v="BAT-0046"/>
    <s v="2025-12-21"/>
    <x v="0"/>
    <x v="1"/>
    <x v="2"/>
    <s v="Evening"/>
    <s v="J. Mwangi"/>
    <n v="1073"/>
    <n v="1022"/>
    <n v="23"/>
    <n v="39.799999999999997"/>
    <n v="8.5"/>
    <n v="96.79"/>
    <n v="98919.38"/>
    <n v="2226.17"/>
    <x v="0"/>
  </r>
  <r>
    <s v="BAT-0537"/>
    <s v="2025-06-16"/>
    <x v="1"/>
    <x v="0"/>
    <x v="1"/>
    <s v="Night"/>
    <s v="M. Hassan"/>
    <n v="1104"/>
    <n v="1007"/>
    <n v="23"/>
    <n v="5.8"/>
    <n v="7.2"/>
    <n v="96.86"/>
    <n v="97538.02"/>
    <n v="2227.7800000000002"/>
    <x v="0"/>
  </r>
  <r>
    <s v="BAT-0378"/>
    <s v="2025-09-30"/>
    <x v="0"/>
    <x v="2"/>
    <x v="3"/>
    <s v="Night"/>
    <s v="J. Mwangi"/>
    <n v="878"/>
    <n v="848"/>
    <n v="5"/>
    <n v="35.4"/>
    <n v="6.3"/>
    <n v="99"/>
    <n v="83952"/>
    <n v="495"/>
    <x v="1"/>
  </r>
  <r>
    <s v="BAT-0520"/>
    <s v="2025-08-05"/>
    <x v="2"/>
    <x v="0"/>
    <x v="0"/>
    <s v="Night"/>
    <s v="S. Kiptoo"/>
    <n v="1183"/>
    <n v="1280"/>
    <n v="42"/>
    <n v="52.2"/>
    <n v="7.2"/>
    <n v="99.06"/>
    <n v="126796.8"/>
    <n v="4160.5200000000004"/>
    <x v="0"/>
  </r>
  <r>
    <s v="BAT-0222"/>
    <s v="2025-06-16"/>
    <x v="0"/>
    <x v="2"/>
    <x v="1"/>
    <s v="Night"/>
    <s v="P. Otieno"/>
    <n v="1284"/>
    <n v="1250"/>
    <n v="22"/>
    <n v="1.5"/>
    <n v="7.1"/>
    <n v="99.34"/>
    <n v="124175"/>
    <n v="2185.48"/>
    <x v="1"/>
  </r>
  <r>
    <s v="BAT-0204"/>
    <s v="2025-09-13"/>
    <x v="2"/>
    <x v="0"/>
    <x v="2"/>
    <s v="Evening"/>
    <s v="F. Ali"/>
    <n v="929"/>
    <n v="979"/>
    <n v="17"/>
    <n v="12.5"/>
    <n v="8.1999999999999993"/>
    <n v="99.57"/>
    <n v="97479.03"/>
    <n v="1692.6899999999998"/>
    <x v="1"/>
  </r>
  <r>
    <s v="BAT-0506"/>
    <s v="2025-06-15"/>
    <x v="2"/>
    <x v="0"/>
    <x v="0"/>
    <s v="Day"/>
    <s v="D. Kamau"/>
    <n v="1102"/>
    <n v="968"/>
    <n v="30"/>
    <n v="37.200000000000003"/>
    <n v="7.7"/>
    <n v="99.63"/>
    <n v="96441.84"/>
    <n v="2988.8999999999996"/>
    <x v="0"/>
  </r>
  <r>
    <s v="BAT-0386"/>
    <s v="2025-02-14"/>
    <x v="2"/>
    <x v="4"/>
    <x v="1"/>
    <s v="Evening"/>
    <s v="D. Kamau"/>
    <n v="1752"/>
    <n v="1988"/>
    <n v="58"/>
    <n v="59.6"/>
    <n v="7.7"/>
    <n v="99.68"/>
    <n v="198163.84000000003"/>
    <n v="5781.4400000000005"/>
    <x v="0"/>
  </r>
  <r>
    <s v="BAT-0249"/>
    <s v="2025-10-15"/>
    <x v="1"/>
    <x v="2"/>
    <x v="2"/>
    <s v="Day"/>
    <s v="F. Ali"/>
    <n v="1515"/>
    <n v="1564"/>
    <n v="5"/>
    <n v="86.9"/>
    <n v="7.1"/>
    <n v="99.79"/>
    <n v="156071.56"/>
    <n v="498.95000000000005"/>
    <x v="1"/>
  </r>
  <r>
    <s v="BAT-0487"/>
    <s v="2025-05-02"/>
    <x v="2"/>
    <x v="3"/>
    <x v="4"/>
    <s v="Night"/>
    <s v="F. Ali"/>
    <n v="1523"/>
    <n v="1479"/>
    <n v="31"/>
    <n v="64.5"/>
    <n v="6"/>
    <n v="99.9"/>
    <n v="147752.1"/>
    <n v="3096.9"/>
    <x v="0"/>
  </r>
  <r>
    <s v="BAT-0141"/>
    <s v="2025-12-25"/>
    <x v="2"/>
    <x v="1"/>
    <x v="2"/>
    <s v="Night"/>
    <s v="P. Otieno"/>
    <n v="1195"/>
    <n v="1051"/>
    <n v="10"/>
    <n v="52.2"/>
    <n v="8.1999999999999993"/>
    <n v="100.08"/>
    <n v="105184.08"/>
    <n v="1000.8"/>
    <x v="1"/>
  </r>
  <r>
    <s v="BAT-0377"/>
    <s v="2025-09-26"/>
    <x v="0"/>
    <x v="3"/>
    <x v="2"/>
    <s v="Night"/>
    <s v="R. Njeri"/>
    <n v="1012"/>
    <n v="960"/>
    <n v="26"/>
    <n v="30.9"/>
    <n v="6.9"/>
    <n v="100.37"/>
    <n v="96355.200000000012"/>
    <n v="2609.62"/>
    <x v="0"/>
  </r>
  <r>
    <s v="BAT-0017"/>
    <s v="2025-07-07"/>
    <x v="0"/>
    <x v="0"/>
    <x v="4"/>
    <s v="Day"/>
    <s v="R. Njeri"/>
    <n v="748"/>
    <n v="682"/>
    <n v="23"/>
    <n v="46.1"/>
    <n v="7.7"/>
    <n v="100.57"/>
    <n v="68588.739999999991"/>
    <n v="2313.1099999999997"/>
    <x v="0"/>
  </r>
  <r>
    <s v="BAT-0004"/>
    <s v="2025-06-10"/>
    <x v="1"/>
    <x v="0"/>
    <x v="0"/>
    <s v="Night"/>
    <s v="J. Mwangi"/>
    <n v="1104"/>
    <n v="1124"/>
    <n v="22"/>
    <n v="103.9"/>
    <n v="8.1"/>
    <n v="100.88"/>
    <n v="113389.12"/>
    <n v="2219.3599999999997"/>
    <x v="1"/>
  </r>
  <r>
    <s v="BAT-0349"/>
    <s v="2025-03-07"/>
    <x v="1"/>
    <x v="3"/>
    <x v="0"/>
    <s v="Evening"/>
    <s v="F. Ali"/>
    <n v="1654"/>
    <n v="1498"/>
    <n v="41"/>
    <n v="73.5"/>
    <n v="8.1999999999999993"/>
    <n v="100.88"/>
    <n v="151118.24"/>
    <n v="4136.08"/>
    <x v="0"/>
  </r>
  <r>
    <s v="BAT-0064"/>
    <s v="2025-12-20"/>
    <x v="1"/>
    <x v="2"/>
    <x v="4"/>
    <s v="Evening"/>
    <s v="R. Njeri"/>
    <n v="1571"/>
    <n v="1429"/>
    <n v="29"/>
    <n v="22"/>
    <n v="6.3"/>
    <n v="100.92"/>
    <n v="144214.68"/>
    <n v="2926.68"/>
    <x v="0"/>
  </r>
  <r>
    <s v="BAT-0590"/>
    <s v="2025-11-04"/>
    <x v="1"/>
    <x v="3"/>
    <x v="1"/>
    <s v="Evening"/>
    <s v="S. Kiptoo"/>
    <n v="721"/>
    <n v="657"/>
    <n v="14"/>
    <n v="22.8"/>
    <n v="8.5"/>
    <n v="101.06"/>
    <n v="66396.42"/>
    <n v="1414.8400000000001"/>
    <x v="0"/>
  </r>
  <r>
    <s v="BAT-0137"/>
    <s v="2025-08-09"/>
    <x v="2"/>
    <x v="4"/>
    <x v="1"/>
    <s v="Day"/>
    <s v="M. Hassan"/>
    <n v="1710"/>
    <n v="1641"/>
    <n v="15"/>
    <n v="89.6"/>
    <n v="6.6"/>
    <n v="101.32"/>
    <n v="166266.12"/>
    <n v="1519.8"/>
    <x v="1"/>
  </r>
  <r>
    <s v="BAT-0473"/>
    <s v="2025-06-07"/>
    <x v="0"/>
    <x v="2"/>
    <x v="4"/>
    <s v="Evening"/>
    <s v="J. Mwangi"/>
    <n v="754"/>
    <n v="673"/>
    <n v="12"/>
    <n v="25.8"/>
    <n v="6.3"/>
    <n v="101.67"/>
    <n v="68423.91"/>
    <n v="1220.04"/>
    <x v="1"/>
  </r>
  <r>
    <s v="BAT-0567"/>
    <s v="2025-03-25"/>
    <x v="0"/>
    <x v="1"/>
    <x v="2"/>
    <s v="Day"/>
    <s v="S. Kiptoo"/>
    <n v="1779"/>
    <n v="1519"/>
    <n v="50"/>
    <n v="56.9"/>
    <n v="7.6"/>
    <n v="102.19"/>
    <n v="155226.60999999999"/>
    <n v="5109.5"/>
    <x v="0"/>
  </r>
  <r>
    <s v="BAT-0113"/>
    <s v="2025-07-22"/>
    <x v="0"/>
    <x v="1"/>
    <x v="0"/>
    <s v="Day"/>
    <s v="M. Hassan"/>
    <n v="908"/>
    <n v="805"/>
    <n v="5"/>
    <n v="22.4"/>
    <n v="6.2"/>
    <n v="102.77"/>
    <n v="82729.849999999991"/>
    <n v="513.85"/>
    <x v="1"/>
  </r>
  <r>
    <s v="BAT-0154"/>
    <s v="2025-04-18"/>
    <x v="0"/>
    <x v="2"/>
    <x v="3"/>
    <s v="Night"/>
    <s v="F. Ali"/>
    <n v="1116"/>
    <n v="1065"/>
    <n v="34"/>
    <n v="29.3"/>
    <n v="7.5"/>
    <n v="102.96"/>
    <n v="109652.4"/>
    <n v="3500.64"/>
    <x v="0"/>
  </r>
  <r>
    <s v="BAT-0518"/>
    <s v="2025-01-25"/>
    <x v="1"/>
    <x v="2"/>
    <x v="4"/>
    <s v="Evening"/>
    <s v="J. Mwangi"/>
    <n v="1166"/>
    <n v="1219"/>
    <n v="9"/>
    <n v="75.599999999999994"/>
    <n v="6.8"/>
    <n v="103.1"/>
    <n v="125678.9"/>
    <n v="927.9"/>
    <x v="1"/>
  </r>
  <r>
    <s v="BAT-0398"/>
    <s v="2025-03-13"/>
    <x v="0"/>
    <x v="3"/>
    <x v="0"/>
    <s v="Evening"/>
    <s v="F. Ali"/>
    <n v="1725"/>
    <n v="1782"/>
    <n v="13"/>
    <n v="17.600000000000001"/>
    <n v="7.3"/>
    <n v="103.54"/>
    <n v="184508.28"/>
    <n v="1346.02"/>
    <x v="1"/>
  </r>
  <r>
    <s v="BAT-0427"/>
    <s v="2025-11-12"/>
    <x v="2"/>
    <x v="2"/>
    <x v="2"/>
    <s v="Day"/>
    <s v="Not Found"/>
    <n v="874"/>
    <n v="903"/>
    <n v="24"/>
    <n v="7.9"/>
    <n v="7.6"/>
    <n v="103.85"/>
    <n v="93776.549999999988"/>
    <n v="2492.3999999999996"/>
    <x v="0"/>
  </r>
  <r>
    <s v="BAT-0528"/>
    <s v="2025-02-22"/>
    <x v="2"/>
    <x v="4"/>
    <x v="4"/>
    <s v="Evening"/>
    <s v="R. Njeri"/>
    <n v="1787"/>
    <n v="1602"/>
    <n v="52"/>
    <n v="49.7"/>
    <n v="8.4"/>
    <n v="104.45"/>
    <n v="167328.9"/>
    <n v="5431.4000000000005"/>
    <x v="0"/>
  </r>
  <r>
    <s v="BAT-0335"/>
    <s v="2025-06-17"/>
    <x v="1"/>
    <x v="4"/>
    <x v="0"/>
    <s v="Night"/>
    <s v="P. Otieno"/>
    <n v="1414"/>
    <n v="1220"/>
    <n v="23"/>
    <n v="56.3"/>
    <n v="6.1"/>
    <n v="104.74"/>
    <n v="127782.79999999999"/>
    <n v="2409.02"/>
    <x v="1"/>
  </r>
  <r>
    <s v="BAT-0400"/>
    <s v="2025-04-24"/>
    <x v="0"/>
    <x v="0"/>
    <x v="0"/>
    <s v="Day"/>
    <s v="A. Wanjiku"/>
    <n v="1202"/>
    <n v="1146"/>
    <n v="5"/>
    <n v="35.700000000000003"/>
    <n v="7.5"/>
    <n v="104.87"/>
    <n v="120181.02"/>
    <n v="524.35"/>
    <x v="1"/>
  </r>
  <r>
    <s v="BAT-0117"/>
    <s v="2025-01-14"/>
    <x v="0"/>
    <x v="1"/>
    <x v="3"/>
    <s v="Day"/>
    <s v="S. Kiptoo"/>
    <n v="1341"/>
    <n v="1292"/>
    <n v="44"/>
    <n v="32.1"/>
    <n v="7"/>
    <n v="105.05"/>
    <n v="135724.6"/>
    <n v="4622.2"/>
    <x v="0"/>
  </r>
  <r>
    <s v="BAT-0535"/>
    <s v="2025-07-30"/>
    <x v="2"/>
    <x v="0"/>
    <x v="1"/>
    <s v="Evening"/>
    <s v="F. Ali"/>
    <n v="1667"/>
    <n v="1638"/>
    <n v="27"/>
    <n v="52.2"/>
    <n v="6.7"/>
    <n v="105.1"/>
    <n v="172153.8"/>
    <n v="2837.7"/>
    <x v="1"/>
  </r>
  <r>
    <s v="BAT-0504"/>
    <s v="2025-11-13"/>
    <x v="0"/>
    <x v="4"/>
    <x v="3"/>
    <s v="Night"/>
    <s v="R. Njeri"/>
    <n v="942"/>
    <n v="940"/>
    <n v="29"/>
    <n v="8.3000000000000007"/>
    <n v="7.5"/>
    <n v="106.21"/>
    <n v="99837.4"/>
    <n v="3080.0899999999997"/>
    <x v="0"/>
  </r>
  <r>
    <s v="BAT-0557"/>
    <s v="2025-09-26"/>
    <x v="0"/>
    <x v="0"/>
    <x v="0"/>
    <s v="Evening"/>
    <s v="D. Kamau"/>
    <n v="922"/>
    <n v="923"/>
    <n v="12"/>
    <n v="100"/>
    <n v="6.3"/>
    <n v="106.24"/>
    <n v="98059.51999999999"/>
    <n v="1274.8799999999999"/>
    <x v="1"/>
  </r>
  <r>
    <s v="BAT-0005"/>
    <s v="2025-06-08"/>
    <x v="1"/>
    <x v="0"/>
    <x v="3"/>
    <s v="Evening"/>
    <s v="S. Kiptoo"/>
    <n v="922"/>
    <n v="857"/>
    <n v="22"/>
    <n v="34.1"/>
    <n v="6.5"/>
    <n v="106.24"/>
    <n v="91047.679999999993"/>
    <n v="2337.2799999999997"/>
    <x v="0"/>
  </r>
  <r>
    <s v="BAT-0443"/>
    <s v="2025-02-18"/>
    <x v="2"/>
    <x v="4"/>
    <x v="1"/>
    <s v="Night"/>
    <s v="S. Kiptoo"/>
    <n v="1633"/>
    <n v="1576"/>
    <n v="9"/>
    <n v="18.3"/>
    <n v="6.9"/>
    <n v="107.06"/>
    <n v="168726.56"/>
    <n v="963.54"/>
    <x v="1"/>
  </r>
  <r>
    <s v="BAT-0572"/>
    <s v="2025-06-01"/>
    <x v="0"/>
    <x v="4"/>
    <x v="2"/>
    <s v="Night"/>
    <s v="F. Ali"/>
    <n v="991"/>
    <n v="1002"/>
    <n v="28"/>
    <n v="21.6"/>
    <n v="8.4"/>
    <n v="107.36"/>
    <n v="107574.72"/>
    <n v="3006.08"/>
    <x v="0"/>
  </r>
  <r>
    <s v="BAT-0484"/>
    <s v="2025-10-18"/>
    <x v="0"/>
    <x v="3"/>
    <x v="3"/>
    <s v="Night"/>
    <s v="S. Kiptoo"/>
    <n v="1764"/>
    <n v="1365"/>
    <n v="28"/>
    <n v="20.8"/>
    <n v="7.1"/>
    <n v="107.57"/>
    <n v="146833.04999999999"/>
    <n v="3011.96"/>
    <x v="0"/>
  </r>
  <r>
    <s v="BAT-0221"/>
    <s v="2025-02-16"/>
    <x v="0"/>
    <x v="2"/>
    <x v="0"/>
    <s v="Evening"/>
    <s v="M. Hassan"/>
    <n v="1302"/>
    <n v="1189"/>
    <n v="4"/>
    <n v="145.9"/>
    <n v="8.4"/>
    <n v="108.17"/>
    <n v="128614.13"/>
    <n v="432.68"/>
    <x v="1"/>
  </r>
  <r>
    <s v="BAT-0138"/>
    <s v="2025-01-12"/>
    <x v="1"/>
    <x v="0"/>
    <x v="3"/>
    <s v="Day"/>
    <s v="R. Njeri"/>
    <n v="1132"/>
    <n v="1057"/>
    <n v="21"/>
    <n v="6.5"/>
    <n v="8.1"/>
    <n v="108.24"/>
    <n v="114409.68"/>
    <n v="2273.04"/>
    <x v="1"/>
  </r>
  <r>
    <s v="BAT-0226"/>
    <s v="2025-04-22"/>
    <x v="2"/>
    <x v="2"/>
    <x v="4"/>
    <s v="Night"/>
    <s v="M. Hassan"/>
    <n v="832"/>
    <n v="804"/>
    <n v="18"/>
    <n v="33.299999999999997"/>
    <n v="7.3"/>
    <n v="108.52"/>
    <n v="87250.08"/>
    <n v="1953.36"/>
    <x v="0"/>
  </r>
  <r>
    <s v="BAT-0275"/>
    <s v="2025-06-02"/>
    <x v="1"/>
    <x v="2"/>
    <x v="4"/>
    <s v="Day"/>
    <s v="J. Mwangi"/>
    <n v="1748"/>
    <n v="1742"/>
    <n v="39"/>
    <n v="50.4"/>
    <n v="7.8"/>
    <n v="108.63"/>
    <n v="189233.46"/>
    <n v="4236.57"/>
    <x v="0"/>
  </r>
  <r>
    <s v="BAT-0436"/>
    <s v="2025-02-15"/>
    <x v="0"/>
    <x v="1"/>
    <x v="3"/>
    <s v="Day"/>
    <s v="R. Njeri"/>
    <n v="1358"/>
    <n v="1239"/>
    <n v="41"/>
    <n v="56.2"/>
    <n v="6.4"/>
    <n v="108.8"/>
    <n v="134803.19999999998"/>
    <n v="4460.8"/>
    <x v="0"/>
  </r>
  <r>
    <s v="BAT-0408"/>
    <s v="2025-02-22"/>
    <x v="0"/>
    <x v="4"/>
    <x v="3"/>
    <s v="Night"/>
    <s v="D. Kamau"/>
    <n v="1052"/>
    <n v="1130"/>
    <n v="27"/>
    <n v="32.799999999999997"/>
    <n v="7.8"/>
    <n v="108.95"/>
    <n v="123113.5"/>
    <n v="2941.65"/>
    <x v="0"/>
  </r>
  <r>
    <s v="BAT-0486"/>
    <s v="2025-03-26"/>
    <x v="0"/>
    <x v="4"/>
    <x v="1"/>
    <s v="Night"/>
    <s v="D. Kamau"/>
    <n v="1622"/>
    <n v="1550"/>
    <n v="11"/>
    <n v="2"/>
    <n v="8"/>
    <n v="109.07"/>
    <n v="169058.5"/>
    <n v="1199.77"/>
    <x v="1"/>
  </r>
  <r>
    <s v="BAT-0088"/>
    <s v="2025-04-25"/>
    <x v="1"/>
    <x v="2"/>
    <x v="1"/>
    <s v="Day"/>
    <s v="M. Hassan"/>
    <n v="1562"/>
    <n v="1722"/>
    <n v="59"/>
    <n v="110.2"/>
    <n v="6.9"/>
    <n v="109.35"/>
    <n v="188300.69999999998"/>
    <n v="6451.65"/>
    <x v="0"/>
  </r>
  <r>
    <s v="BAT-0328"/>
    <s v="2025-01-14"/>
    <x v="2"/>
    <x v="1"/>
    <x v="2"/>
    <s v="Night"/>
    <s v="R. Njeri"/>
    <n v="1532"/>
    <n v="1403"/>
    <n v="30"/>
    <n v="27.6"/>
    <n v="7.6"/>
    <n v="109.47"/>
    <n v="153586.41"/>
    <n v="3284.1"/>
    <x v="0"/>
  </r>
  <r>
    <s v="BAT-0499"/>
    <s v="2025-12-05"/>
    <x v="2"/>
    <x v="3"/>
    <x v="0"/>
    <s v="Day"/>
    <s v="D. Kamau"/>
    <n v="1164"/>
    <n v="1234"/>
    <n v="34"/>
    <n v="70.400000000000006"/>
    <n v="7"/>
    <n v="109.75"/>
    <n v="135431.5"/>
    <n v="3731.5"/>
    <x v="0"/>
  </r>
  <r>
    <s v="BAT-0536"/>
    <s v="2025-02-26"/>
    <x v="1"/>
    <x v="0"/>
    <x v="1"/>
    <s v="Night"/>
    <s v="D. Kamau"/>
    <n v="1321"/>
    <n v="1644"/>
    <n v="33"/>
    <n v="23.3"/>
    <n v="6.1"/>
    <n v="109.81"/>
    <n v="180527.64"/>
    <n v="3623.73"/>
    <x v="0"/>
  </r>
  <r>
    <s v="BAT-0592"/>
    <s v="2025-11-26"/>
    <x v="0"/>
    <x v="1"/>
    <x v="4"/>
    <s v="Evening"/>
    <s v="P. Otieno"/>
    <n v="1689"/>
    <n v="2005"/>
    <n v="37"/>
    <n v="33.9"/>
    <n v="6.2"/>
    <n v="109.91"/>
    <n v="220369.55"/>
    <n v="4066.67"/>
    <x v="1"/>
  </r>
  <r>
    <s v="BAT-0247"/>
    <s v="2025-10-04"/>
    <x v="0"/>
    <x v="0"/>
    <x v="3"/>
    <s v="Night"/>
    <s v="P. Otieno"/>
    <n v="1303"/>
    <n v="1339"/>
    <n v="12"/>
    <n v="23.4"/>
    <n v="7.6"/>
    <n v="110.05"/>
    <n v="147356.94999999998"/>
    <n v="1320.6"/>
    <x v="1"/>
  </r>
  <r>
    <s v="BAT-0324"/>
    <s v="2025-12-01"/>
    <x v="0"/>
    <x v="3"/>
    <x v="1"/>
    <s v="Night"/>
    <s v="D. Kamau"/>
    <n v="1291"/>
    <n v="1097"/>
    <n v="6"/>
    <n v="26.3"/>
    <n v="8.3000000000000007"/>
    <n v="110.16"/>
    <n v="120845.51999999999"/>
    <n v="660.96"/>
    <x v="1"/>
  </r>
  <r>
    <s v="BAT-0579"/>
    <s v="2025-11-23"/>
    <x v="1"/>
    <x v="2"/>
    <x v="3"/>
    <s v="Evening"/>
    <s v="M. Hassan"/>
    <n v="1348"/>
    <n v="1181"/>
    <n v="7"/>
    <n v="74.400000000000006"/>
    <n v="7.8"/>
    <n v="110.44"/>
    <n v="130429.64"/>
    <n v="773.07999999999993"/>
    <x v="1"/>
  </r>
  <r>
    <s v="BAT-0254"/>
    <s v="2025-05-01"/>
    <x v="1"/>
    <x v="4"/>
    <x v="2"/>
    <s v="Night"/>
    <s v="S. Kiptoo"/>
    <n v="1748"/>
    <n v="1774"/>
    <n v="47"/>
    <n v="68"/>
    <n v="6.2"/>
    <n v="110.68"/>
    <n v="196346.32"/>
    <n v="5201.96"/>
    <x v="0"/>
  </r>
  <r>
    <s v="BAT-0205"/>
    <s v="2025-06-16"/>
    <x v="1"/>
    <x v="4"/>
    <x v="2"/>
    <s v="Night"/>
    <s v="D. Kamau"/>
    <n v="1513"/>
    <n v="1509"/>
    <n v="49"/>
    <n v="45.9"/>
    <n v="6.6"/>
    <n v="110.69"/>
    <n v="167031.21"/>
    <n v="5423.8099999999995"/>
    <x v="0"/>
  </r>
  <r>
    <s v="BAT-0086"/>
    <s v="2025-09-13"/>
    <x v="0"/>
    <x v="2"/>
    <x v="4"/>
    <s v="Day"/>
    <s v="M. Hassan"/>
    <n v="1758"/>
    <n v="1360"/>
    <n v="26"/>
    <n v="33"/>
    <n v="7.9"/>
    <n v="110.85"/>
    <n v="150756"/>
    <n v="2882.1"/>
    <x v="1"/>
  </r>
  <r>
    <s v="BAT-0385"/>
    <s v="2025-01-12"/>
    <x v="2"/>
    <x v="2"/>
    <x v="2"/>
    <s v="Day"/>
    <s v="A. Wanjiku"/>
    <n v="1667"/>
    <n v="1330"/>
    <n v="13"/>
    <n v="20"/>
    <n v="8"/>
    <n v="111.52"/>
    <n v="148321.60000000001"/>
    <n v="1449.76"/>
    <x v="1"/>
  </r>
  <r>
    <s v="BAT-0133"/>
    <s v="2025-02-03"/>
    <x v="1"/>
    <x v="1"/>
    <x v="3"/>
    <s v="Night"/>
    <s v="M. Hassan"/>
    <n v="771"/>
    <n v="671"/>
    <n v="4"/>
    <n v="25.8"/>
    <n v="7"/>
    <n v="111.7"/>
    <n v="74950.7"/>
    <n v="446.8"/>
    <x v="1"/>
  </r>
  <r>
    <s v="BAT-0111"/>
    <s v="2025-04-12"/>
    <x v="2"/>
    <x v="1"/>
    <x v="0"/>
    <s v="Evening"/>
    <s v="M. Hassan"/>
    <n v="1018"/>
    <n v="946"/>
    <n v="31"/>
    <n v="21"/>
    <n v="6.9"/>
    <n v="111.79"/>
    <n v="105753.34000000001"/>
    <n v="3465.4900000000002"/>
    <x v="0"/>
  </r>
  <r>
    <s v="BAT-0185"/>
    <s v="2025-06-30"/>
    <x v="1"/>
    <x v="0"/>
    <x v="2"/>
    <s v="Evening"/>
    <s v="F. Ali"/>
    <n v="1359"/>
    <n v="1438"/>
    <n v="25"/>
    <n v="33.4"/>
    <n v="6.5"/>
    <n v="112.64"/>
    <n v="161976.32000000001"/>
    <n v="2816"/>
    <x v="1"/>
  </r>
  <r>
    <s v="BAT-0594"/>
    <s v="2025-12-24"/>
    <x v="1"/>
    <x v="3"/>
    <x v="4"/>
    <s v="Night"/>
    <s v="P. Otieno"/>
    <n v="1308"/>
    <n v="1497"/>
    <n v="9"/>
    <n v="23.8"/>
    <n v="7.5"/>
    <n v="112.77"/>
    <n v="168816.69"/>
    <n v="1014.93"/>
    <x v="1"/>
  </r>
  <r>
    <s v="BAT-0418"/>
    <s v="2025-02-14"/>
    <x v="2"/>
    <x v="1"/>
    <x v="4"/>
    <s v="Day"/>
    <s v="P. Otieno"/>
    <n v="979"/>
    <n v="934"/>
    <n v="25"/>
    <n v="31.5"/>
    <n v="7.1"/>
    <n v="113.19"/>
    <n v="105719.45999999999"/>
    <n v="2829.75"/>
    <x v="0"/>
  </r>
  <r>
    <s v="BAT-0346"/>
    <s v="2025-04-04"/>
    <x v="1"/>
    <x v="1"/>
    <x v="4"/>
    <s v="Night"/>
    <s v="R. Njeri"/>
    <n v="1380"/>
    <n v="1560"/>
    <n v="5"/>
    <n v="38.4"/>
    <n v="7.4"/>
    <n v="113.38"/>
    <n v="176872.8"/>
    <n v="566.9"/>
    <x v="1"/>
  </r>
  <r>
    <s v="BAT-0525"/>
    <s v="2025-04-27"/>
    <x v="0"/>
    <x v="1"/>
    <x v="2"/>
    <s v="Day"/>
    <s v="S. Kiptoo"/>
    <n v="1648"/>
    <n v="1648"/>
    <n v="31"/>
    <n v="22.1"/>
    <n v="7.1"/>
    <n v="113.42"/>
    <n v="186916.16"/>
    <n v="3516.02"/>
    <x v="1"/>
  </r>
  <r>
    <s v="BAT-0516"/>
    <s v="2025-02-08"/>
    <x v="0"/>
    <x v="1"/>
    <x v="1"/>
    <s v="Night"/>
    <s v="J. Mwangi"/>
    <n v="1168"/>
    <n v="1129"/>
    <n v="6"/>
    <n v="58.9"/>
    <n v="7.4"/>
    <n v="113.5"/>
    <n v="128141.5"/>
    <n v="681"/>
    <x v="1"/>
  </r>
  <r>
    <s v="BAT-0139"/>
    <s v="2025-05-07"/>
    <x v="0"/>
    <x v="2"/>
    <x v="3"/>
    <s v="Day"/>
    <s v="R. Njeri"/>
    <n v="1211"/>
    <n v="1118"/>
    <n v="12"/>
    <n v="10.3"/>
    <n v="7"/>
    <n v="114.25"/>
    <n v="127731.5"/>
    <n v="1371"/>
    <x v="1"/>
  </r>
  <r>
    <s v="BAT-0243"/>
    <s v="2025-02-04"/>
    <x v="2"/>
    <x v="1"/>
    <x v="1"/>
    <s v="Night"/>
    <s v="M. Hassan"/>
    <n v="1166"/>
    <n v="1120"/>
    <n v="19"/>
    <n v="61.8"/>
    <n v="6.6"/>
    <n v="114.44"/>
    <n v="128172.8"/>
    <n v="2174.36"/>
    <x v="1"/>
  </r>
  <r>
    <s v="BAT-0497"/>
    <s v="2025-02-13"/>
    <x v="0"/>
    <x v="0"/>
    <x v="3"/>
    <s v="Evening"/>
    <s v="S. Kiptoo"/>
    <n v="1022"/>
    <n v="1115"/>
    <n v="33"/>
    <n v="61.6"/>
    <n v="6.8"/>
    <n v="114.77"/>
    <n v="127968.54999999999"/>
    <n v="3787.41"/>
    <x v="0"/>
  </r>
  <r>
    <s v="BAT-0120"/>
    <s v="2025-02-11"/>
    <x v="0"/>
    <x v="1"/>
    <x v="2"/>
    <s v="Night"/>
    <s v="S. Kiptoo"/>
    <n v="1640"/>
    <n v="1486"/>
    <n v="50"/>
    <n v="49"/>
    <n v="7.9"/>
    <n v="115.11"/>
    <n v="171053.46"/>
    <n v="5755.5"/>
    <x v="0"/>
  </r>
  <r>
    <s v="BAT-0372"/>
    <s v="2025-08-30"/>
    <x v="0"/>
    <x v="0"/>
    <x v="4"/>
    <s v="Evening"/>
    <s v="A. Wanjiku"/>
    <n v="1028"/>
    <n v="1147"/>
    <n v="34"/>
    <n v="47.8"/>
    <n v="6.4"/>
    <n v="115.13"/>
    <n v="132054.10999999999"/>
    <n v="3914.42"/>
    <x v="0"/>
  </r>
  <r>
    <s v="BAT-0388"/>
    <s v="2025-10-31"/>
    <x v="2"/>
    <x v="2"/>
    <x v="0"/>
    <s v="Night"/>
    <s v="F. Ali"/>
    <n v="1415"/>
    <n v="1571"/>
    <n v="16"/>
    <n v="17.7"/>
    <n v="6.2"/>
    <n v="115.47"/>
    <n v="181403.37"/>
    <n v="1847.52"/>
    <x v="1"/>
  </r>
  <r>
    <s v="BAT-0042"/>
    <s v="2025-10-04"/>
    <x v="0"/>
    <x v="3"/>
    <x v="1"/>
    <s v="Night"/>
    <s v="S. Kiptoo"/>
    <n v="968"/>
    <n v="831"/>
    <n v="24"/>
    <n v="55"/>
    <n v="7.2"/>
    <n v="115.62"/>
    <n v="96080.22"/>
    <n v="2774.88"/>
    <x v="0"/>
  </r>
  <r>
    <s v="BAT-0282"/>
    <s v="2025-06-27"/>
    <x v="2"/>
    <x v="0"/>
    <x v="3"/>
    <s v="Night"/>
    <s v="J. Mwangi"/>
    <n v="1685"/>
    <n v="1877"/>
    <n v="45"/>
    <n v="39.6"/>
    <n v="6.1"/>
    <n v="115.81"/>
    <n v="217375.37"/>
    <n v="5211.45"/>
    <x v="0"/>
  </r>
  <r>
    <s v="BAT-0035"/>
    <s v="2025-11-21"/>
    <x v="2"/>
    <x v="4"/>
    <x v="1"/>
    <s v="Day"/>
    <s v="F. Ali"/>
    <n v="1480"/>
    <n v="1314"/>
    <n v="44"/>
    <n v="6.5"/>
    <n v="8.5"/>
    <n v="116.06"/>
    <n v="152502.84"/>
    <n v="5106.6400000000003"/>
    <x v="0"/>
  </r>
  <r>
    <s v="BAT-0333"/>
    <s v="2025-04-24"/>
    <x v="2"/>
    <x v="0"/>
    <x v="1"/>
    <s v="Night"/>
    <s v="J. Mwangi"/>
    <n v="1120"/>
    <n v="1279"/>
    <n v="37"/>
    <n v="6.3"/>
    <n v="7"/>
    <n v="116.11"/>
    <n v="148504.69"/>
    <n v="4296.07"/>
    <x v="0"/>
  </r>
  <r>
    <s v="BAT-0052"/>
    <s v="2025-03-13"/>
    <x v="1"/>
    <x v="1"/>
    <x v="0"/>
    <s v="Evening"/>
    <s v="F. Ali"/>
    <n v="1573"/>
    <n v="1244"/>
    <n v="30"/>
    <n v="48.8"/>
    <n v="7.8"/>
    <n v="116.26"/>
    <n v="144627.44"/>
    <n v="3487.8"/>
    <x v="0"/>
  </r>
  <r>
    <s v="BAT-0018"/>
    <s v="2025-02-16"/>
    <x v="1"/>
    <x v="3"/>
    <x v="1"/>
    <s v="Evening"/>
    <s v="D. Kamau"/>
    <n v="1667"/>
    <n v="1727"/>
    <n v="18"/>
    <n v="38.799999999999997"/>
    <n v="6.4"/>
    <n v="116.65"/>
    <n v="201454.55000000002"/>
    <n v="2099.7000000000003"/>
    <x v="1"/>
  </r>
  <r>
    <s v="BAT-0114"/>
    <s v="2025-06-17"/>
    <x v="0"/>
    <x v="2"/>
    <x v="0"/>
    <s v="Evening"/>
    <s v="A. Wanjiku"/>
    <n v="1412"/>
    <n v="1302"/>
    <n v="17"/>
    <n v="56.9"/>
    <n v="6.5"/>
    <n v="116.83"/>
    <n v="152112.66"/>
    <n v="1986.11"/>
    <x v="1"/>
  </r>
  <r>
    <s v="BAT-0424"/>
    <s v="2025-08-01"/>
    <x v="2"/>
    <x v="3"/>
    <x v="2"/>
    <s v="Day"/>
    <s v="D. Kamau"/>
    <n v="1761"/>
    <n v="1877"/>
    <n v="12"/>
    <n v="25.6"/>
    <n v="7.6"/>
    <n v="117.18"/>
    <n v="219946.86000000002"/>
    <n v="1406.16"/>
    <x v="1"/>
  </r>
  <r>
    <s v="BAT-0480"/>
    <s v="2025-02-09"/>
    <x v="2"/>
    <x v="4"/>
    <x v="3"/>
    <s v="Day"/>
    <s v="A. Wanjiku"/>
    <n v="1101"/>
    <n v="894"/>
    <n v="3"/>
    <n v="19.100000000000001"/>
    <n v="8.5"/>
    <n v="117.35"/>
    <n v="104910.9"/>
    <n v="352.04999999999995"/>
    <x v="1"/>
  </r>
  <r>
    <s v="BAT-0216"/>
    <s v="2025-04-10"/>
    <x v="1"/>
    <x v="3"/>
    <x v="2"/>
    <s v="Evening"/>
    <s v="J. Mwangi"/>
    <n v="1757"/>
    <n v="1896"/>
    <n v="58"/>
    <n v="17"/>
    <n v="6.7"/>
    <n v="118.05"/>
    <n v="223822.8"/>
    <n v="6846.9"/>
    <x v="0"/>
  </r>
  <r>
    <s v="BAT-0214"/>
    <s v="2025-06-14"/>
    <x v="2"/>
    <x v="2"/>
    <x v="0"/>
    <s v="Day"/>
    <s v="A. Wanjiku"/>
    <n v="962"/>
    <n v="1045"/>
    <n v="20"/>
    <n v="48.8"/>
    <n v="6.5"/>
    <n v="118.99"/>
    <n v="124344.54999999999"/>
    <n v="2379.7999999999997"/>
    <x v="1"/>
  </r>
  <r>
    <s v="BAT-0584"/>
    <s v="2025-01-19"/>
    <x v="0"/>
    <x v="4"/>
    <x v="0"/>
    <s v="Night"/>
    <s v="D. Kamau"/>
    <n v="1227"/>
    <n v="1189"/>
    <n v="36"/>
    <n v="28.4"/>
    <n v="7.8"/>
    <n v="119.05"/>
    <n v="141550.44999999998"/>
    <n v="4285.8"/>
    <x v="0"/>
  </r>
  <r>
    <s v="BAT-0176"/>
    <s v="2025-06-18"/>
    <x v="1"/>
    <x v="0"/>
    <x v="4"/>
    <s v="Day"/>
    <s v="P. Otieno"/>
    <n v="1730"/>
    <n v="1780"/>
    <n v="40"/>
    <n v="39.6"/>
    <n v="6.5"/>
    <n v="119.67"/>
    <n v="213012.6"/>
    <n v="4786.8"/>
    <x v="0"/>
  </r>
  <r>
    <s v="BAT-0460"/>
    <s v="2025-02-08"/>
    <x v="0"/>
    <x v="2"/>
    <x v="2"/>
    <s v="Night"/>
    <s v="J. Mwangi"/>
    <n v="1731"/>
    <n v="1514"/>
    <n v="25"/>
    <n v="39.700000000000003"/>
    <n v="7.8"/>
    <n v="119.77"/>
    <n v="181331.78"/>
    <n v="2994.25"/>
    <x v="1"/>
  </r>
  <r>
    <s v="BAT-0591"/>
    <s v="2025-10-20"/>
    <x v="2"/>
    <x v="0"/>
    <x v="3"/>
    <s v="Night"/>
    <s v="S. Kiptoo"/>
    <n v="1448"/>
    <n v="1538"/>
    <n v="28"/>
    <n v="31.7"/>
    <n v="8.3000000000000007"/>
    <n v="120.47"/>
    <n v="185282.86"/>
    <n v="3373.16"/>
    <x v="1"/>
  </r>
  <r>
    <s v="BAT-0366"/>
    <s v="2025-07-09"/>
    <x v="0"/>
    <x v="4"/>
    <x v="1"/>
    <s v="Day"/>
    <s v="S. Kiptoo"/>
    <n v="1119"/>
    <n v="1050"/>
    <n v="21"/>
    <n v="53.4"/>
    <n v="7"/>
    <n v="121.16"/>
    <n v="127218"/>
    <n v="2544.36"/>
    <x v="0"/>
  </r>
  <r>
    <s v="BAT-0063"/>
    <s v="2025-05-14"/>
    <x v="1"/>
    <x v="2"/>
    <x v="2"/>
    <s v="Day"/>
    <s v="M. Hassan"/>
    <n v="975"/>
    <n v="919"/>
    <n v="32"/>
    <n v="59.3"/>
    <n v="7.7"/>
    <n v="121.46"/>
    <n v="111621.73999999999"/>
    <n v="3886.72"/>
    <x v="0"/>
  </r>
  <r>
    <s v="BAT-0362"/>
    <s v="2025-11-22"/>
    <x v="1"/>
    <x v="3"/>
    <x v="2"/>
    <s v="Night"/>
    <s v="R. Njeri"/>
    <n v="1587"/>
    <n v="1461"/>
    <n v="27"/>
    <n v="3.8"/>
    <n v="7.2"/>
    <n v="121.87"/>
    <n v="178052.07"/>
    <n v="3290.4900000000002"/>
    <x v="1"/>
  </r>
  <r>
    <s v="BAT-0498"/>
    <s v="2025-05-17"/>
    <x v="0"/>
    <x v="2"/>
    <x v="0"/>
    <s v="Day"/>
    <s v="M. Hassan"/>
    <n v="1771"/>
    <n v="1658"/>
    <n v="22"/>
    <n v="9.5"/>
    <n v="7"/>
    <n v="122.15"/>
    <n v="202524.7"/>
    <n v="2687.3"/>
    <x v="1"/>
  </r>
  <r>
    <s v="BAT-0476"/>
    <s v="2025-10-14"/>
    <x v="0"/>
    <x v="0"/>
    <x v="0"/>
    <s v="Night"/>
    <s v="M. Hassan"/>
    <n v="1566"/>
    <n v="1531"/>
    <n v="47"/>
    <n v="48.9"/>
    <n v="8.3000000000000007"/>
    <n v="122.34"/>
    <n v="187302.54"/>
    <n v="5749.9800000000005"/>
    <x v="0"/>
  </r>
  <r>
    <s v="BAT-0479"/>
    <s v="2025-08-31"/>
    <x v="0"/>
    <x v="1"/>
    <x v="3"/>
    <s v="Night"/>
    <s v="F. Ali"/>
    <n v="1670"/>
    <n v="1608"/>
    <n v="43"/>
    <n v="25.3"/>
    <n v="6.8"/>
    <n v="122.35"/>
    <n v="196738.8"/>
    <n v="5261.05"/>
    <x v="0"/>
  </r>
  <r>
    <s v="BAT-0410"/>
    <s v="2025-01-06"/>
    <x v="0"/>
    <x v="4"/>
    <x v="2"/>
    <s v="Night"/>
    <s v="D. Kamau"/>
    <n v="1663"/>
    <n v="1748"/>
    <n v="39"/>
    <n v="16.600000000000001"/>
    <n v="8"/>
    <n v="122.38"/>
    <n v="213920.24"/>
    <n v="4772.82"/>
    <x v="0"/>
  </r>
  <r>
    <s v="BAT-0356"/>
    <s v="2025-12-29"/>
    <x v="2"/>
    <x v="4"/>
    <x v="3"/>
    <s v="Night"/>
    <s v="P. Otieno"/>
    <n v="1316"/>
    <n v="1253"/>
    <n v="22"/>
    <n v="43.5"/>
    <n v="6.5"/>
    <n v="122.51"/>
    <n v="153505.03"/>
    <n v="2695.2200000000003"/>
    <x v="1"/>
  </r>
  <r>
    <s v="BAT-0433"/>
    <s v="2025-10-29"/>
    <x v="2"/>
    <x v="4"/>
    <x v="3"/>
    <s v="Evening"/>
    <s v="R. Njeri"/>
    <n v="778"/>
    <n v="747"/>
    <n v="26"/>
    <n v="39.6"/>
    <n v="6.2"/>
    <n v="123.03"/>
    <n v="91903.41"/>
    <n v="3198.78"/>
    <x v="0"/>
  </r>
  <r>
    <s v="BAT-0330"/>
    <s v="2025-07-22"/>
    <x v="0"/>
    <x v="3"/>
    <x v="3"/>
    <s v="Evening"/>
    <s v="M. Hassan"/>
    <n v="1406"/>
    <n v="1274"/>
    <n v="12"/>
    <n v="13.7"/>
    <n v="7.8"/>
    <n v="123.08"/>
    <n v="156803.91999999998"/>
    <n v="1476.96"/>
    <x v="1"/>
  </r>
  <r>
    <s v="BAT-0314"/>
    <s v="2025-04-13"/>
    <x v="1"/>
    <x v="2"/>
    <x v="3"/>
    <s v="Evening"/>
    <s v="Not Found"/>
    <n v="797"/>
    <n v="725"/>
    <n v="25"/>
    <n v="116.2"/>
    <n v="6.4"/>
    <n v="123.5"/>
    <n v="89537.5"/>
    <n v="3087.5"/>
    <x v="0"/>
  </r>
  <r>
    <s v="BAT-0312"/>
    <s v="2025-09-03"/>
    <x v="0"/>
    <x v="3"/>
    <x v="0"/>
    <s v="Evening"/>
    <s v="F. Ali"/>
    <n v="1459"/>
    <n v="1576"/>
    <n v="8"/>
    <n v="22.2"/>
    <n v="8.1999999999999993"/>
    <n v="124.11"/>
    <n v="195597.36"/>
    <n v="992.88"/>
    <x v="1"/>
  </r>
  <r>
    <s v="BAT-0280"/>
    <s v="2025-01-31"/>
    <x v="1"/>
    <x v="2"/>
    <x v="0"/>
    <s v="Night"/>
    <s v="R. Njeri"/>
    <n v="1061"/>
    <n v="1008"/>
    <n v="27"/>
    <n v="21.3"/>
    <n v="7.9"/>
    <n v="125.22"/>
    <n v="126221.75999999999"/>
    <n v="3380.94"/>
    <x v="0"/>
  </r>
  <r>
    <s v="BAT-0098"/>
    <s v="2025-09-07"/>
    <x v="2"/>
    <x v="3"/>
    <x v="4"/>
    <s v="Evening"/>
    <s v="M. Hassan"/>
    <n v="1509"/>
    <n v="1354"/>
    <n v="8"/>
    <n v="124.2"/>
    <n v="6.7"/>
    <n v="125.5"/>
    <n v="169927"/>
    <n v="1004"/>
    <x v="1"/>
  </r>
  <r>
    <s v="BAT-0317"/>
    <s v="2025-09-24"/>
    <x v="2"/>
    <x v="0"/>
    <x v="4"/>
    <s v="Night"/>
    <s v="J. Mwangi"/>
    <n v="1652"/>
    <n v="1671"/>
    <n v="12"/>
    <n v="1.9"/>
    <n v="7.7"/>
    <n v="125.65"/>
    <n v="209961.15000000002"/>
    <n v="1507.8000000000002"/>
    <x v="1"/>
  </r>
  <r>
    <s v="BAT-0571"/>
    <s v="2025-12-13"/>
    <x v="0"/>
    <x v="2"/>
    <x v="2"/>
    <s v="Evening"/>
    <s v="A. Wanjiku"/>
    <n v="1076"/>
    <n v="1139"/>
    <n v="19"/>
    <n v="66.2"/>
    <n v="8.1"/>
    <n v="125.91"/>
    <n v="143411.49"/>
    <n v="2392.29"/>
    <x v="1"/>
  </r>
  <r>
    <s v="BAT-0209"/>
    <s v="2025-04-07"/>
    <x v="1"/>
    <x v="0"/>
    <x v="4"/>
    <s v="Evening"/>
    <s v="J. Mwangi"/>
    <n v="981"/>
    <n v="998"/>
    <n v="9"/>
    <n v="33.5"/>
    <n v="8.3000000000000007"/>
    <n v="126.08"/>
    <n v="125827.84"/>
    <n v="1134.72"/>
    <x v="1"/>
  </r>
  <r>
    <s v="BAT-0519"/>
    <s v="2025-06-23"/>
    <x v="1"/>
    <x v="3"/>
    <x v="0"/>
    <s v="Night"/>
    <s v="F. Ali"/>
    <n v="1597"/>
    <n v="1392"/>
    <n v="48"/>
    <n v="69.2"/>
    <n v="7.9"/>
    <n v="126.23"/>
    <n v="175712.16"/>
    <n v="6059.04"/>
    <x v="0"/>
  </r>
  <r>
    <s v="BAT-0146"/>
    <s v="2025-11-08"/>
    <x v="1"/>
    <x v="1"/>
    <x v="2"/>
    <s v="Evening"/>
    <s v="P. Otieno"/>
    <n v="760"/>
    <n v="528"/>
    <n v="12"/>
    <n v="7.7"/>
    <n v="6.3"/>
    <n v="126.25"/>
    <n v="66660"/>
    <n v="1515"/>
    <x v="0"/>
  </r>
  <r>
    <s v="BAT-0183"/>
    <s v="2025-07-01"/>
    <x v="2"/>
    <x v="3"/>
    <x v="3"/>
    <s v="Night"/>
    <s v="M. Hassan"/>
    <n v="1489"/>
    <n v="1505"/>
    <n v="25"/>
    <n v="29.5"/>
    <n v="7.6"/>
    <n v="126.74"/>
    <n v="190743.69999999998"/>
    <n v="3168.5"/>
    <x v="1"/>
  </r>
  <r>
    <s v="BAT-0053"/>
    <s v="2025-05-13"/>
    <x v="0"/>
    <x v="3"/>
    <x v="0"/>
    <s v="Day"/>
    <s v="D. Kamau"/>
    <n v="708"/>
    <n v="588"/>
    <n v="6"/>
    <n v="55.3"/>
    <n v="7.6"/>
    <n v="126.98"/>
    <n v="74664.240000000005"/>
    <n v="761.88"/>
    <x v="1"/>
  </r>
  <r>
    <s v="BAT-0494"/>
    <s v="2025-08-09"/>
    <x v="2"/>
    <x v="0"/>
    <x v="1"/>
    <s v="Day"/>
    <s v="R. Njeri"/>
    <n v="870"/>
    <n v="715"/>
    <n v="4"/>
    <n v="47.2"/>
    <n v="8.1"/>
    <n v="127.69"/>
    <n v="91298.349999999991"/>
    <n v="510.76"/>
    <x v="1"/>
  </r>
  <r>
    <s v="BAT-0047"/>
    <s v="2025-06-12"/>
    <x v="1"/>
    <x v="1"/>
    <x v="1"/>
    <s v="Night"/>
    <s v="R. Njeri"/>
    <n v="1667"/>
    <n v="1558"/>
    <n v="52"/>
    <n v="43"/>
    <n v="8"/>
    <n v="128.08000000000001"/>
    <n v="199548.64"/>
    <n v="6660.1600000000008"/>
    <x v="0"/>
  </r>
  <r>
    <s v="BAT-0599"/>
    <s v="2025-08-18"/>
    <x v="2"/>
    <x v="4"/>
    <x v="1"/>
    <s v="Night"/>
    <s v="S. Kiptoo"/>
    <n v="1459"/>
    <n v="1602"/>
    <n v="13"/>
    <n v="37.9"/>
    <n v="7"/>
    <n v="128.26"/>
    <n v="205472.52"/>
    <n v="1667.3799999999999"/>
    <x v="1"/>
  </r>
  <r>
    <s v="BAT-0300"/>
    <s v="2025-01-08"/>
    <x v="1"/>
    <x v="2"/>
    <x v="4"/>
    <s v="Night"/>
    <s v="D. Kamau"/>
    <n v="1573"/>
    <n v="1373"/>
    <n v="26"/>
    <n v="32.6"/>
    <n v="7.8"/>
    <n v="128.41"/>
    <n v="176306.93"/>
    <n v="3338.66"/>
    <x v="1"/>
  </r>
  <r>
    <s v="BAT-0501"/>
    <s v="2025-02-11"/>
    <x v="2"/>
    <x v="3"/>
    <x v="1"/>
    <s v="Evening"/>
    <s v="J. Mwangi"/>
    <n v="1190"/>
    <n v="1019"/>
    <n v="4"/>
    <n v="47.9"/>
    <n v="8.5"/>
    <n v="128.41999999999999"/>
    <n v="130859.97999999998"/>
    <n v="513.67999999999995"/>
    <x v="1"/>
  </r>
  <r>
    <s v="BAT-0374"/>
    <s v="2025-05-17"/>
    <x v="0"/>
    <x v="2"/>
    <x v="3"/>
    <s v="Day"/>
    <s v="A. Wanjiku"/>
    <n v="1096"/>
    <n v="842"/>
    <n v="26"/>
    <n v="8.8000000000000007"/>
    <n v="8"/>
    <n v="128.44999999999999"/>
    <n v="108154.9"/>
    <n v="3339.7"/>
    <x v="0"/>
  </r>
  <r>
    <s v="BAT-0329"/>
    <s v="2025-02-21"/>
    <x v="2"/>
    <x v="0"/>
    <x v="0"/>
    <s v="Day"/>
    <s v="D. Kamau"/>
    <n v="908"/>
    <n v="808"/>
    <n v="9"/>
    <n v="14.3"/>
    <n v="7.3"/>
    <n v="128.87"/>
    <n v="104126.96"/>
    <n v="1159.83"/>
    <x v="1"/>
  </r>
  <r>
    <s v="BAT-0099"/>
    <s v="2025-08-21"/>
    <x v="0"/>
    <x v="0"/>
    <x v="0"/>
    <s v="Night"/>
    <s v="R. Njeri"/>
    <n v="1380"/>
    <n v="1379"/>
    <n v="35"/>
    <n v="49.4"/>
    <n v="8.1"/>
    <n v="129.07"/>
    <n v="177987.53"/>
    <n v="4517.45"/>
    <x v="0"/>
  </r>
  <r>
    <s v="BAT-0425"/>
    <s v="2025-06-02"/>
    <x v="0"/>
    <x v="2"/>
    <x v="0"/>
    <s v="Evening"/>
    <s v="R. Njeri"/>
    <n v="1602"/>
    <n v="1696"/>
    <n v="34"/>
    <n v="19.399999999999999"/>
    <n v="8.3000000000000007"/>
    <n v="129.1"/>
    <n v="218953.59999999998"/>
    <n v="4389.3999999999996"/>
    <x v="0"/>
  </r>
  <r>
    <s v="BAT-0211"/>
    <s v="2025-04-06"/>
    <x v="0"/>
    <x v="0"/>
    <x v="2"/>
    <s v="Night"/>
    <s v="D. Kamau"/>
    <n v="1291"/>
    <n v="1237"/>
    <n v="32"/>
    <n v="40.4"/>
    <n v="7.1"/>
    <n v="129.34"/>
    <n v="159993.58000000002"/>
    <n v="4138.88"/>
    <x v="0"/>
  </r>
  <r>
    <s v="BAT-0513"/>
    <s v="2025-11-03"/>
    <x v="2"/>
    <x v="0"/>
    <x v="4"/>
    <s v="Day"/>
    <s v="D. Kamau"/>
    <n v="818"/>
    <n v="951"/>
    <n v="13"/>
    <n v="12"/>
    <n v="8"/>
    <n v="129.55000000000001"/>
    <n v="123202.05000000002"/>
    <n v="1684.15"/>
    <x v="1"/>
  </r>
  <r>
    <s v="BAT-0130"/>
    <s v="2025-08-20"/>
    <x v="2"/>
    <x v="3"/>
    <x v="0"/>
    <s v="Night"/>
    <s v="J. Mwangi"/>
    <n v="1440"/>
    <n v="1596"/>
    <n v="50"/>
    <n v="25.6"/>
    <n v="6.4"/>
    <n v="129.63999999999999"/>
    <n v="206905.43999999997"/>
    <n v="6481.9999999999991"/>
    <x v="0"/>
  </r>
  <r>
    <s v="BAT-0079"/>
    <s v="2025-07-26"/>
    <x v="0"/>
    <x v="4"/>
    <x v="1"/>
    <s v="Night"/>
    <s v="S. Kiptoo"/>
    <n v="991"/>
    <n v="943"/>
    <n v="6"/>
    <n v="107.8"/>
    <n v="8.1999999999999993"/>
    <n v="129.81"/>
    <n v="122410.83"/>
    <n v="778.86"/>
    <x v="1"/>
  </r>
  <r>
    <s v="BAT-0357"/>
    <s v="2025-02-25"/>
    <x v="0"/>
    <x v="3"/>
    <x v="2"/>
    <s v="Night"/>
    <s v="R. Njeri"/>
    <n v="1115"/>
    <n v="1178"/>
    <n v="36"/>
    <n v="30"/>
    <n v="6.7"/>
    <n v="129.97"/>
    <n v="153104.66"/>
    <n v="4678.92"/>
    <x v="0"/>
  </r>
  <r>
    <s v="BAT-0401"/>
    <s v="2025-12-31"/>
    <x v="1"/>
    <x v="2"/>
    <x v="3"/>
    <s v="Day"/>
    <s v="P. Otieno"/>
    <n v="1153"/>
    <n v="1459"/>
    <n v="14"/>
    <n v="11.1"/>
    <n v="7.4"/>
    <n v="130"/>
    <n v="189670"/>
    <n v="1820"/>
    <x v="1"/>
  </r>
  <r>
    <s v="BAT-0187"/>
    <s v="2025-03-02"/>
    <x v="2"/>
    <x v="3"/>
    <x v="2"/>
    <s v="Day"/>
    <s v="Not Found"/>
    <n v="1320"/>
    <n v="1074"/>
    <n v="13"/>
    <n v="22.9"/>
    <n v="7.3"/>
    <n v="130.12"/>
    <n v="139748.88"/>
    <n v="1691.56"/>
    <x v="1"/>
  </r>
  <r>
    <s v="BAT-0334"/>
    <s v="2025-10-30"/>
    <x v="2"/>
    <x v="4"/>
    <x v="2"/>
    <s v="Night"/>
    <s v="D. Kamau"/>
    <n v="1256"/>
    <n v="1085"/>
    <n v="5"/>
    <n v="12.5"/>
    <n v="8.3000000000000007"/>
    <n v="130.22999999999999"/>
    <n v="141299.54999999999"/>
    <n v="651.15"/>
    <x v="1"/>
  </r>
  <r>
    <s v="BAT-0125"/>
    <s v="2025-11-09"/>
    <x v="2"/>
    <x v="1"/>
    <x v="1"/>
    <s v="Day"/>
    <s v="F. Ali"/>
    <n v="1666"/>
    <n v="1838"/>
    <n v="52"/>
    <n v="39.200000000000003"/>
    <n v="6.7"/>
    <n v="130.38"/>
    <n v="239638.44"/>
    <n v="6779.76"/>
    <x v="0"/>
  </r>
  <r>
    <s v="BAT-0260"/>
    <s v="2025-08-03"/>
    <x v="0"/>
    <x v="3"/>
    <x v="0"/>
    <s v="Day"/>
    <s v="D. Kamau"/>
    <n v="778"/>
    <n v="667"/>
    <n v="15"/>
    <s v=""/>
    <n v="6.3"/>
    <n v="130.41"/>
    <n v="86983.47"/>
    <n v="1956.1499999999999"/>
    <x v="0"/>
  </r>
  <r>
    <s v="BAT-0355"/>
    <s v="2025-12-20"/>
    <x v="1"/>
    <x v="1"/>
    <x v="1"/>
    <s v="Night"/>
    <s v="J. Mwangi"/>
    <n v="1486"/>
    <n v="1157"/>
    <n v="6"/>
    <n v="46.5"/>
    <n v="7.2"/>
    <n v="130.75"/>
    <n v="151277.75"/>
    <n v="784.5"/>
    <x v="1"/>
  </r>
  <r>
    <s v="BAT-0413"/>
    <s v="2025-04-12"/>
    <x v="0"/>
    <x v="0"/>
    <x v="0"/>
    <s v="Day"/>
    <s v="R. Njeri"/>
    <n v="1136"/>
    <n v="1005"/>
    <n v="27"/>
    <n v="98.8"/>
    <n v="6.7"/>
    <n v="130.94"/>
    <n v="131594.70000000001"/>
    <n v="3535.38"/>
    <x v="0"/>
  </r>
  <r>
    <s v="BAT-0196"/>
    <s v="2025-02-01"/>
    <x v="0"/>
    <x v="3"/>
    <x v="3"/>
    <s v="Day"/>
    <s v="A. Wanjiku"/>
    <n v="1225"/>
    <n v="1058"/>
    <n v="36"/>
    <n v="56.6"/>
    <n v="8.1999999999999993"/>
    <n v="131.02000000000001"/>
    <n v="138619.16"/>
    <n v="4716.72"/>
    <x v="0"/>
  </r>
  <r>
    <s v="BAT-0511"/>
    <s v="2025-12-30"/>
    <x v="0"/>
    <x v="4"/>
    <x v="3"/>
    <s v="Day"/>
    <s v="Not Found"/>
    <n v="1660"/>
    <n v="1653"/>
    <n v="16"/>
    <n v="30.4"/>
    <n v="8.3000000000000007"/>
    <n v="131.03"/>
    <n v="216592.59"/>
    <n v="2096.48"/>
    <x v="1"/>
  </r>
  <r>
    <s v="BAT-0054"/>
    <s v="2025-06-20"/>
    <x v="0"/>
    <x v="2"/>
    <x v="1"/>
    <s v="Evening"/>
    <s v="M. Hassan"/>
    <n v="1652"/>
    <n v="1591"/>
    <n v="6"/>
    <n v="40"/>
    <n v="7"/>
    <n v="131.75"/>
    <n v="209614.25"/>
    <n v="790.5"/>
    <x v="1"/>
  </r>
  <r>
    <s v="BAT-0293"/>
    <s v="2025-12-15"/>
    <x v="0"/>
    <x v="0"/>
    <x v="1"/>
    <s v="Evening"/>
    <s v="M. Hassan"/>
    <n v="1420"/>
    <n v="1275"/>
    <n v="20"/>
    <n v="14.5"/>
    <n v="6.5"/>
    <n v="132.09"/>
    <n v="168414.75"/>
    <n v="2641.8"/>
    <x v="1"/>
  </r>
  <r>
    <s v="BAT-0171"/>
    <s v="2025-02-08"/>
    <x v="2"/>
    <x v="3"/>
    <x v="2"/>
    <s v="Day"/>
    <s v="S. Kiptoo"/>
    <n v="1381"/>
    <n v="1104"/>
    <n v="22"/>
    <n v="31.6"/>
    <n v="7.4"/>
    <n v="132.16"/>
    <n v="145904.63999999998"/>
    <n v="2907.52"/>
    <x v="1"/>
  </r>
  <r>
    <s v="BAT-0431"/>
    <s v="2025-01-31"/>
    <x v="1"/>
    <x v="3"/>
    <x v="3"/>
    <s v="Day"/>
    <s v="P. Otieno"/>
    <n v="1452"/>
    <n v="1262"/>
    <n v="41"/>
    <n v="30.3"/>
    <n v="7.1"/>
    <n v="132.44"/>
    <n v="167139.28"/>
    <n v="5430.04"/>
    <x v="0"/>
  </r>
  <r>
    <s v="BAT-0353"/>
    <s v="2025-04-20"/>
    <x v="0"/>
    <x v="4"/>
    <x v="1"/>
    <s v="Evening"/>
    <s v="A. Wanjiku"/>
    <n v="1042"/>
    <n v="960"/>
    <n v="29"/>
    <n v="2.4"/>
    <n v="8.1"/>
    <n v="132.57"/>
    <n v="127267.2"/>
    <n v="3844.5299999999997"/>
    <x v="0"/>
  </r>
  <r>
    <s v="BAT-0339"/>
    <s v="2025-03-15"/>
    <x v="0"/>
    <x v="0"/>
    <x v="0"/>
    <s v="Evening"/>
    <s v="F. Ali"/>
    <n v="1138"/>
    <n v="1167"/>
    <n v="9"/>
    <n v="32.700000000000003"/>
    <n v="8.3000000000000007"/>
    <n v="132.62"/>
    <n v="154767.54"/>
    <n v="1193.58"/>
    <x v="1"/>
  </r>
  <r>
    <s v="BAT-0472"/>
    <s v="2025-10-21"/>
    <x v="1"/>
    <x v="2"/>
    <x v="0"/>
    <s v="Evening"/>
    <s v="S. Kiptoo"/>
    <n v="1469"/>
    <n v="1364"/>
    <n v="40"/>
    <n v="36.9"/>
    <n v="7.3"/>
    <n v="133.21"/>
    <n v="181698.44"/>
    <n v="5328.4000000000005"/>
    <x v="0"/>
  </r>
  <r>
    <s v="BAT-0298"/>
    <s v="2025-06-10"/>
    <x v="2"/>
    <x v="4"/>
    <x v="4"/>
    <s v="Night"/>
    <s v="R. Njeri"/>
    <n v="1124"/>
    <n v="1059"/>
    <n v="35"/>
    <n v="34.700000000000003"/>
    <n v="7.3"/>
    <n v="133.54"/>
    <n v="141418.85999999999"/>
    <n v="4673.8999999999996"/>
    <x v="0"/>
  </r>
  <r>
    <s v="BAT-0552"/>
    <s v="2025-05-24"/>
    <x v="0"/>
    <x v="0"/>
    <x v="3"/>
    <s v="Evening"/>
    <s v="D. Kamau"/>
    <n v="1299"/>
    <n v="1146"/>
    <n v="33"/>
    <n v="87.4"/>
    <n v="6.3"/>
    <n v="133.56"/>
    <n v="153059.76"/>
    <n v="4407.4800000000005"/>
    <x v="0"/>
  </r>
  <r>
    <s v="BAT-0573"/>
    <s v="2025-04-14"/>
    <x v="2"/>
    <x v="4"/>
    <x v="3"/>
    <s v="Evening"/>
    <s v="A. Wanjiku"/>
    <n v="1528"/>
    <n v="1308"/>
    <n v="15"/>
    <n v="6"/>
    <n v="7.7"/>
    <n v="133.58000000000001"/>
    <n v="174722.64"/>
    <n v="2003.7000000000003"/>
    <x v="1"/>
  </r>
  <r>
    <s v="BAT-0213"/>
    <s v="2025-10-15"/>
    <x v="2"/>
    <x v="3"/>
    <x v="4"/>
    <s v="Night"/>
    <s v="A. Wanjiku"/>
    <n v="1786"/>
    <n v="1724"/>
    <n v="26"/>
    <n v="29.2"/>
    <n v="8"/>
    <n v="133.97"/>
    <n v="230964.28"/>
    <n v="3483.22"/>
    <x v="1"/>
  </r>
  <r>
    <s v="BAT-0199"/>
    <s v="2025-05-04"/>
    <x v="1"/>
    <x v="1"/>
    <x v="4"/>
    <s v="Night"/>
    <s v="P. Otieno"/>
    <n v="765"/>
    <n v="686"/>
    <n v="19"/>
    <n v="16.5"/>
    <n v="6.7"/>
    <n v="133.99"/>
    <n v="91917.14"/>
    <n v="2545.8100000000004"/>
    <x v="0"/>
  </r>
  <r>
    <s v="BAT-0405"/>
    <s v="2025-07-02"/>
    <x v="2"/>
    <x v="4"/>
    <x v="3"/>
    <s v="Night"/>
    <s v="P. Otieno"/>
    <n v="1215"/>
    <n v="1126"/>
    <n v="3"/>
    <n v="15"/>
    <n v="6.6"/>
    <n v="134.08000000000001"/>
    <n v="150974.08000000002"/>
    <n v="402.24"/>
    <x v="1"/>
  </r>
  <r>
    <s v="BAT-0071"/>
    <s v="2025-10-18"/>
    <x v="1"/>
    <x v="2"/>
    <x v="3"/>
    <s v="Evening"/>
    <s v="S. Kiptoo"/>
    <n v="1231"/>
    <n v="1043"/>
    <n v="4"/>
    <n v="45.7"/>
    <n v="6.3"/>
    <n v="134.69"/>
    <n v="140481.66999999998"/>
    <n v="538.76"/>
    <x v="1"/>
  </r>
  <r>
    <s v="BAT-0031"/>
    <s v="2025-06-14"/>
    <x v="0"/>
    <x v="4"/>
    <x v="0"/>
    <s v="Night"/>
    <s v="J. Mwangi"/>
    <n v="916"/>
    <n v="879"/>
    <n v="23"/>
    <n v="162.80000000000001"/>
    <n v="8.1999999999999993"/>
    <n v="134.97"/>
    <n v="118638.63"/>
    <n v="3104.31"/>
    <x v="0"/>
  </r>
  <r>
    <s v="BAT-0234"/>
    <s v="2025-10-04"/>
    <x v="1"/>
    <x v="4"/>
    <x v="0"/>
    <s v="Night"/>
    <s v="R. Njeri"/>
    <n v="1537"/>
    <n v="1303"/>
    <n v="25"/>
    <n v="89"/>
    <n v="7.2"/>
    <n v="135.05000000000001"/>
    <n v="175970.15000000002"/>
    <n v="3376.2500000000005"/>
    <x v="1"/>
  </r>
  <r>
    <s v="BAT-0108"/>
    <s v="2025-08-31"/>
    <x v="0"/>
    <x v="3"/>
    <x v="3"/>
    <s v="Night"/>
    <s v="S. Kiptoo"/>
    <n v="1717"/>
    <n v="1807"/>
    <n v="41"/>
    <n v="33.200000000000003"/>
    <n v="7"/>
    <n v="135.08000000000001"/>
    <n v="244089.56000000003"/>
    <n v="5538.2800000000007"/>
    <x v="0"/>
  </r>
  <r>
    <s v="BAT-0551"/>
    <s v="2025-10-21"/>
    <x v="1"/>
    <x v="2"/>
    <x v="4"/>
    <s v="Day"/>
    <s v="S. Kiptoo"/>
    <n v="1713"/>
    <n v="1684"/>
    <n v="51"/>
    <n v="39"/>
    <n v="6.9"/>
    <n v="135.21"/>
    <n v="227693.64"/>
    <n v="6895.71"/>
    <x v="0"/>
  </r>
  <r>
    <s v="BAT-0252"/>
    <s v="2025-06-30"/>
    <x v="1"/>
    <x v="3"/>
    <x v="2"/>
    <s v="Evening"/>
    <s v="A. Wanjiku"/>
    <n v="1364"/>
    <n v="1162"/>
    <n v="38"/>
    <n v="19.600000000000001"/>
    <n v="6"/>
    <n v="135.47"/>
    <n v="157416.13999999998"/>
    <n v="5147.8599999999997"/>
    <x v="0"/>
  </r>
  <r>
    <s v="BAT-0495"/>
    <s v="2025-04-16"/>
    <x v="1"/>
    <x v="0"/>
    <x v="1"/>
    <s v="Evening"/>
    <s v="P. Otieno"/>
    <n v="1412"/>
    <n v="1137"/>
    <n v="32"/>
    <n v="24.8"/>
    <n v="7.2"/>
    <n v="135.58000000000001"/>
    <n v="154154.46000000002"/>
    <n v="4338.5600000000004"/>
    <x v="0"/>
  </r>
  <r>
    <s v="BAT-0347"/>
    <s v="2025-12-28"/>
    <x v="0"/>
    <x v="3"/>
    <x v="0"/>
    <s v="Evening"/>
    <s v="S. Kiptoo"/>
    <n v="1223"/>
    <n v="1241"/>
    <n v="37"/>
    <n v="4.8"/>
    <n v="6.3"/>
    <n v="135.63"/>
    <n v="168316.83"/>
    <n v="5018.3099999999995"/>
    <x v="0"/>
  </r>
  <r>
    <s v="BAT-0020"/>
    <s v="2025-06-14"/>
    <x v="2"/>
    <x v="1"/>
    <x v="0"/>
    <s v="Evening"/>
    <s v="F. Ali"/>
    <n v="918"/>
    <n v="762"/>
    <n v="3"/>
    <n v="6.7"/>
    <n v="8"/>
    <n v="135.83000000000001"/>
    <n v="103502.46"/>
    <n v="407.49"/>
    <x v="1"/>
  </r>
  <r>
    <s v="BAT-0530"/>
    <s v="2025-12-03"/>
    <x v="1"/>
    <x v="4"/>
    <x v="2"/>
    <s v="Night"/>
    <s v="F. Ali"/>
    <n v="1600"/>
    <n v="1324"/>
    <n v="13"/>
    <s v=""/>
    <n v="7.3"/>
    <n v="135.84"/>
    <n v="179852.16"/>
    <n v="1765.92"/>
    <x v="1"/>
  </r>
  <r>
    <s v="BAT-0442"/>
    <s v="2025-04-20"/>
    <x v="0"/>
    <x v="4"/>
    <x v="0"/>
    <s v="Evening"/>
    <s v="F. Ali"/>
    <n v="1309"/>
    <n v="1329"/>
    <n v="42"/>
    <n v="31.1"/>
    <n v="7.6"/>
    <n v="135.88999999999999"/>
    <n v="180597.80999999997"/>
    <n v="5707.3799999999992"/>
    <x v="0"/>
  </r>
  <r>
    <s v="BAT-0279"/>
    <s v="2025-01-24"/>
    <x v="2"/>
    <x v="4"/>
    <x v="3"/>
    <s v="Day"/>
    <s v="F. Ali"/>
    <n v="1076"/>
    <n v="1076"/>
    <n v="29"/>
    <n v="43.7"/>
    <n v="8.5"/>
    <n v="135.91999999999999"/>
    <n v="146249.91999999998"/>
    <n v="3941.68"/>
    <x v="0"/>
  </r>
  <r>
    <s v="BAT-0292"/>
    <s v="2025-04-08"/>
    <x v="2"/>
    <x v="3"/>
    <x v="0"/>
    <s v="Evening"/>
    <s v="D. Kamau"/>
    <n v="1346"/>
    <n v="1467"/>
    <n v="8"/>
    <n v="52.3"/>
    <n v="6.3"/>
    <n v="136.06"/>
    <n v="199600.02"/>
    <n v="1088.48"/>
    <x v="1"/>
  </r>
  <r>
    <s v="BAT-0145"/>
    <s v="2025-12-29"/>
    <x v="0"/>
    <x v="4"/>
    <x v="2"/>
    <s v="Evening"/>
    <s v="D. Kamau"/>
    <n v="968"/>
    <n v="1150"/>
    <n v="11"/>
    <n v="40.9"/>
    <n v="8.1999999999999993"/>
    <n v="136.07"/>
    <n v="156480.5"/>
    <n v="1496.77"/>
    <x v="1"/>
  </r>
  <r>
    <s v="BAT-0070"/>
    <s v="2025-06-21"/>
    <x v="1"/>
    <x v="2"/>
    <x v="1"/>
    <s v="Day"/>
    <s v="A. Wanjiku"/>
    <n v="1238"/>
    <n v="906"/>
    <n v="9"/>
    <n v="6.6"/>
    <n v="6.8"/>
    <n v="136.16"/>
    <n v="123360.95999999999"/>
    <n v="1225.44"/>
    <x v="1"/>
  </r>
  <r>
    <s v="BAT-0391"/>
    <s v="2025-09-30"/>
    <x v="2"/>
    <x v="3"/>
    <x v="2"/>
    <s v="Night"/>
    <s v="M. Hassan"/>
    <n v="936"/>
    <n v="838"/>
    <n v="13"/>
    <n v="25.8"/>
    <n v="7.4"/>
    <n v="136.19999999999999"/>
    <n v="114135.59999999999"/>
    <n v="1770.6"/>
    <x v="1"/>
  </r>
  <r>
    <s v="BAT-0323"/>
    <s v="2025-08-13"/>
    <x v="2"/>
    <x v="0"/>
    <x v="2"/>
    <s v="Day"/>
    <s v="R. Njeri"/>
    <n v="916"/>
    <n v="1111"/>
    <n v="22"/>
    <n v="89.9"/>
    <n v="6.2"/>
    <n v="136.30000000000001"/>
    <n v="151429.30000000002"/>
    <n v="2998.6000000000004"/>
    <x v="1"/>
  </r>
  <r>
    <s v="BAT-0458"/>
    <s v="2025-08-20"/>
    <x v="2"/>
    <x v="4"/>
    <x v="1"/>
    <s v="Day"/>
    <s v="P. Otieno"/>
    <n v="1532"/>
    <n v="1565"/>
    <n v="34"/>
    <n v="7"/>
    <n v="6.2"/>
    <n v="136.54"/>
    <n v="213685.09999999998"/>
    <n v="4642.3599999999997"/>
    <x v="0"/>
  </r>
  <r>
    <s v="BAT-0006"/>
    <s v="2025-11-10"/>
    <x v="2"/>
    <x v="2"/>
    <x v="4"/>
    <s v="Day"/>
    <s v="P. Otieno"/>
    <n v="1585"/>
    <n v="1491"/>
    <n v="39"/>
    <n v="74.599999999999994"/>
    <n v="6.2"/>
    <n v="136.86000000000001"/>
    <n v="204058.26"/>
    <n v="5337.5400000000009"/>
    <x v="0"/>
  </r>
  <r>
    <s v="BAT-0118"/>
    <s v="2025-02-21"/>
    <x v="0"/>
    <x v="0"/>
    <x v="4"/>
    <s v="Night"/>
    <s v="J. Mwangi"/>
    <n v="1371"/>
    <n v="1382"/>
    <n v="31"/>
    <n v="20.100000000000001"/>
    <n v="7.1"/>
    <n v="136.86000000000001"/>
    <n v="189140.52000000002"/>
    <n v="4242.6600000000008"/>
    <x v="0"/>
  </r>
  <r>
    <s v="BAT-0179"/>
    <s v="2025-11-25"/>
    <x v="0"/>
    <x v="2"/>
    <x v="1"/>
    <s v="Night"/>
    <s v="D. Kamau"/>
    <n v="904"/>
    <n v="785"/>
    <n v="20"/>
    <n v="59.6"/>
    <n v="6.4"/>
    <n v="136.96"/>
    <n v="107513.60000000001"/>
    <n v="2739.2000000000003"/>
    <x v="0"/>
  </r>
  <r>
    <s v="BAT-0336"/>
    <s v="2025-10-23"/>
    <x v="1"/>
    <x v="1"/>
    <x v="4"/>
    <s v="Evening"/>
    <s v="S. Kiptoo"/>
    <n v="1274"/>
    <n v="1321"/>
    <n v="6"/>
    <n v="59.4"/>
    <n v="8.4"/>
    <n v="137.01"/>
    <n v="180990.21"/>
    <n v="822.06"/>
    <x v="1"/>
  </r>
  <r>
    <s v="BAT-0389"/>
    <s v="2025-11-22"/>
    <x v="1"/>
    <x v="4"/>
    <x v="0"/>
    <s v="Day"/>
    <s v="F. Ali"/>
    <n v="1491"/>
    <n v="1422"/>
    <n v="18"/>
    <n v="19.2"/>
    <n v="7.9"/>
    <n v="137.32"/>
    <n v="195269.03999999998"/>
    <n v="2471.7599999999998"/>
    <x v="1"/>
  </r>
  <r>
    <s v="BAT-0100"/>
    <s v="2025-02-21"/>
    <x v="0"/>
    <x v="1"/>
    <x v="4"/>
    <s v="Night"/>
    <s v="S. Kiptoo"/>
    <n v="897"/>
    <n v="774"/>
    <n v="8"/>
    <n v="48.5"/>
    <n v="6.4"/>
    <n v="137.38"/>
    <n v="106332.12"/>
    <n v="1099.04"/>
    <x v="1"/>
  </r>
  <r>
    <s v="BAT-0394"/>
    <s v="2025-08-07"/>
    <x v="0"/>
    <x v="0"/>
    <x v="1"/>
    <s v="Night"/>
    <s v="R. Njeri"/>
    <n v="938"/>
    <n v="973"/>
    <n v="9"/>
    <n v="56.8"/>
    <n v="6.1"/>
    <n v="137.55000000000001"/>
    <n v="133836.15000000002"/>
    <n v="1237.95"/>
    <x v="1"/>
  </r>
  <r>
    <s v="BAT-0461"/>
    <s v="2025-09-22"/>
    <x v="2"/>
    <x v="0"/>
    <x v="1"/>
    <s v="Day"/>
    <s v="J. Mwangi"/>
    <n v="1305"/>
    <n v="1366"/>
    <n v="26"/>
    <n v="37.5"/>
    <n v="6.6"/>
    <n v="137.91"/>
    <n v="188385.06"/>
    <n v="3585.66"/>
    <x v="1"/>
  </r>
  <r>
    <s v="BAT-0332"/>
    <s v="2025-05-16"/>
    <x v="1"/>
    <x v="4"/>
    <x v="0"/>
    <s v="Day"/>
    <s v="M. Hassan"/>
    <n v="1353"/>
    <n v="1508"/>
    <n v="13"/>
    <n v="22"/>
    <n v="6.9"/>
    <n v="137.91"/>
    <n v="207968.28"/>
    <n v="1792.83"/>
    <x v="1"/>
  </r>
  <r>
    <s v="BAT-0219"/>
    <s v="2025-06-13"/>
    <x v="1"/>
    <x v="3"/>
    <x v="0"/>
    <s v="Night"/>
    <s v="D. Kamau"/>
    <n v="1366"/>
    <n v="1224"/>
    <n v="4"/>
    <n v="52.5"/>
    <n v="7"/>
    <n v="138.03"/>
    <n v="168948.72"/>
    <n v="552.12"/>
    <x v="1"/>
  </r>
  <r>
    <s v="BAT-0007"/>
    <s v="2025-02-01"/>
    <x v="0"/>
    <x v="2"/>
    <x v="4"/>
    <s v="Day"/>
    <s v="S. Kiptoo"/>
    <n v="1496"/>
    <n v="1260"/>
    <n v="35"/>
    <n v="20.3"/>
    <n v="8"/>
    <n v="138.15"/>
    <n v="174069"/>
    <n v="4835.25"/>
    <x v="0"/>
  </r>
  <r>
    <s v="BAT-0364"/>
    <s v="2025-11-23"/>
    <x v="2"/>
    <x v="1"/>
    <x v="0"/>
    <s v="Night"/>
    <s v="F. Ali"/>
    <n v="1520"/>
    <n v="1664"/>
    <n v="18"/>
    <n v="89.2"/>
    <n v="7.3"/>
    <n v="138.47999999999999"/>
    <n v="230430.71999999997"/>
    <n v="2492.64"/>
    <x v="1"/>
  </r>
  <r>
    <s v="BAT-0003"/>
    <s v="2025-08-27"/>
    <x v="0"/>
    <x v="3"/>
    <x v="3"/>
    <s v="Day"/>
    <s v="A. Wanjiku"/>
    <n v="1072"/>
    <n v="1121"/>
    <n v="27"/>
    <n v="24.3"/>
    <n v="6.7"/>
    <n v="138.5"/>
    <n v="155258.5"/>
    <n v="3739.5"/>
    <x v="0"/>
  </r>
  <r>
    <s v="BAT-0343"/>
    <s v="2025-08-15"/>
    <x v="1"/>
    <x v="2"/>
    <x v="3"/>
    <s v="Day"/>
    <s v="P. Otieno"/>
    <n v="1189"/>
    <n v="1232"/>
    <n v="23"/>
    <n v="15.9"/>
    <n v="7.6"/>
    <n v="138.65"/>
    <n v="170816.80000000002"/>
    <n v="3188.9500000000003"/>
    <x v="1"/>
  </r>
  <r>
    <s v="BAT-0109"/>
    <s v="2025-06-22"/>
    <x v="0"/>
    <x v="4"/>
    <x v="1"/>
    <s v="Evening"/>
    <s v="R. Njeri"/>
    <n v="1413"/>
    <n v="1209"/>
    <n v="26"/>
    <n v="71.599999999999994"/>
    <n v="7.2"/>
    <n v="138.66"/>
    <n v="167639.94"/>
    <n v="3605.16"/>
    <x v="0"/>
  </r>
  <r>
    <s v="BAT-0350"/>
    <s v="2025-03-02"/>
    <x v="2"/>
    <x v="1"/>
    <x v="0"/>
    <s v="Evening"/>
    <s v="J. Mwangi"/>
    <n v="1068"/>
    <n v="1136"/>
    <n v="18"/>
    <n v="14.3"/>
    <n v="8.4"/>
    <n v="138.72999999999999"/>
    <n v="157597.28"/>
    <n v="2497.14"/>
    <x v="1"/>
  </r>
  <r>
    <s v="BAT-0581"/>
    <s v="2025-02-04"/>
    <x v="2"/>
    <x v="4"/>
    <x v="3"/>
    <s v="Night"/>
    <s v="J. Mwangi"/>
    <n v="1073"/>
    <n v="1068"/>
    <n v="14"/>
    <n v="7.9"/>
    <n v="7.2"/>
    <n v="138.78"/>
    <n v="148217.04"/>
    <n v="1942.92"/>
    <x v="1"/>
  </r>
  <r>
    <s v="BAT-0116"/>
    <s v="2025-07-27"/>
    <x v="1"/>
    <x v="1"/>
    <x v="0"/>
    <s v="Evening"/>
    <s v="R. Njeri"/>
    <n v="1647"/>
    <n v="1637"/>
    <n v="33"/>
    <n v="41.4"/>
    <n v="7.8"/>
    <n v="139.02000000000001"/>
    <n v="227575.74000000002"/>
    <n v="4587.6600000000008"/>
    <x v="0"/>
  </r>
  <r>
    <s v="BAT-0094"/>
    <s v="2025-05-22"/>
    <x v="0"/>
    <x v="3"/>
    <x v="3"/>
    <s v="Night"/>
    <s v="M. Hassan"/>
    <n v="1230"/>
    <n v="1168"/>
    <n v="40"/>
    <n v="31.5"/>
    <n v="8.5"/>
    <n v="139.03"/>
    <n v="162387.04"/>
    <n v="5561.2"/>
    <x v="0"/>
  </r>
  <r>
    <s v="BAT-0539"/>
    <s v="2025-07-17"/>
    <x v="1"/>
    <x v="3"/>
    <x v="0"/>
    <s v="Night"/>
    <s v="P. Otieno"/>
    <n v="1537"/>
    <n v="1448"/>
    <n v="34"/>
    <n v="57"/>
    <n v="7.5"/>
    <n v="139.81"/>
    <n v="202444.88"/>
    <n v="4753.54"/>
    <x v="0"/>
  </r>
  <r>
    <s v="BAT-0529"/>
    <s v="2025-12-01"/>
    <x v="0"/>
    <x v="1"/>
    <x v="2"/>
    <s v="Evening"/>
    <s v="P. Otieno"/>
    <n v="1428"/>
    <n v="1431"/>
    <n v="7"/>
    <n v="165"/>
    <n v="7.9"/>
    <n v="140.15"/>
    <n v="200554.65"/>
    <n v="981.05000000000007"/>
    <x v="1"/>
  </r>
  <r>
    <s v="BAT-0200"/>
    <s v="2025-12-18"/>
    <x v="1"/>
    <x v="0"/>
    <x v="4"/>
    <s v="Night"/>
    <s v="P. Otieno"/>
    <n v="1618"/>
    <n v="1575"/>
    <n v="16"/>
    <n v="15"/>
    <n v="6.7"/>
    <n v="140.49"/>
    <n v="221271.75"/>
    <n v="2247.84"/>
    <x v="1"/>
  </r>
  <r>
    <s v="BAT-0158"/>
    <s v="2025-07-23"/>
    <x v="1"/>
    <x v="2"/>
    <x v="1"/>
    <s v="Day"/>
    <s v="R. Njeri"/>
    <n v="1212"/>
    <n v="1184"/>
    <n v="22"/>
    <n v="21.9"/>
    <n v="7.3"/>
    <n v="140.61000000000001"/>
    <n v="166482.24000000002"/>
    <n v="3093.42"/>
    <x v="1"/>
  </r>
  <r>
    <s v="BAT-0456"/>
    <s v="2025-07-22"/>
    <x v="1"/>
    <x v="0"/>
    <x v="0"/>
    <s v="Day"/>
    <s v="S. Kiptoo"/>
    <n v="803"/>
    <n v="808"/>
    <n v="15"/>
    <n v="8.4"/>
    <n v="7.2"/>
    <n v="140.72"/>
    <n v="113701.75999999999"/>
    <n v="2110.8000000000002"/>
    <x v="1"/>
  </r>
  <r>
    <s v="BAT-0048"/>
    <s v="2025-11-22"/>
    <x v="1"/>
    <x v="4"/>
    <x v="1"/>
    <s v="Day"/>
    <s v="F. Ali"/>
    <n v="1225"/>
    <n v="1263"/>
    <n v="26"/>
    <n v="120.1"/>
    <n v="7.6"/>
    <n v="141.16999999999999"/>
    <n v="178297.71"/>
    <n v="3670.4199999999996"/>
    <x v="0"/>
  </r>
  <r>
    <s v="BAT-0342"/>
    <s v="2025-04-17"/>
    <x v="2"/>
    <x v="1"/>
    <x v="1"/>
    <s v="Evening"/>
    <s v="A. Wanjiku"/>
    <n v="1754"/>
    <n v="1832"/>
    <n v="36"/>
    <n v="84.7"/>
    <n v="6.9"/>
    <n v="141.18"/>
    <n v="258641.76"/>
    <n v="5082.4800000000005"/>
    <x v="1"/>
  </r>
  <r>
    <s v="BAT-0449"/>
    <s v="2025-07-10"/>
    <x v="0"/>
    <x v="1"/>
    <x v="4"/>
    <s v="Evening"/>
    <s v="M. Hassan"/>
    <n v="845"/>
    <n v="901"/>
    <n v="28"/>
    <n v="54.3"/>
    <n v="7.2"/>
    <n v="141.36000000000001"/>
    <n v="127365.36000000002"/>
    <n v="3958.0800000000004"/>
    <x v="0"/>
  </r>
  <r>
    <s v="BAT-0367"/>
    <s v="2025-06-21"/>
    <x v="0"/>
    <x v="2"/>
    <x v="1"/>
    <s v="Night"/>
    <s v="D. Kamau"/>
    <n v="1316"/>
    <n v="1453"/>
    <n v="12"/>
    <n v="28.3"/>
    <n v="7.6"/>
    <n v="141.44"/>
    <n v="205512.32000000001"/>
    <n v="1697.28"/>
    <x v="1"/>
  </r>
  <r>
    <s v="BAT-0223"/>
    <s v="2025-09-14"/>
    <x v="0"/>
    <x v="2"/>
    <x v="1"/>
    <s v="Night"/>
    <s v="M. Hassan"/>
    <n v="1041"/>
    <n v="982"/>
    <n v="21"/>
    <n v="19.100000000000001"/>
    <n v="6.4"/>
    <n v="141.49"/>
    <n v="138943.18000000002"/>
    <n v="2971.29"/>
    <x v="0"/>
  </r>
  <r>
    <s v="BAT-0170"/>
    <s v="2025-01-09"/>
    <x v="2"/>
    <x v="3"/>
    <x v="3"/>
    <s v="Day"/>
    <s v="S. Kiptoo"/>
    <n v="1137"/>
    <n v="963"/>
    <n v="24"/>
    <s v=""/>
    <n v="8.1"/>
    <n v="141.94"/>
    <n v="136688.22"/>
    <n v="3406.56"/>
    <x v="0"/>
  </r>
  <r>
    <s v="BAT-0598"/>
    <s v="2025-10-12"/>
    <x v="1"/>
    <x v="3"/>
    <x v="2"/>
    <s v="Day"/>
    <s v="R. Njeri"/>
    <n v="1774"/>
    <n v="1529"/>
    <n v="31"/>
    <n v="67.7"/>
    <n v="6.6"/>
    <n v="141.97999999999999"/>
    <n v="217087.41999999998"/>
    <n v="4401.38"/>
    <x v="0"/>
  </r>
  <r>
    <s v="BAT-0411"/>
    <s v="2025-03-05"/>
    <x v="0"/>
    <x v="3"/>
    <x v="2"/>
    <s v="Night"/>
    <s v="J. Mwangi"/>
    <n v="854"/>
    <n v="888"/>
    <n v="21"/>
    <n v="40.200000000000003"/>
    <n v="6.5"/>
    <n v="142.36000000000001"/>
    <n v="126415.68000000001"/>
    <n v="2989.5600000000004"/>
    <x v="0"/>
  </r>
  <r>
    <s v="BAT-0024"/>
    <s v="2025-12-05"/>
    <x v="1"/>
    <x v="4"/>
    <x v="1"/>
    <s v="Night"/>
    <s v="P. Otieno"/>
    <n v="998"/>
    <n v="944"/>
    <n v="5"/>
    <n v="3.9"/>
    <n v="6.5"/>
    <n v="142.46"/>
    <n v="134482.24000000002"/>
    <n v="712.30000000000007"/>
    <x v="1"/>
  </r>
  <r>
    <s v="BAT-0266"/>
    <s v="2025-08-01"/>
    <x v="1"/>
    <x v="2"/>
    <x v="1"/>
    <s v="Night"/>
    <s v="P. Otieno"/>
    <n v="1079"/>
    <n v="1045"/>
    <n v="24"/>
    <n v="43.9"/>
    <n v="8.3000000000000007"/>
    <n v="142.59"/>
    <n v="149006.55000000002"/>
    <n v="3422.16"/>
    <x v="0"/>
  </r>
  <r>
    <s v="BAT-0013"/>
    <s v="2025-09-26"/>
    <x v="1"/>
    <x v="1"/>
    <x v="0"/>
    <s v="Evening"/>
    <s v="Not Found"/>
    <n v="840"/>
    <n v="743"/>
    <n v="13"/>
    <n v="14.9"/>
    <n v="6.9"/>
    <n v="143.30000000000001"/>
    <n v="106471.90000000001"/>
    <n v="1862.9"/>
    <x v="1"/>
  </r>
  <r>
    <s v="BAT-0437"/>
    <s v="2025-07-27"/>
    <x v="2"/>
    <x v="3"/>
    <x v="2"/>
    <s v="Evening"/>
    <s v="M. Hassan"/>
    <n v="785"/>
    <n v="701"/>
    <n v="3"/>
    <n v="64.2"/>
    <n v="7.5"/>
    <n v="143.30000000000001"/>
    <n v="100453.3"/>
    <n v="429.90000000000003"/>
    <x v="1"/>
  </r>
  <r>
    <s v="BAT-0395"/>
    <s v="2025-09-20"/>
    <x v="2"/>
    <x v="4"/>
    <x v="4"/>
    <s v="Night"/>
    <s v="A. Wanjiku"/>
    <n v="1138"/>
    <n v="1093"/>
    <n v="24"/>
    <n v="29.3"/>
    <n v="7.5"/>
    <n v="143.31"/>
    <n v="156637.83000000002"/>
    <n v="3439.44"/>
    <x v="0"/>
  </r>
  <r>
    <s v="BAT-0318"/>
    <s v="2025-09-23"/>
    <x v="2"/>
    <x v="4"/>
    <x v="4"/>
    <s v="Evening"/>
    <s v="F. Ali"/>
    <n v="1101"/>
    <n v="886"/>
    <n v="3"/>
    <n v="39.700000000000003"/>
    <n v="7.9"/>
    <n v="143.37"/>
    <n v="127025.82"/>
    <n v="430.11"/>
    <x v="1"/>
  </r>
  <r>
    <s v="BAT-0104"/>
    <s v="2025-01-03"/>
    <x v="1"/>
    <x v="3"/>
    <x v="0"/>
    <s v="Day"/>
    <s v="F. Ali"/>
    <n v="1310"/>
    <n v="1321"/>
    <n v="26"/>
    <n v="76"/>
    <n v="6.5"/>
    <n v="143.55000000000001"/>
    <n v="189629.55000000002"/>
    <n v="3732.3"/>
    <x v="1"/>
  </r>
  <r>
    <s v="BAT-0561"/>
    <s v="2025-07-15"/>
    <x v="0"/>
    <x v="2"/>
    <x v="4"/>
    <s v="Day"/>
    <s v="A. Wanjiku"/>
    <n v="757"/>
    <n v="619"/>
    <n v="6"/>
    <n v="1.5"/>
    <n v="7.2"/>
    <n v="143.79"/>
    <n v="89006.01"/>
    <n v="862.74"/>
    <x v="1"/>
  </r>
  <r>
    <s v="BAT-0368"/>
    <s v="2025-04-26"/>
    <x v="0"/>
    <x v="2"/>
    <x v="3"/>
    <s v="Day"/>
    <s v="S. Kiptoo"/>
    <n v="1481"/>
    <n v="1265"/>
    <n v="12"/>
    <n v="3.5"/>
    <n v="7.3"/>
    <n v="143.84"/>
    <n v="181957.6"/>
    <n v="1726.08"/>
    <x v="1"/>
  </r>
  <r>
    <s v="BAT-0376"/>
    <s v="2025-02-04"/>
    <x v="2"/>
    <x v="1"/>
    <x v="3"/>
    <s v="Day"/>
    <s v="F. Ali"/>
    <n v="1468"/>
    <n v="1531"/>
    <n v="37"/>
    <n v="75.3"/>
    <n v="8.1"/>
    <n v="143.86000000000001"/>
    <n v="220249.66000000003"/>
    <n v="5322.8200000000006"/>
    <x v="0"/>
  </r>
  <r>
    <s v="BAT-0078"/>
    <s v="2025-03-24"/>
    <x v="1"/>
    <x v="3"/>
    <x v="4"/>
    <s v="Evening"/>
    <s v="R. Njeri"/>
    <n v="882"/>
    <n v="847"/>
    <n v="7"/>
    <n v="38"/>
    <n v="7.3"/>
    <n v="143.96"/>
    <n v="121934.12000000001"/>
    <n v="1007.72"/>
    <x v="1"/>
  </r>
  <r>
    <s v="BAT-0589"/>
    <s v="2025-11-02"/>
    <x v="2"/>
    <x v="1"/>
    <x v="3"/>
    <s v="Evening"/>
    <s v="D. Kamau"/>
    <n v="1485"/>
    <n v="1402"/>
    <n v="47"/>
    <n v="28.2"/>
    <n v="7.8"/>
    <n v="144.44999999999999"/>
    <n v="202518.9"/>
    <n v="6789.15"/>
    <x v="0"/>
  </r>
  <r>
    <s v="BAT-0016"/>
    <s v="2025-10-14"/>
    <x v="2"/>
    <x v="4"/>
    <x v="3"/>
    <s v="Day"/>
    <s v="F. Ali"/>
    <n v="1347"/>
    <n v="1186"/>
    <n v="33"/>
    <n v="45.5"/>
    <n v="6.3"/>
    <n v="144.62"/>
    <n v="171519.32"/>
    <n v="4772.46"/>
    <x v="0"/>
  </r>
  <r>
    <s v="BAT-0399"/>
    <s v="2025-04-13"/>
    <x v="0"/>
    <x v="4"/>
    <x v="3"/>
    <s v="Night"/>
    <s v="P. Otieno"/>
    <n v="830"/>
    <n v="783"/>
    <n v="3"/>
    <n v="87.4"/>
    <n v="7.8"/>
    <n v="144.91999999999999"/>
    <n v="113472.35999999999"/>
    <n v="434.76"/>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2025-04-27"/>
    <x v="0"/>
    <x v="0"/>
    <s v="Construction Additives"/>
    <s v="Nairobi Depot"/>
    <s v="Nairobi Depot"/>
    <s v="TRK-026"/>
    <s v="P. Maina"/>
    <n v="1086"/>
    <n v="742.25"/>
    <n v="806083.5"/>
    <n v="406"/>
    <s v="2025-04-29"/>
    <s v="2025-05-03"/>
    <s v="Late"/>
    <n v="19455.45"/>
    <n v="825538.95"/>
  </r>
  <r>
    <s v="2025-02-16"/>
    <x v="1"/>
    <x v="1"/>
    <s v="Industrial Cleaning Supplies"/>
    <s v="Eldoret Depot"/>
    <s v="Eldoret Depot"/>
    <s v="TRK-013"/>
    <s v="K. Barasa"/>
    <n v="2027"/>
    <n v="782.42"/>
    <n v="1585965.34"/>
    <n v="80"/>
    <s v="2025-02-17"/>
    <s v="2025-02-17"/>
    <s v="On Time"/>
    <n v="4650.55"/>
    <n v="1590615.8900000001"/>
  </r>
  <r>
    <s v="2025-11-24"/>
    <x v="2"/>
    <x v="0"/>
    <s v="Construction Additives"/>
    <s v="Eldoret Depot"/>
    <s v="Eldoret Depot"/>
    <s v="TRK-013"/>
    <s v="K. Barasa"/>
    <n v="758"/>
    <n v="643.51"/>
    <n v="487780.58"/>
    <n v="697"/>
    <s v="2025-11-26"/>
    <s v="2025-11-27"/>
    <s v="Late"/>
    <n v="26836.9"/>
    <n v="514617.48000000004"/>
  </r>
  <r>
    <s v="2025-01-15"/>
    <x v="2"/>
    <x v="1"/>
    <s v="Industrial Cleaning Supplies"/>
    <s v="Nakuru Depot"/>
    <s v="Nakuru Depot"/>
    <s v="TRK-025"/>
    <s v="M. Otieno"/>
    <n v="2247"/>
    <n v="178.61"/>
    <n v="401336.67"/>
    <n v="652"/>
    <s v="2025-01-17"/>
    <s v="2025-01-21"/>
    <s v="Late"/>
    <n v="33466"/>
    <n v="434802.67"/>
  </r>
  <r>
    <s v="2025-03-13"/>
    <x v="3"/>
    <x v="2"/>
    <s v="Protective Coatings"/>
    <s v="Nairobi Depot"/>
    <s v="Nairobi Depot"/>
    <s v="TRK-012"/>
    <s v="S. Chebet"/>
    <n v="256"/>
    <n v="100.81"/>
    <n v="25807.360000000001"/>
    <n v="152"/>
    <s v="2025-03-14"/>
    <s v="2025-03-17"/>
    <s v="Late"/>
    <n v="6973.76"/>
    <n v="32781.120000000003"/>
  </r>
  <r>
    <s v="2025-03-17"/>
    <x v="2"/>
    <x v="0"/>
    <s v="Construction Additives"/>
    <s v="Mombasa Depot"/>
    <s v="Mombasa Depot"/>
    <s v="TRK-009"/>
    <s v="D. Said"/>
    <n v="1140"/>
    <n v="548.84"/>
    <n v="625677.6"/>
    <n v="718"/>
    <s v="2025-03-20"/>
    <s v="2025-03-20"/>
    <s v="On Time"/>
    <n v="38968.9"/>
    <n v="664646.5"/>
  </r>
  <r>
    <s v="2025-03-10"/>
    <x v="4"/>
    <x v="2"/>
    <s v="Protective Coatings"/>
    <s v="Eldoret Depot"/>
    <s v="Eldoret Depot"/>
    <s v="TRK-020"/>
    <s v="P. Maina"/>
    <n v="2494"/>
    <n v="344.5"/>
    <n v="859183"/>
    <n v="527"/>
    <s v="2025-03-12"/>
    <s v="2025-03-13"/>
    <s v="Late"/>
    <n v="23343.439999999999"/>
    <n v="882526.44"/>
  </r>
  <r>
    <s v="2025-10-09"/>
    <x v="3"/>
    <x v="3"/>
    <s v="Packaging Materials"/>
    <s v="Nakuru Depot"/>
    <s v="Nakuru Depot"/>
    <s v="TRK-028"/>
    <s v="D. Said"/>
    <n v="2353"/>
    <n v="581.47"/>
    <n v="1368198.91"/>
    <n v="33"/>
    <s v="2025-10-10"/>
    <s v="2025-10-10"/>
    <s v="On Time"/>
    <n v="1885.39"/>
    <n v="1370084.2999999998"/>
  </r>
  <r>
    <s v="2025-04-13"/>
    <x v="1"/>
    <x v="4"/>
    <s v="Maintenance Parts"/>
    <s v="Nakuru Depot"/>
    <s v="Nakuru Depot"/>
    <s v="TRK-030"/>
    <s v="B. Kiprono"/>
    <n v="57"/>
    <n v="574.82000000000005"/>
    <n v="32764.74"/>
    <n v="327"/>
    <s v="2025-04-14"/>
    <s v="2025-04-17"/>
    <s v="Late"/>
    <n v="14949.71"/>
    <n v="47714.45"/>
  </r>
  <r>
    <s v="2025-08-04"/>
    <x v="3"/>
    <x v="4"/>
    <s v="Maintenance Parts"/>
    <s v="Nairobi Depot"/>
    <s v="Nairobi Depot"/>
    <s v="TRK-011"/>
    <s v="M. Otieno"/>
    <n v="2070"/>
    <n v="515.96"/>
    <n v="1068037.2"/>
    <n v="44"/>
    <s v="2025-08-05"/>
    <s v="2025-08-05"/>
    <s v="On Time"/>
    <n v="2194.5500000000002"/>
    <n v="1070231.75"/>
  </r>
  <r>
    <s v="2025-04-28"/>
    <x v="2"/>
    <x v="3"/>
    <s v="Packaging Materials"/>
    <s v="Mombasa Depot"/>
    <s v="Mombasa Depot"/>
    <s v="TRK-006"/>
    <s v="S. Chebet"/>
    <n v="194"/>
    <n v="678.94"/>
    <n v="131714.35999999999"/>
    <n v="280"/>
    <s v="2025-04-29"/>
    <s v="2025-04-28"/>
    <s v="On Time"/>
    <n v="16904.29"/>
    <n v="148618.65"/>
  </r>
  <r>
    <s v="2025-04-28"/>
    <x v="1"/>
    <x v="2"/>
    <s v="Protective Coatings"/>
    <s v="Eldoret Depot"/>
    <s v="Eldoret Depot"/>
    <s v="TRK-014"/>
    <s v="B. Kiprono"/>
    <n v="215"/>
    <n v="450.32"/>
    <n v="96818.8"/>
    <n v="34"/>
    <s v="2025-04-29"/>
    <s v="2025-04-28"/>
    <s v="On Time"/>
    <n v="1212.9000000000001"/>
    <n v="98031.7"/>
  </r>
  <r>
    <s v="2025-10-18"/>
    <x v="1"/>
    <x v="2"/>
    <s v="Protective Coatings"/>
    <s v="Eldoret Depot"/>
    <s v="Eldoret Depot"/>
    <s v="TRK-014"/>
    <s v="A. Hassan"/>
    <n v="1303"/>
    <n v="738.92"/>
    <n v="962812.76"/>
    <n v="645"/>
    <s v="2025-10-20"/>
    <s v="2025-10-21"/>
    <s v="Late"/>
    <n v="26655.26"/>
    <n v="989468.02"/>
  </r>
  <r>
    <s v="2025-07-16"/>
    <x v="5"/>
    <x v="4"/>
    <s v="Maintenance Parts"/>
    <s v="Nairobi Depot"/>
    <s v="Nairobi Depot"/>
    <s v="TRK-018"/>
    <s v="A. Hassan"/>
    <n v="1839"/>
    <n v="856.94"/>
    <n v="1575912.66"/>
    <n v="714"/>
    <s v="2025-07-19"/>
    <s v="2025-07-20"/>
    <s v="Late"/>
    <n v="41035.449999999997"/>
    <n v="1616948.1099999999"/>
  </r>
  <r>
    <s v="2025-07-23"/>
    <x v="5"/>
    <x v="3"/>
    <s v="Packaging Materials"/>
    <s v="Nairobi Depot"/>
    <s v="Nairobi Depot"/>
    <s v="TRK-006"/>
    <s v="S. Chebet"/>
    <n v="498"/>
    <n v="103.44"/>
    <n v="51513.120000000003"/>
    <n v="504"/>
    <s v="2025-07-25"/>
    <s v="2025-07-29"/>
    <s v="Late"/>
    <n v="27050.67"/>
    <n v="78563.790000000008"/>
  </r>
  <r>
    <s v="2025-11-10"/>
    <x v="5"/>
    <x v="2"/>
    <s v="Protective Coatings"/>
    <s v="Mombasa Depot"/>
    <s v="Mombasa Depot"/>
    <s v="TRK-028"/>
    <s v="S. Chebet"/>
    <n v="2383"/>
    <n v="313.37"/>
    <n v="746760.71"/>
    <n v="508"/>
    <s v="2025-11-12"/>
    <s v="2025-11-12"/>
    <s v="On Time"/>
    <n v="25212"/>
    <n v="771972.71"/>
  </r>
  <r>
    <s v="2025-12-06"/>
    <x v="6"/>
    <x v="0"/>
    <s v="Construction Additives"/>
    <s v="Nairobi Depot"/>
    <s v="Nairobi Depot"/>
    <s v="TRK-007"/>
    <s v="P. Maina"/>
    <n v="1666"/>
    <n v="881.88"/>
    <n v="1469212.08"/>
    <n v="716"/>
    <s v="2025-12-09"/>
    <s v="2025-12-09"/>
    <s v="On Time"/>
    <n v="36442.120000000003"/>
    <n v="1505654.2000000002"/>
  </r>
  <r>
    <s v="2025-06-10"/>
    <x v="5"/>
    <x v="0"/>
    <s v="Construction Additives"/>
    <s v="Eldoret Depot"/>
    <s v="Eldoret Depot"/>
    <s v="TRK-014"/>
    <s v="D. Said"/>
    <n v="409"/>
    <n v="414.33"/>
    <n v="169460.97"/>
    <n v="40"/>
    <s v="2025-06-11"/>
    <s v="2025-06-12"/>
    <s v="Late"/>
    <n v="1578.88"/>
    <n v="171039.85"/>
  </r>
  <r>
    <s v="2025-12-10"/>
    <x v="5"/>
    <x v="1"/>
    <s v="Industrial Cleaning Supplies"/>
    <s v="Mombasa Depot"/>
    <s v="Mombasa Depot"/>
    <s v="TRK-019"/>
    <s v="K. Barasa"/>
    <n v="1497"/>
    <n v="190.09"/>
    <n v="284564.73"/>
    <n v="315"/>
    <s v="2025-12-11"/>
    <s v="2025-12-15"/>
    <s v="Late"/>
    <n v="11247.91"/>
    <n v="295812.63999999996"/>
  </r>
  <r>
    <s v="2025-12-16"/>
    <x v="2"/>
    <x v="3"/>
    <s v="Packaging Materials"/>
    <s v="Mombasa Depot"/>
    <s v="Mombasa Depot"/>
    <s v="TRK-009"/>
    <s v="L. Wekesa"/>
    <n v="1329"/>
    <n v="318.69"/>
    <n v="423539.01"/>
    <n v="225"/>
    <s v="2025-12-17"/>
    <s v="2025-12-20"/>
    <s v="Late"/>
    <n v="13435.31"/>
    <n v="436974.32"/>
  </r>
  <r>
    <s v="2025-07-03"/>
    <x v="7"/>
    <x v="1"/>
    <s v="Industrial Cleaning Supplies"/>
    <s v="Eldoret Depot"/>
    <s v="Eldoret Depot"/>
    <s v="TRK-019"/>
    <s v="D. Said"/>
    <n v="793"/>
    <n v="176.88"/>
    <n v="140265.84"/>
    <n v="595"/>
    <s v="2025-07-05"/>
    <s v="2025-07-05"/>
    <s v="On Time"/>
    <n v="33039.15"/>
    <n v="173304.99"/>
  </r>
  <r>
    <s v="2025-04-07"/>
    <x v="3"/>
    <x v="2"/>
    <s v="Protective Coatings"/>
    <s v="Mombasa Depot"/>
    <s v="Mombasa Depot"/>
    <s v="TRK-009"/>
    <s v="E. Achieng"/>
    <n v="1321"/>
    <n v="603.65"/>
    <n v="797421.65"/>
    <n v="49"/>
    <s v="2025-04-08"/>
    <s v="2025-04-08"/>
    <s v="On Time"/>
    <n v="0"/>
    <n v="797421.65"/>
  </r>
  <r>
    <s v="2025-05-02"/>
    <x v="4"/>
    <x v="2"/>
    <s v="Protective Coatings"/>
    <s v="Mombasa Depot"/>
    <s v="Mombasa Depot"/>
    <s v="TRK-025"/>
    <s v="D. Said"/>
    <n v="434"/>
    <n v="710.45"/>
    <n v="308335.3"/>
    <n v="494"/>
    <s v="2025-05-04"/>
    <s v="2025-05-03"/>
    <s v="On Time"/>
    <n v="20933.05"/>
    <n v="329268.34999999998"/>
  </r>
  <r>
    <s v="2025-10-10"/>
    <x v="2"/>
    <x v="0"/>
    <s v="Construction Additives"/>
    <s v="Mombasa Depot"/>
    <s v="Mombasa Depot"/>
    <s v="TRK-024"/>
    <s v="L. Wekesa"/>
    <n v="1197"/>
    <n v="554.19000000000005"/>
    <n v="663365.43000000005"/>
    <n v="403"/>
    <s v="2025-10-12"/>
    <s v="2025-10-16"/>
    <s v="Late"/>
    <n v="15883.27"/>
    <n v="679248.70000000007"/>
  </r>
  <r>
    <s v="2025-06-29"/>
    <x v="7"/>
    <x v="5"/>
    <s v="WATER TREATMENT CHEMICALS"/>
    <s v="Eldoret Depot"/>
    <s v="Eldoret Depot"/>
    <s v="TRK-009"/>
    <s v="S. Chebet"/>
    <n v="960"/>
    <n v="89.7"/>
    <n v="86112"/>
    <n v="518"/>
    <s v="2025-07-01"/>
    <s v="2025-07-01"/>
    <s v="On Time"/>
    <n v="28972.41"/>
    <n v="115084.41"/>
  </r>
  <r>
    <s v="2025-12-15"/>
    <x v="3"/>
    <x v="0"/>
    <s v="Construction Additives"/>
    <s v="Mombasa Depot"/>
    <s v="Mombasa Depot"/>
    <s v="TRK-025"/>
    <s v="L. Wekesa"/>
    <n v="1360"/>
    <n v="56.95"/>
    <n v="77452"/>
    <n v="219"/>
    <s v="2025-12-16"/>
    <s v="2025-12-16"/>
    <s v="On Time"/>
    <n v="8731.18"/>
    <n v="86183.18"/>
  </r>
  <r>
    <s v="2025-07-07"/>
    <x v="2"/>
    <x v="4"/>
    <s v="Maintenance Parts"/>
    <s v="Nakuru Depot"/>
    <s v="Nakuru Depot"/>
    <s v="TRK-028"/>
    <s v="B. Kiprono"/>
    <n v="1553"/>
    <n v="240.31"/>
    <n v="373201.43"/>
    <n v="264"/>
    <s v="2025-07-08"/>
    <s v="2025-07-08"/>
    <s v="On Time"/>
    <n v="10224.41"/>
    <n v="383425.83999999997"/>
  </r>
  <r>
    <s v="2025-02-22"/>
    <x v="0"/>
    <x v="1"/>
    <s v="Industrial Cleaning Supplies"/>
    <s v="Nairobi Depot"/>
    <s v="Nairobi Depot"/>
    <s v="TRK-026"/>
    <s v="L. Wekesa"/>
    <n v="630"/>
    <n v="70.510000000000005"/>
    <n v="44421.3"/>
    <n v="692"/>
    <s v="2025-02-24"/>
    <s v="2025-02-27"/>
    <s v="Late"/>
    <n v="0"/>
    <n v="44421.3"/>
  </r>
  <r>
    <s v="2025-09-30"/>
    <x v="2"/>
    <x v="5"/>
    <s v="WATER TREATMENT CHEMICALS"/>
    <s v="Nakuru Depot"/>
    <s v="Nakuru Depot"/>
    <s v="TRK-018"/>
    <s v="J. Mutua"/>
    <n v="1461"/>
    <n v="530.09"/>
    <n v="774461.49"/>
    <n v="582"/>
    <s v="2025-10-02"/>
    <s v="2025-10-02"/>
    <s v="On Time"/>
    <n v="25112.26"/>
    <n v="799573.75"/>
  </r>
  <r>
    <s v="2025-06-16"/>
    <x v="1"/>
    <x v="3"/>
    <s v="Packaging Materials"/>
    <s v="Nakuru Depot"/>
    <s v="Nakuru Depot"/>
    <s v="TRK-010"/>
    <s v="B. Kiprono"/>
    <n v="150"/>
    <n v="314.06"/>
    <n v="47109"/>
    <n v="123"/>
    <s v="2025-06-17"/>
    <s v="2025-06-16"/>
    <s v="On Time"/>
    <n v="5826.21"/>
    <n v="52935.21"/>
  </r>
  <r>
    <s v="2025-09-07"/>
    <x v="7"/>
    <x v="2"/>
    <s v="Protective Coatings"/>
    <s v="Mombasa Depot"/>
    <s v="Mombasa Depot"/>
    <s v="TRK-005"/>
    <s v="P. Maina"/>
    <n v="984"/>
    <n v="463.4"/>
    <n v="455985.6"/>
    <n v="215"/>
    <s v="2025-09-08"/>
    <s v="2025-09-11"/>
    <s v="Late"/>
    <n v="13177.12"/>
    <n v="469162.72"/>
  </r>
  <r>
    <s v="2025-08-09"/>
    <x v="6"/>
    <x v="3"/>
    <s v="Packaging Materials"/>
    <s v="Nairobi Depot"/>
    <s v="Nairobi Depot"/>
    <s v="TRK-023"/>
    <s v="A. Hassan"/>
    <n v="1651"/>
    <n v="609.69000000000005"/>
    <n v="1006598.19"/>
    <n v="247"/>
    <s v="2025-08-10"/>
    <s v="2025-08-10"/>
    <s v="On Time"/>
    <n v="12540.12"/>
    <n v="1019138.3099999999"/>
  </r>
  <r>
    <s v="2025-04-23"/>
    <x v="2"/>
    <x v="1"/>
    <s v="Industrial Cleaning Supplies"/>
    <s v="Nakuru Depot"/>
    <s v="Nakuru Depot"/>
    <s v="TRK-027"/>
    <s v="L. Wekesa"/>
    <n v="160"/>
    <n v="749.95"/>
    <n v="119992"/>
    <n v="529"/>
    <s v="2025-04-25"/>
    <s v="2025-04-25"/>
    <s v="On Time"/>
    <n v="32360.28"/>
    <n v="152352.28"/>
  </r>
  <r>
    <s v="2025-09-01"/>
    <x v="0"/>
    <x v="0"/>
    <s v="Construction Additives"/>
    <s v="Nairobi Depot"/>
    <s v="Nairobi Depot"/>
    <s v="TRK-019"/>
    <s v="J. Mutua"/>
    <n v="478"/>
    <n v="174.37"/>
    <n v="83348.86"/>
    <n v="433"/>
    <s v="2025-09-03"/>
    <s v="2025-09-07"/>
    <s v="Late"/>
    <n v="17907.939999999999"/>
    <n v="101256.8"/>
  </r>
  <r>
    <s v="2025-02-04"/>
    <x v="0"/>
    <x v="0"/>
    <s v="Construction Additives"/>
    <s v="Eldoret Depot"/>
    <s v="Eldoret Depot"/>
    <s v="TRK-003"/>
    <s v="M. Otieno"/>
    <n v="2269"/>
    <n v="283.22000000000003"/>
    <n v="642626.18000000005"/>
    <n v="28"/>
    <s v="2025-02-05"/>
    <s v="2025-02-05"/>
    <s v="On Time"/>
    <n v="1474.85"/>
    <n v="644101.03"/>
  </r>
  <r>
    <s v="2025-05-15"/>
    <x v="0"/>
    <x v="2"/>
    <s v="Protective Coatings"/>
    <s v="Nakuru Depot"/>
    <s v="Nakuru Depot"/>
    <s v="TRK-023"/>
    <s v="S. Chebet"/>
    <n v="1364"/>
    <n v="248.35"/>
    <n v="338749.4"/>
    <n v="470"/>
    <s v="2025-05-17"/>
    <s v="2025-05-17"/>
    <s v="On Time"/>
    <n v="24519.82"/>
    <n v="363269.22000000003"/>
  </r>
  <r>
    <s v="2025-11-14"/>
    <x v="5"/>
    <x v="0"/>
    <s v="Construction Additives"/>
    <s v="Nakuru Depot"/>
    <s v="Nakuru Depot"/>
    <s v="TRK-019"/>
    <s v="K. Barasa"/>
    <n v="1987"/>
    <n v="251.47"/>
    <n v="499670.89"/>
    <n v="296"/>
    <s v="2025-11-15"/>
    <s v="2025-11-18"/>
    <s v="Late"/>
    <n v="11255.9"/>
    <n v="510926.79000000004"/>
  </r>
  <r>
    <s v="2025-10-07"/>
    <x v="3"/>
    <x v="4"/>
    <s v="Maintenance Parts"/>
    <s v="Eldoret Depot"/>
    <s v="Eldoret Depot"/>
    <s v="TRK-021"/>
    <s v="S. Chebet"/>
    <n v="756"/>
    <n v="501.25"/>
    <n v="378945"/>
    <n v="718"/>
    <s v="2025-10-10"/>
    <s v="2025-10-14"/>
    <s v="Late"/>
    <n v="27208.39"/>
    <n v="406153.39"/>
  </r>
  <r>
    <s v="2025-01-03"/>
    <x v="3"/>
    <x v="2"/>
    <s v="Protective Coatings"/>
    <s v="Eldoret Depot"/>
    <s v="Eldoret Depot"/>
    <s v="TRK-007"/>
    <s v="P. Maina"/>
    <n v="715"/>
    <n v="350.75"/>
    <n v="250786.25"/>
    <n v="717"/>
    <s v="2025-01-06"/>
    <s v="2025-01-09"/>
    <s v="Late"/>
    <n v="40012.26"/>
    <n v="290798.51"/>
  </r>
  <r>
    <s v="2025-06-12"/>
    <x v="2"/>
    <x v="0"/>
    <s v="Construction Additives"/>
    <s v="Nakuru Depot"/>
    <s v="Nakuru Depot"/>
    <s v="TRK-011"/>
    <s v="J. Mutua"/>
    <n v="96"/>
    <n v="434.04"/>
    <n v="41667.839999999997"/>
    <n v="558"/>
    <s v="2025-06-14"/>
    <s v="2025-06-14"/>
    <s v="On Time"/>
    <n v="25518.34"/>
    <n v="67186.179999999993"/>
  </r>
  <r>
    <s v="2025-10-17"/>
    <x v="4"/>
    <x v="2"/>
    <s v="Protective Coatings"/>
    <s v="Nairobi Depot"/>
    <s v="Nairobi Depot"/>
    <s v="TRK-019"/>
    <s v="D. Said"/>
    <n v="1058"/>
    <n v="205.5"/>
    <n v="217419"/>
    <n v="286"/>
    <s v="2025-10-18"/>
    <s v="2025-10-19"/>
    <s v="Late"/>
    <n v="13992.47"/>
    <n v="231411.47"/>
  </r>
  <r>
    <s v="2025-11-10"/>
    <x v="4"/>
    <x v="4"/>
    <s v="Maintenance Parts"/>
    <s v="Mombasa Depot"/>
    <s v="Mombasa Depot"/>
    <s v="TRK-002"/>
    <s v="M. Otieno"/>
    <n v="2200"/>
    <n v="149.32"/>
    <n v="328504"/>
    <n v="431"/>
    <s v="2025-11-12"/>
    <s v="2025-11-12"/>
    <s v="On Time"/>
    <n v="18559.14"/>
    <n v="347063.14"/>
  </r>
  <r>
    <s v="2025-08-14"/>
    <x v="5"/>
    <x v="5"/>
    <s v="WATER TREATMENT CHEMICALS"/>
    <s v="Mombasa Depot"/>
    <s v="Mombasa Depot"/>
    <s v="TRK-030"/>
    <s v="A. Hassan"/>
    <n v="1920"/>
    <n v="254.7"/>
    <n v="489024"/>
    <n v="532"/>
    <s v="2025-08-16"/>
    <s v="2025-08-19"/>
    <s v="Late"/>
    <n v="30837.47"/>
    <n v="519861.47"/>
  </r>
  <r>
    <s v="2025-05-30"/>
    <x v="5"/>
    <x v="0"/>
    <s v="Construction Additives"/>
    <s v="Mombasa Depot"/>
    <s v="Mombasa Depot"/>
    <s v="TRK-014"/>
    <s v="L. Wekesa"/>
    <n v="1847"/>
    <n v="521.99"/>
    <n v="964115.53"/>
    <n v="48"/>
    <s v="2025-05-31"/>
    <s v="2025-05-31"/>
    <s v="On Time"/>
    <n v="2393.7800000000002"/>
    <n v="966509.31"/>
  </r>
  <r>
    <s v="2025-09-04"/>
    <x v="1"/>
    <x v="4"/>
    <s v="Maintenance Parts"/>
    <s v="Nakuru Depot"/>
    <s v="Nakuru Depot"/>
    <s v="TRK-006"/>
    <s v="J. Mutua"/>
    <n v="1938"/>
    <n v="316.14"/>
    <n v="612679.31999999995"/>
    <n v="446"/>
    <s v="2025-09-06"/>
    <s v="2025-09-07"/>
    <s v="Late"/>
    <n v="16694.439999999999"/>
    <n v="629373.75999999989"/>
  </r>
  <r>
    <s v="2025-01-08"/>
    <x v="3"/>
    <x v="4"/>
    <s v="Maintenance Parts"/>
    <s v="Nakuru Depot"/>
    <s v="Nakuru Depot"/>
    <s v="TRK-009"/>
    <s v="M. Otieno"/>
    <n v="1682"/>
    <n v="785.16"/>
    <n v="1320639.1200000001"/>
    <n v="510"/>
    <s v="2025-01-10"/>
    <s v="2025-01-09"/>
    <s v="On Time"/>
    <n v="18258.03"/>
    <n v="1338897.1500000001"/>
  </r>
  <r>
    <s v="2025-05-31"/>
    <x v="4"/>
    <x v="4"/>
    <s v="Maintenance Parts"/>
    <s v="Nairobi Depot"/>
    <s v="Nairobi Depot"/>
    <s v="TRK-002"/>
    <s v="P. Maina"/>
    <n v="2475"/>
    <n v="466.92"/>
    <n v="1155627"/>
    <n v="116"/>
    <s v="2025-06-01"/>
    <s v="2025-06-05"/>
    <s v="Late"/>
    <n v="4850.05"/>
    <n v="1160477.05"/>
  </r>
  <r>
    <s v="2025-02-16"/>
    <x v="7"/>
    <x v="4"/>
    <s v="Maintenance Parts"/>
    <s v="Nairobi Depot"/>
    <s v="Nairobi Depot"/>
    <s v="TRK-014"/>
    <s v="M. Otieno"/>
    <n v="1828"/>
    <n v="287.61"/>
    <n v="525751.07999999996"/>
    <n v="169"/>
    <s v="2025-02-17"/>
    <s v="2025-02-16"/>
    <s v="On Time"/>
    <n v="8998.44"/>
    <n v="534749.5199999999"/>
  </r>
  <r>
    <s v="2025-05-06"/>
    <x v="3"/>
    <x v="5"/>
    <s v="WATER TREATMENT CHEMICALS"/>
    <s v="Nairobi Depot"/>
    <s v="Nairobi Depot"/>
    <s v="TRK-016"/>
    <s v="M. Otieno"/>
    <n v="663"/>
    <n v="682.92"/>
    <n v="452775.96"/>
    <n v="622"/>
    <s v="2025-05-08"/>
    <s v="2025-05-07"/>
    <s v="On Time"/>
    <n v="33588.550000000003"/>
    <n v="486364.51"/>
  </r>
  <r>
    <s v="2025-08-25"/>
    <x v="1"/>
    <x v="2"/>
    <s v="Protective Coatings"/>
    <s v="Nairobi Depot"/>
    <s v="Nairobi Depot"/>
    <s v="TRK-017"/>
    <s v="D. Said"/>
    <n v="2476"/>
    <n v="252.44"/>
    <n v="625041.43999999994"/>
    <n v="21"/>
    <s v="2025-08-26"/>
    <s v="2025-08-26"/>
    <s v="On Time"/>
    <n v="1109.55"/>
    <n v="626150.99"/>
  </r>
  <r>
    <s v="2025-12-25"/>
    <x v="6"/>
    <x v="5"/>
    <s v="WATER TREATMENT CHEMICALS"/>
    <s v="Nakuru Depot"/>
    <s v="Nakuru Depot"/>
    <s v="TRK-027"/>
    <s v="M. Otieno"/>
    <n v="1900"/>
    <n v="76.77"/>
    <n v="145863"/>
    <n v="461"/>
    <s v="2025-12-27"/>
    <s v="2025-12-27"/>
    <s v="On Time"/>
    <n v="27042.86"/>
    <n v="172905.86"/>
  </r>
  <r>
    <s v="2025-10-29"/>
    <x v="0"/>
    <x v="4"/>
    <s v="Maintenance Parts"/>
    <s v="Nairobi Depot"/>
    <s v="Nairobi Depot"/>
    <s v="TRK-016"/>
    <s v="M. Otieno"/>
    <n v="448"/>
    <n v="356.39"/>
    <n v="159662.72"/>
    <n v="323"/>
    <s v="2025-10-30"/>
    <s v="2025-11-02"/>
    <s v="Late"/>
    <n v="11994.56"/>
    <n v="171657.28"/>
  </r>
  <r>
    <s v="2025-11-01"/>
    <x v="2"/>
    <x v="0"/>
    <s v="Construction Additives"/>
    <s v="Mombasa Depot"/>
    <s v="Mombasa Depot"/>
    <s v="TRK-024"/>
    <s v="M. Otieno"/>
    <n v="1249"/>
    <n v="109.41"/>
    <n v="136653.09"/>
    <n v="494"/>
    <s v="2025-11-03"/>
    <s v="2025-11-06"/>
    <s v="Late"/>
    <n v="30378.080000000002"/>
    <n v="167031.16999999998"/>
  </r>
  <r>
    <s v="2025-09-04"/>
    <x v="3"/>
    <x v="3"/>
    <s v="Packaging Materials"/>
    <s v="Nakuru Depot"/>
    <s v="Nakuru Depot"/>
    <s v="TRK-029"/>
    <s v="J. Mutua"/>
    <n v="1697"/>
    <n v="702.55"/>
    <n v="1192227.3500000001"/>
    <n v="65"/>
    <s v="2025-09-05"/>
    <s v="2025-09-07"/>
    <s v="Late"/>
    <n v="3825.63"/>
    <n v="1196052.98"/>
  </r>
  <r>
    <s v="2025-11-07"/>
    <x v="1"/>
    <x v="0"/>
    <s v="Construction Additives"/>
    <s v="Nairobi Depot"/>
    <s v="Nairobi Depot"/>
    <s v="TRK-021"/>
    <s v="A. Hassan"/>
    <n v="627"/>
    <n v="469.71"/>
    <n v="294508.17"/>
    <n v="699"/>
    <s v="2025-11-09"/>
    <s v="2025-11-09"/>
    <s v="On Time"/>
    <n v="42923.6"/>
    <n v="337431.76999999996"/>
  </r>
  <r>
    <s v="2025-11-14"/>
    <x v="3"/>
    <x v="2"/>
    <s v="Protective Coatings"/>
    <s v="Mombasa Depot"/>
    <s v="Mombasa Depot"/>
    <s v="TRK-020"/>
    <s v="A. Hassan"/>
    <n v="1115"/>
    <n v="200.45"/>
    <n v="223501.75"/>
    <n v="660"/>
    <s v="2025-11-16"/>
    <s v="2025-11-17"/>
    <s v="Late"/>
    <n v="39548.120000000003"/>
    <n v="263049.87"/>
  </r>
  <r>
    <s v="2025-08-23"/>
    <x v="5"/>
    <x v="3"/>
    <s v="Packaging Materials"/>
    <s v="Nairobi Depot"/>
    <s v="Nairobi Depot"/>
    <s v="TRK-021"/>
    <s v="A. Hassan"/>
    <n v="2468"/>
    <n v="602.20000000000005"/>
    <n v="1486229.6"/>
    <n v="272"/>
    <s v="2025-08-24"/>
    <s v="2025-08-27"/>
    <s v="Late"/>
    <n v="11119.51"/>
    <n v="1497349.11"/>
  </r>
  <r>
    <s v="2025-09-20"/>
    <x v="0"/>
    <x v="2"/>
    <s v="Protective Coatings"/>
    <s v="Eldoret Depot"/>
    <s v="Eldoret Depot"/>
    <s v="TRK-028"/>
    <s v="L. Wekesa"/>
    <n v="310"/>
    <n v="877.13"/>
    <n v="271910.3"/>
    <n v="122"/>
    <s v="2025-09-21"/>
    <s v="2025-09-23"/>
    <s v="Late"/>
    <n v="5808.36"/>
    <n v="277718.65999999997"/>
  </r>
  <r>
    <s v="2025-10-23"/>
    <x v="3"/>
    <x v="5"/>
    <s v="WATER TREATMENT CHEMICALS"/>
    <s v="Nairobi Depot"/>
    <s v="Nairobi Depot"/>
    <s v="TRK-025"/>
    <s v="M. Otieno"/>
    <n v="841"/>
    <n v="290.19"/>
    <n v="244049.79"/>
    <n v="425"/>
    <s v="2025-10-25"/>
    <s v="2025-10-25"/>
    <s v="On Time"/>
    <n v="20752.34"/>
    <n v="264802.13"/>
  </r>
  <r>
    <s v="2025-04-14"/>
    <x v="0"/>
    <x v="3"/>
    <s v="Packaging Materials"/>
    <s v="Eldoret Depot"/>
    <s v="Eldoret Depot"/>
    <s v="TRK-011"/>
    <s v="A. Hassan"/>
    <n v="577"/>
    <n v="847.51"/>
    <n v="489013.27"/>
    <n v="545"/>
    <s v="2025-04-16"/>
    <s v="2025-04-15"/>
    <s v="On Time"/>
    <n v="28240.25"/>
    <n v="517253.52"/>
  </r>
  <r>
    <s v="2025-04-12"/>
    <x v="2"/>
    <x v="3"/>
    <s v="Packaging Materials"/>
    <s v="Mombasa Depot"/>
    <s v="Mombasa Depot"/>
    <s v="TRK-008"/>
    <s v="E. Achieng"/>
    <n v="2132"/>
    <n v="327.94"/>
    <n v="699168.08"/>
    <n v="351"/>
    <s v="2025-04-14"/>
    <s v="2025-04-14"/>
    <s v="On Time"/>
    <n v="16523.099999999999"/>
    <n v="715691.17999999993"/>
  </r>
  <r>
    <s v="2025-08-16"/>
    <x v="7"/>
    <x v="4"/>
    <s v="Maintenance Parts"/>
    <s v="Mombasa Depot"/>
    <s v="Mombasa Depot"/>
    <s v="TRK-028"/>
    <s v="J. Mutua"/>
    <n v="848"/>
    <n v="276.94"/>
    <n v="234845.12"/>
    <n v="511"/>
    <s v="2025-08-18"/>
    <s v="2025-08-18"/>
    <s v="On Time"/>
    <n v="27401.51"/>
    <n v="262246.63"/>
  </r>
  <r>
    <s v="2025-03-04"/>
    <x v="2"/>
    <x v="2"/>
    <s v="Protective Coatings"/>
    <s v="Nairobi Depot"/>
    <s v="Nairobi Depot"/>
    <s v="TRK-024"/>
    <s v="P. Maina"/>
    <n v="481"/>
    <n v="233.89"/>
    <n v="112501.09"/>
    <n v="400"/>
    <s v="2025-03-06"/>
    <s v="2025-03-06"/>
    <s v="On Time"/>
    <n v="14420.75"/>
    <n v="126921.84"/>
  </r>
  <r>
    <s v="2025-05-08"/>
    <x v="7"/>
    <x v="4"/>
    <s v="Maintenance Parts"/>
    <s v="Mombasa Depot"/>
    <s v="Mombasa Depot"/>
    <s v="TRK-026"/>
    <s v="L. Wekesa"/>
    <n v="718"/>
    <n v="895.56"/>
    <n v="643012.07999999996"/>
    <n v="502"/>
    <s v="2025-05-10"/>
    <s v="2025-05-10"/>
    <s v="On Time"/>
    <n v="23855.05"/>
    <n v="666867.13"/>
  </r>
  <r>
    <s v="2025-03-15"/>
    <x v="5"/>
    <x v="0"/>
    <s v="Construction Additives"/>
    <s v="Mombasa Depot"/>
    <s v="Mombasa Depot"/>
    <s v="TRK-008"/>
    <s v="D. Said"/>
    <n v="2119"/>
    <n v="731.26"/>
    <n v="1549539.94"/>
    <n v="333"/>
    <s v="2025-03-16"/>
    <s v="2025-03-16"/>
    <s v="On Time"/>
    <n v="19478.03"/>
    <n v="1569017.97"/>
  </r>
  <r>
    <s v="2025-05-29"/>
    <x v="3"/>
    <x v="2"/>
    <s v="Protective Coatings"/>
    <s v="Mombasa Depot"/>
    <s v="Mombasa Depot"/>
    <s v="TRK-012"/>
    <s v="S. Chebet"/>
    <n v="2211"/>
    <n v="136.80000000000001"/>
    <n v="302464.8"/>
    <n v="715"/>
    <s v="2025-06-01"/>
    <s v="2025-06-03"/>
    <s v="Late"/>
    <n v="42716.74"/>
    <n v="345181.54"/>
  </r>
  <r>
    <s v="2025-05-29"/>
    <x v="1"/>
    <x v="0"/>
    <s v="Construction Additives"/>
    <s v="Eldoret Depot"/>
    <s v="Eldoret Depot"/>
    <s v="TRK-012"/>
    <s v="E. Achieng"/>
    <n v="1164"/>
    <n v="116.04"/>
    <n v="135070.56"/>
    <n v="323"/>
    <s v="2025-05-30"/>
    <s v="2025-06-02"/>
    <s v="Late"/>
    <n v="14273.14"/>
    <n v="149343.70000000001"/>
  </r>
  <r>
    <s v="2025-05-23"/>
    <x v="1"/>
    <x v="0"/>
    <s v="Construction Additives"/>
    <s v="Mombasa Depot"/>
    <s v="Mombasa Depot"/>
    <s v="TRK-001"/>
    <s v="B. Kiprono"/>
    <n v="2194"/>
    <n v="279.01"/>
    <n v="612147.93999999994"/>
    <n v="498"/>
    <s v="2025-05-25"/>
    <s v="2025-05-24"/>
    <s v="On Time"/>
    <n v="21211.63"/>
    <n v="633359.56999999995"/>
  </r>
  <r>
    <s v="2025-01-14"/>
    <x v="3"/>
    <x v="5"/>
    <s v="WATER TREATMENT CHEMICALS"/>
    <s v="Nakuru Depot"/>
    <s v="Nakuru Depot"/>
    <s v="TRK-007"/>
    <s v="K. Barasa"/>
    <n v="1667"/>
    <n v="166.65"/>
    <n v="277805.55"/>
    <n v="42"/>
    <s v="2025-01-15"/>
    <s v="2025-01-14"/>
    <s v="On Time"/>
    <n v="2461.84"/>
    <n v="280267.39"/>
  </r>
  <r>
    <s v="2025-09-19"/>
    <x v="6"/>
    <x v="0"/>
    <s v="Construction Additives"/>
    <s v="Nakuru Depot"/>
    <s v="Nakuru Depot"/>
    <s v="TRK-021"/>
    <s v="E. Achieng"/>
    <n v="2364"/>
    <n v="84.81"/>
    <n v="200490.84"/>
    <n v="256"/>
    <s v="2025-09-20"/>
    <s v="2025-09-24"/>
    <s v="Late"/>
    <n v="11364.48"/>
    <n v="211855.32"/>
  </r>
  <r>
    <s v="2025-01-09"/>
    <x v="0"/>
    <x v="0"/>
    <s v="Construction Additives"/>
    <s v="Eldoret Depot"/>
    <s v="Eldoret Depot"/>
    <s v="TRK-003"/>
    <s v="E. Achieng"/>
    <n v="749"/>
    <n v="432.39"/>
    <n v="323860.11"/>
    <n v="311"/>
    <s v="2025-01-10"/>
    <s v="2025-01-10"/>
    <s v="On Time"/>
    <n v="12938.59"/>
    <n v="336798.7"/>
  </r>
  <r>
    <s v="2025-06-05"/>
    <x v="1"/>
    <x v="3"/>
    <s v="Packaging Materials"/>
    <s v="Mombasa Depot"/>
    <s v="Mombasa Depot"/>
    <s v="TRK-010"/>
    <s v="M. Otieno"/>
    <n v="1831"/>
    <n v="775.62"/>
    <n v="1420160.22"/>
    <n v="318"/>
    <s v="2025-06-06"/>
    <s v="2025-06-06"/>
    <s v="On Time"/>
    <n v="15238.34"/>
    <n v="1435398.56"/>
  </r>
  <r>
    <s v="2025-03-28"/>
    <x v="2"/>
    <x v="1"/>
    <s v="Industrial Cleaning Supplies"/>
    <s v="Nakuru Depot"/>
    <s v="Nakuru Depot"/>
    <s v="TRK-013"/>
    <s v="B. Kiprono"/>
    <n v="1336"/>
    <n v="708.25"/>
    <n v="946222"/>
    <n v="352"/>
    <s v="2025-03-30"/>
    <s v="2025-03-30"/>
    <s v="On Time"/>
    <n v="15870.61"/>
    <n v="962092.61"/>
  </r>
  <r>
    <s v="2025-04-05"/>
    <x v="3"/>
    <x v="3"/>
    <s v="Packaging Materials"/>
    <s v="Eldoret Depot"/>
    <s v="Eldoret Depot"/>
    <s v="TRK-024"/>
    <s v="L. Wekesa"/>
    <n v="378"/>
    <n v="298.88"/>
    <n v="112976.64"/>
    <n v="588"/>
    <s v="2025-04-07"/>
    <s v="2025-04-07"/>
    <s v="On Time"/>
    <n v="26079.55"/>
    <n v="139056.19"/>
  </r>
  <r>
    <s v="2025-06-21"/>
    <x v="6"/>
    <x v="1"/>
    <s v="Industrial Cleaning Supplies"/>
    <s v="Mombasa Depot"/>
    <s v="Mombasa Depot"/>
    <s v="TRK-030"/>
    <s v="P. Maina"/>
    <n v="1995"/>
    <n v="255.27"/>
    <n v="509263.65"/>
    <n v="200"/>
    <s v="2025-06-22"/>
    <s v="2025-06-23"/>
    <s v="Late"/>
    <n v="8046.48"/>
    <n v="517310.13"/>
  </r>
  <r>
    <s v="2025-11-07"/>
    <x v="3"/>
    <x v="0"/>
    <s v="Construction Additives"/>
    <s v="Mombasa Depot"/>
    <s v="Mombasa Depot"/>
    <s v="TRK-010"/>
    <s v="A. Hassan"/>
    <n v="895"/>
    <n v="549.77"/>
    <n v="492044.15"/>
    <n v="55"/>
    <s v="2025-11-08"/>
    <s v="2025-11-08"/>
    <s v="On Time"/>
    <n v="2731.45"/>
    <n v="494775.60000000003"/>
  </r>
  <r>
    <s v="2025-09-30"/>
    <x v="3"/>
    <x v="5"/>
    <s v="WATER TREATMENT CHEMICALS"/>
    <s v="Nairobi Depot"/>
    <s v="Nairobi Depot"/>
    <s v="TRK-023"/>
    <s v="K. Barasa"/>
    <n v="705"/>
    <n v="568.64"/>
    <n v="400891.2"/>
    <n v="560"/>
    <s v="2025-10-02"/>
    <s v="2025-10-05"/>
    <s v="Late"/>
    <n v="23520.39"/>
    <n v="424411.59"/>
  </r>
  <r>
    <s v="2025-01-22"/>
    <x v="1"/>
    <x v="0"/>
    <s v="Construction Additives"/>
    <s v="Nakuru Depot"/>
    <s v="Nakuru Depot"/>
    <s v="TRK-017"/>
    <s v="E. Achieng"/>
    <n v="1533"/>
    <n v="395.58"/>
    <n v="606424.14"/>
    <n v="128"/>
    <s v="2025-01-23"/>
    <s v="2025-01-23"/>
    <s v="On Time"/>
    <n v="5297.95"/>
    <n v="611722.09"/>
  </r>
  <r>
    <s v="2025-11-19"/>
    <x v="7"/>
    <x v="1"/>
    <s v="Industrial Cleaning Supplies"/>
    <s v="Nakuru Depot"/>
    <s v="Nakuru Depot"/>
    <s v="TRK-005"/>
    <s v="J. Mutua"/>
    <n v="2278"/>
    <n v="682.78"/>
    <n v="1555372.84"/>
    <n v="547"/>
    <s v="2025-11-21"/>
    <s v="2025-11-21"/>
    <s v="On Time"/>
    <n v="28572.639999999999"/>
    <n v="1583945.48"/>
  </r>
  <r>
    <s v="2025-08-03"/>
    <x v="3"/>
    <x v="5"/>
    <s v="WATER TREATMENT CHEMICALS"/>
    <s v="Nakuru Depot"/>
    <s v="Nakuru Depot"/>
    <s v="TRK-026"/>
    <s v="P. Maina"/>
    <n v="563"/>
    <n v="237.92"/>
    <n v="133948.96"/>
    <n v="335"/>
    <s v="2025-08-04"/>
    <s v="2025-08-03"/>
    <s v="On Time"/>
    <n v="12054.53"/>
    <n v="146003.49"/>
  </r>
  <r>
    <s v="2025-07-11"/>
    <x v="7"/>
    <x v="2"/>
    <s v="Protective Coatings"/>
    <s v="Mombasa Depot"/>
    <s v="Mombasa Depot"/>
    <s v="TRK-009"/>
    <s v="B. Kiprono"/>
    <n v="1136"/>
    <n v="572.64"/>
    <n v="650519.04000000004"/>
    <n v="293"/>
    <s v="2025-07-12"/>
    <s v="2025-07-12"/>
    <s v="On Time"/>
    <n v="14446.25"/>
    <n v="664965.29"/>
  </r>
  <r>
    <s v="2025-01-11"/>
    <x v="3"/>
    <x v="0"/>
    <s v="Construction Additives"/>
    <s v="Eldoret Depot"/>
    <s v="Eldoret Depot"/>
    <s v="TRK-017"/>
    <s v="S. Chebet"/>
    <n v="942"/>
    <n v="457.57"/>
    <n v="431030.94"/>
    <n v="589"/>
    <s v="2025-01-13"/>
    <s v="2025-01-13"/>
    <s v="On Time"/>
    <n v="36350.06"/>
    <n v="467381"/>
  </r>
  <r>
    <s v="2025-05-28"/>
    <x v="6"/>
    <x v="0"/>
    <s v="Construction Additives"/>
    <s v="Nairobi Depot"/>
    <s v="Nairobi Depot"/>
    <s v="TRK-012"/>
    <s v="A. Hassan"/>
    <n v="209"/>
    <n v="841.96"/>
    <n v="175969.64"/>
    <n v="242"/>
    <s v="2025-05-29"/>
    <s v="2025-06-02"/>
    <s v="Late"/>
    <n v="11784.85"/>
    <n v="187754.49000000002"/>
  </r>
  <r>
    <s v="2025-02-28"/>
    <x v="7"/>
    <x v="5"/>
    <s v="WATER TREATMENT CHEMICALS"/>
    <s v="Mombasa Depot"/>
    <s v="Mombasa Depot"/>
    <s v="TRK-008"/>
    <s v="E. Achieng"/>
    <n v="1124"/>
    <n v="277.98"/>
    <n v="312449.52"/>
    <n v="393"/>
    <s v="2025-03-02"/>
    <s v="2025-03-02"/>
    <s v="On Time"/>
    <n v="21282.58"/>
    <n v="333732.10000000003"/>
  </r>
  <r>
    <s v="2025-01-17"/>
    <x v="6"/>
    <x v="5"/>
    <s v="WATER TREATMENT CHEMICALS"/>
    <s v="Mombasa Depot"/>
    <s v="Mombasa Depot"/>
    <s v="TRK-008"/>
    <s v="K. Barasa"/>
    <n v="1628"/>
    <n v="384.72"/>
    <n v="626324.16"/>
    <n v="471"/>
    <s v="2025-01-19"/>
    <s v="2025-01-18"/>
    <s v="On Time"/>
    <n v="17438.759999999998"/>
    <n v="643762.92000000004"/>
  </r>
  <r>
    <s v="2025-06-28"/>
    <x v="5"/>
    <x v="3"/>
    <s v="Packaging Materials"/>
    <s v="Eldoret Depot"/>
    <s v="Eldoret Depot"/>
    <s v="TRK-030"/>
    <s v="A. Hassan"/>
    <n v="1105"/>
    <n v="115.04"/>
    <n v="127119.2"/>
    <n v="546"/>
    <s v="2025-06-30"/>
    <s v="2025-06-30"/>
    <s v="On Time"/>
    <n v="33817.339999999997"/>
    <n v="160936.53999999998"/>
  </r>
  <r>
    <s v="2025-12-03"/>
    <x v="1"/>
    <x v="5"/>
    <s v="WATER TREATMENT CHEMICALS"/>
    <s v="Eldoret Depot"/>
    <s v="Eldoret Depot"/>
    <s v="TRK-008"/>
    <s v="S. Chebet"/>
    <n v="2295"/>
    <n v="545.44000000000005"/>
    <n v="1251784.8"/>
    <n v="295"/>
    <s v="2025-12-04"/>
    <s v="2025-12-04"/>
    <s v="On Time"/>
    <n v="16295.53"/>
    <n v="1268080.33"/>
  </r>
  <r>
    <s v="2025-05-08"/>
    <x v="2"/>
    <x v="0"/>
    <s v="Construction Additives"/>
    <s v="Nakuru Depot"/>
    <s v="Nakuru Depot"/>
    <s v="TRK-009"/>
    <s v="M. Otieno"/>
    <n v="385"/>
    <n v="630.29"/>
    <n v="242661.65"/>
    <n v="335"/>
    <s v="2025-05-09"/>
    <s v="2025-05-09"/>
    <s v="On Time"/>
    <n v="20366.43"/>
    <n v="263028.08"/>
  </r>
  <r>
    <s v="2025-07-03"/>
    <x v="4"/>
    <x v="5"/>
    <s v="WATER TREATMENT CHEMICALS"/>
    <s v="Mombasa Depot"/>
    <s v="Mombasa Depot"/>
    <s v="TRK-006"/>
    <s v="L. Wekesa"/>
    <n v="824"/>
    <n v="200.14"/>
    <n v="164915.35999999999"/>
    <n v="719"/>
    <s v="2025-07-06"/>
    <s v="2025-07-09"/>
    <s v="Late"/>
    <n v="39880.089999999997"/>
    <n v="204795.44999999998"/>
  </r>
  <r>
    <s v="2025-07-26"/>
    <x v="6"/>
    <x v="0"/>
    <s v="Construction Additives"/>
    <s v="Mombasa Depot"/>
    <s v="Mombasa Depot"/>
    <s v="TRK-029"/>
    <s v="D. Said"/>
    <n v="1120"/>
    <n v="223.46"/>
    <n v="250275.20000000001"/>
    <n v="319"/>
    <s v="2025-07-27"/>
    <s v="2025-07-30"/>
    <s v="Late"/>
    <n v="17449.75"/>
    <n v="267724.95"/>
  </r>
  <r>
    <s v="2025-01-30"/>
    <x v="7"/>
    <x v="3"/>
    <s v="Packaging Materials"/>
    <s v="Nakuru Depot"/>
    <s v="Nakuru Depot"/>
    <s v="TRK-003"/>
    <s v="E. Achieng"/>
    <n v="1051"/>
    <n v="553.47"/>
    <n v="581696.97"/>
    <n v="337"/>
    <s v="2025-01-31"/>
    <s v="2025-02-01"/>
    <s v="Late"/>
    <n v="17991.12"/>
    <n v="599688.09"/>
  </r>
  <r>
    <s v="2025-11-12"/>
    <x v="5"/>
    <x v="5"/>
    <s v="WATER TREATMENT CHEMICALS"/>
    <s v="Nakuru Depot"/>
    <s v="Nakuru Depot"/>
    <s v="TRK-007"/>
    <s v="J. Mutua"/>
    <n v="1294"/>
    <n v="849.22"/>
    <n v="1098890.68"/>
    <n v="480"/>
    <s v="2025-11-14"/>
    <s v="2025-11-14"/>
    <s v="On Time"/>
    <n v="23287.86"/>
    <n v="1122178.54"/>
  </r>
  <r>
    <s v="2025-12-31"/>
    <x v="7"/>
    <x v="4"/>
    <s v="Maintenance Parts"/>
    <s v="Nairobi Depot"/>
    <s v="Nairobi Depot"/>
    <s v="TRK-015"/>
    <s v="S. Chebet"/>
    <n v="1374"/>
    <n v="517.29"/>
    <n v="710756.46"/>
    <n v="267"/>
    <s v="2026-01-01"/>
    <s v="2026-01-03"/>
    <s v="Late"/>
    <n v="14420.37"/>
    <n v="725176.83"/>
  </r>
  <r>
    <s v="2025-12-24"/>
    <x v="5"/>
    <x v="1"/>
    <s v="Industrial Cleaning Supplies"/>
    <s v="Nairobi Depot"/>
    <s v="Nairobi Depot"/>
    <s v="TRK-005"/>
    <s v="K. Barasa"/>
    <n v="1058"/>
    <n v="388.85"/>
    <n v="411403.3"/>
    <n v="605"/>
    <s v="2025-12-26"/>
    <s v="2025-12-29"/>
    <s v="Late"/>
    <n v="36023.07"/>
    <n v="447426.37"/>
  </r>
  <r>
    <s v="2025-03-09"/>
    <x v="0"/>
    <x v="5"/>
    <s v="WATER TREATMENT CHEMICALS"/>
    <s v="Nairobi Depot"/>
    <s v="Nairobi Depot"/>
    <s v="TRK-018"/>
    <s v="S. Chebet"/>
    <n v="1504"/>
    <n v="300.95999999999998"/>
    <n v="452643.84000000003"/>
    <n v="43"/>
    <s v="2025-03-10"/>
    <s v="2025-03-10"/>
    <s v="On Time"/>
    <n v="2464.62"/>
    <n v="455108.46"/>
  </r>
  <r>
    <s v="2025-11-20"/>
    <x v="6"/>
    <x v="3"/>
    <s v="Packaging Materials"/>
    <s v="Mombasa Depot"/>
    <s v="Mombasa Depot"/>
    <s v="TRK-025"/>
    <s v="P. Maina"/>
    <n v="230"/>
    <n v="54.19"/>
    <n v="12463.7"/>
    <n v="592"/>
    <s v="2025-11-22"/>
    <s v="2025-11-26"/>
    <s v="Late"/>
    <n v="27512.91"/>
    <n v="39976.61"/>
  </r>
  <r>
    <s v="2025-08-25"/>
    <x v="7"/>
    <x v="5"/>
    <s v="WATER TREATMENT CHEMICALS"/>
    <s v="Nairobi Depot"/>
    <s v="Nairobi Depot"/>
    <s v="TRK-017"/>
    <s v="L. Wekesa"/>
    <n v="723"/>
    <n v="411.86"/>
    <n v="297774.78000000003"/>
    <n v="207"/>
    <s v="2025-08-26"/>
    <s v="2025-08-26"/>
    <s v="On Time"/>
    <n v="10910.91"/>
    <n v="308685.69"/>
  </r>
  <r>
    <s v="2025-06-06"/>
    <x v="0"/>
    <x v="0"/>
    <s v="Construction Additives"/>
    <s v="Mombasa Depot"/>
    <s v="Mombasa Depot"/>
    <s v="TRK-005"/>
    <s v="J. Mutua"/>
    <n v="384"/>
    <n v="707.99"/>
    <n v="271868.15999999997"/>
    <n v="39"/>
    <s v="2025-06-07"/>
    <s v="2025-06-10"/>
    <s v="Late"/>
    <n v="1496.97"/>
    <n v="273365.12999999995"/>
  </r>
  <r>
    <s v="2025-11-12"/>
    <x v="3"/>
    <x v="5"/>
    <s v="WATER TREATMENT CHEMICALS"/>
    <s v="Nairobi Depot"/>
    <s v="Nairobi Depot"/>
    <s v="TRK-029"/>
    <s v="E. Achieng"/>
    <n v="262"/>
    <n v="856.88"/>
    <n v="224502.56"/>
    <n v="381"/>
    <s v="2025-11-14"/>
    <s v="2025-11-13"/>
    <s v="On Time"/>
    <n v="16202.09"/>
    <n v="240704.65"/>
  </r>
  <r>
    <s v="2025-10-22"/>
    <x v="0"/>
    <x v="4"/>
    <s v="Maintenance Parts"/>
    <s v="Nakuru Depot"/>
    <s v="Nakuru Depot"/>
    <s v="TRK-015"/>
    <s v="M. Otieno"/>
    <n v="1288"/>
    <n v="802.72"/>
    <n v="1033903.36"/>
    <n v="215"/>
    <s v="2025-10-23"/>
    <s v="2025-10-25"/>
    <s v="Late"/>
    <n v="8194.15"/>
    <n v="1042097.51"/>
  </r>
  <r>
    <s v="2025-08-07"/>
    <x v="3"/>
    <x v="2"/>
    <s v="Protective Coatings"/>
    <s v="Nairobi Depot"/>
    <s v="Nairobi Depot"/>
    <s v="TRK-021"/>
    <s v="P. Maina"/>
    <n v="769"/>
    <n v="248.37"/>
    <n v="190996.53"/>
    <n v="159"/>
    <s v="2025-08-08"/>
    <s v="2025-08-08"/>
    <s v="On Time"/>
    <n v="6614.8"/>
    <n v="197611.33"/>
  </r>
  <r>
    <s v="2025-07-10"/>
    <x v="3"/>
    <x v="2"/>
    <s v="Protective Coatings"/>
    <s v="Mombasa Depot"/>
    <s v="Mombasa Depot"/>
    <s v="TRK-014"/>
    <s v="A. Hassan"/>
    <n v="1755"/>
    <n v="544.72"/>
    <n v="955983.6"/>
    <n v="514"/>
    <s v="2025-07-12"/>
    <s v="2025-07-12"/>
    <s v="On Time"/>
    <n v="27433.02"/>
    <n v="983416.62"/>
  </r>
  <r>
    <s v="2025-04-28"/>
    <x v="2"/>
    <x v="3"/>
    <s v="Packaging Materials"/>
    <s v="Nakuru Depot"/>
    <s v="Nakuru Depot"/>
    <s v="TRK-028"/>
    <s v="S. Chebet"/>
    <n v="999"/>
    <n v="355.76"/>
    <n v="355404.24"/>
    <n v="436"/>
    <s v="2025-04-30"/>
    <s v="2025-05-01"/>
    <s v="Late"/>
    <n v="19266.02"/>
    <n v="374670.26"/>
  </r>
  <r>
    <s v="2025-09-13"/>
    <x v="0"/>
    <x v="4"/>
    <s v="Maintenance Parts"/>
    <s v="Nakuru Depot"/>
    <s v="Nakuru Depot"/>
    <s v="TRK-011"/>
    <s v="D. Said"/>
    <n v="2157"/>
    <n v="767.87"/>
    <n v="1656295.59"/>
    <n v="600"/>
    <s v="2025-09-15"/>
    <s v="2025-09-15"/>
    <s v="On Time"/>
    <n v="37195.379999999997"/>
    <n v="1693490.97"/>
  </r>
  <r>
    <s v="2025-04-28"/>
    <x v="7"/>
    <x v="1"/>
    <s v="Industrial Cleaning Supplies"/>
    <s v="Mombasa Depot"/>
    <s v="Mombasa Depot"/>
    <s v="TRK-007"/>
    <s v="A. Hassan"/>
    <n v="601"/>
    <n v="284.85000000000002"/>
    <n v="171194.85"/>
    <n v="348"/>
    <s v="2025-04-29"/>
    <s v="2025-05-01"/>
    <s v="Late"/>
    <n v="16698.61"/>
    <n v="187893.46000000002"/>
  </r>
  <r>
    <s v="2025-01-21"/>
    <x v="3"/>
    <x v="1"/>
    <s v="Industrial Cleaning Supplies"/>
    <s v="Mombasa Depot"/>
    <s v="Mombasa Depot"/>
    <s v="TRK-006"/>
    <s v="D. Said"/>
    <n v="591"/>
    <n v="477.95"/>
    <n v="282468.45"/>
    <n v="454"/>
    <s v="2025-01-23"/>
    <s v="2025-01-23"/>
    <s v="On Time"/>
    <n v="19426.34"/>
    <n v="301894.79000000004"/>
  </r>
  <r>
    <s v="2025-11-22"/>
    <x v="5"/>
    <x v="3"/>
    <s v="Packaging Materials"/>
    <s v="Eldoret Depot"/>
    <s v="Eldoret Depot"/>
    <s v="TRK-004"/>
    <s v="E. Achieng"/>
    <n v="490"/>
    <n v="796.02"/>
    <n v="390049.8"/>
    <n v="115"/>
    <s v="2025-11-23"/>
    <s v="2025-11-27"/>
    <s v="Late"/>
    <n v="4402.8500000000004"/>
    <n v="394452.64999999997"/>
  </r>
  <r>
    <s v="2025-04-01"/>
    <x v="4"/>
    <x v="1"/>
    <s v="Industrial Cleaning Supplies"/>
    <s v="Eldoret Depot"/>
    <s v="Eldoret Depot"/>
    <s v="TRK-010"/>
    <s v="D. Said"/>
    <n v="1722"/>
    <n v="230.29"/>
    <n v="396559.38"/>
    <n v="578"/>
    <s v="2025-04-03"/>
    <s v="2025-04-03"/>
    <s v="On Time"/>
    <n v="34917.96"/>
    <n v="431477.34"/>
  </r>
  <r>
    <s v="2025-11-15"/>
    <x v="7"/>
    <x v="5"/>
    <s v="WATER TREATMENT CHEMICALS"/>
    <s v="Mombasa Depot"/>
    <s v="Mombasa Depot"/>
    <s v="TRK-006"/>
    <s v="J. Mutua"/>
    <n v="844"/>
    <n v="741.74"/>
    <n v="626028.56000000006"/>
    <n v="278"/>
    <s v="2025-11-16"/>
    <s v="2025-11-20"/>
    <s v="Late"/>
    <n v="12791.88"/>
    <n v="638820.44000000006"/>
  </r>
  <r>
    <s v="2025-12-28"/>
    <x v="6"/>
    <x v="1"/>
    <s v="Industrial Cleaning Supplies"/>
    <s v="Nakuru Depot"/>
    <s v="Nakuru Depot"/>
    <s v="TRK-005"/>
    <s v="M. Otieno"/>
    <n v="1005"/>
    <n v="182.61"/>
    <n v="183523.05"/>
    <n v="528"/>
    <s v="2025-12-30"/>
    <s v="2025-12-30"/>
    <s v="On Time"/>
    <n v="23346.33"/>
    <n v="206869.38"/>
  </r>
  <r>
    <s v="2025-11-06"/>
    <x v="2"/>
    <x v="3"/>
    <s v="Packaging Materials"/>
    <s v="Eldoret Depot"/>
    <s v="Eldoret Depot"/>
    <s v="TRK-017"/>
    <s v="K. Barasa"/>
    <n v="579"/>
    <n v="459.64"/>
    <n v="266131.56"/>
    <n v="241"/>
    <s v="2025-11-07"/>
    <s v="2025-11-10"/>
    <s v="Late"/>
    <n v="12533.03"/>
    <n v="278664.59000000003"/>
  </r>
  <r>
    <s v="2025-08-30"/>
    <x v="7"/>
    <x v="3"/>
    <s v="Packaging Materials"/>
    <s v="Nairobi Depot"/>
    <s v="Nairobi Depot"/>
    <s v="TRK-001"/>
    <s v="P. Maina"/>
    <n v="1980"/>
    <n v="259.52999999999997"/>
    <n v="513869.4"/>
    <n v="356"/>
    <s v="2025-09-01"/>
    <s v="2025-09-01"/>
    <s v="On Time"/>
    <n v="19422.55"/>
    <n v="533291.95000000007"/>
  </r>
  <r>
    <s v="2025-12-25"/>
    <x v="5"/>
    <x v="2"/>
    <s v="Protective Coatings"/>
    <s v="Nairobi Depot"/>
    <s v="Nairobi Depot"/>
    <s v="TRK-004"/>
    <s v="Not Found"/>
    <n v="1598"/>
    <n v="205.62"/>
    <n v="328580.76"/>
    <n v="296"/>
    <s v="2025-12-26"/>
    <s v="2025-12-27"/>
    <s v="Late"/>
    <n v="18222.689999999999"/>
    <n v="346803.45"/>
  </r>
  <r>
    <s v="2025-12-07"/>
    <x v="3"/>
    <x v="1"/>
    <s v="Industrial Cleaning Supplies"/>
    <s v="Mombasa Depot"/>
    <s v="Mombasa Depot"/>
    <s v="TRK-001"/>
    <s v="K. Barasa"/>
    <n v="1352"/>
    <n v="729.57"/>
    <n v="986378.64"/>
    <n v="49"/>
    <s v="2025-12-08"/>
    <s v="2025-12-10"/>
    <s v="Late"/>
    <n v="2629.37"/>
    <n v="989008.01"/>
  </r>
  <r>
    <s v="2025-07-31"/>
    <x v="2"/>
    <x v="1"/>
    <s v="Industrial Cleaning Supplies"/>
    <s v="Nairobi Depot"/>
    <s v="Nairobi Depot"/>
    <s v="TRK-027"/>
    <s v="P. Maina"/>
    <n v="608"/>
    <n v="679.26"/>
    <n v="412990.08"/>
    <n v="450"/>
    <s v="2025-08-02"/>
    <s v="2025-08-02"/>
    <s v="On Time"/>
    <n v="18625.71"/>
    <n v="431615.79000000004"/>
  </r>
  <r>
    <s v="2025-06-07"/>
    <x v="4"/>
    <x v="4"/>
    <s v="Maintenance Parts"/>
    <s v="Mombasa Depot"/>
    <s v="Mombasa Depot"/>
    <s v="TRK-019"/>
    <s v="B. Kiprono"/>
    <n v="2154"/>
    <n v="252.75"/>
    <n v="544423.5"/>
    <n v="71"/>
    <s v="2025-06-08"/>
    <s v="2025-06-08"/>
    <s v="On Time"/>
    <n v="2789.94"/>
    <n v="547213.43999999994"/>
  </r>
  <r>
    <s v="2025-01-24"/>
    <x v="7"/>
    <x v="5"/>
    <s v="WATER TREATMENT CHEMICALS"/>
    <s v="Mombasa Depot"/>
    <s v="Mombasa Depot"/>
    <s v="TRK-003"/>
    <s v="L. Wekesa"/>
    <n v="1242"/>
    <n v="253.36"/>
    <n v="314673.12"/>
    <n v="163"/>
    <s v="2025-01-25"/>
    <s v="2025-01-25"/>
    <s v="On Time"/>
    <n v="7105.62"/>
    <n v="321778.74"/>
  </r>
  <r>
    <s v="2025-08-01"/>
    <x v="5"/>
    <x v="1"/>
    <s v="Industrial Cleaning Supplies"/>
    <s v="Mombasa Depot"/>
    <s v="Mombasa Depot"/>
    <s v="TRK-029"/>
    <s v="S. Chebet"/>
    <n v="126"/>
    <n v="576.15"/>
    <n v="72594.899999999994"/>
    <n v="419"/>
    <s v="2025-08-03"/>
    <s v="2025-08-03"/>
    <s v="On Time"/>
    <n v="24539.05"/>
    <n v="97133.95"/>
  </r>
  <r>
    <s v="2025-12-02"/>
    <x v="3"/>
    <x v="5"/>
    <s v="WATER TREATMENT CHEMICALS"/>
    <s v="Eldoret Depot"/>
    <s v="Eldoret Depot"/>
    <s v="TRK-002"/>
    <s v="A. Hassan"/>
    <n v="1476"/>
    <n v="397.24"/>
    <n v="586326.24"/>
    <n v="57"/>
    <s v="2025-12-03"/>
    <s v="2025-12-06"/>
    <s v="Late"/>
    <n v="3401.65"/>
    <n v="589727.89"/>
  </r>
  <r>
    <s v="2025-02-09"/>
    <x v="0"/>
    <x v="4"/>
    <s v="Maintenance Parts"/>
    <s v="Eldoret Depot"/>
    <s v="Eldoret Depot"/>
    <s v="TRK-016"/>
    <s v="K. Barasa"/>
    <n v="2282"/>
    <n v="236.46"/>
    <n v="539601.72"/>
    <n v="473"/>
    <s v="2025-02-11"/>
    <s v="2025-02-11"/>
    <s v="On Time"/>
    <n v="20805.259999999998"/>
    <n v="560406.98"/>
  </r>
  <r>
    <s v="2025-08-08"/>
    <x v="0"/>
    <x v="4"/>
    <s v="Maintenance Parts"/>
    <s v="Eldoret Depot"/>
    <s v="Eldoret Depot"/>
    <s v="TRK-006"/>
    <s v="S. Chebet"/>
    <n v="1601"/>
    <n v="207.15"/>
    <n v="331647.15000000002"/>
    <n v="157"/>
    <s v="2025-08-09"/>
    <s v="2025-08-08"/>
    <s v="On Time"/>
    <n v="9119.11"/>
    <n v="340766.26"/>
  </r>
  <r>
    <s v="2025-04-08"/>
    <x v="2"/>
    <x v="1"/>
    <s v="Industrial Cleaning Supplies"/>
    <s v="Nakuru Depot"/>
    <s v="Nakuru Depot"/>
    <s v="TRK-009"/>
    <s v="D. Said"/>
    <n v="1774"/>
    <n v="348.83"/>
    <n v="618824.42000000004"/>
    <n v="481"/>
    <s v="2025-04-10"/>
    <s v="2025-04-10"/>
    <s v="On Time"/>
    <n v="22953.81"/>
    <n v="641778.2300000001"/>
  </r>
  <r>
    <s v="2025-12-30"/>
    <x v="1"/>
    <x v="5"/>
    <s v="WATER TREATMENT CHEMICALS"/>
    <s v="Nairobi Depot"/>
    <s v="Nairobi Depot"/>
    <s v="TRK-021"/>
    <s v="J. Mutua"/>
    <n v="915"/>
    <n v="571.02"/>
    <n v="522483.3"/>
    <n v="253"/>
    <s v="2025-12-31"/>
    <s v="2026-01-03"/>
    <s v="Late"/>
    <n v="9993.2900000000009"/>
    <n v="532476.59"/>
  </r>
  <r>
    <s v="2025-12-09"/>
    <x v="5"/>
    <x v="0"/>
    <s v="Construction Additives"/>
    <s v="Eldoret Depot"/>
    <s v="Eldoret Depot"/>
    <s v="TRK-002"/>
    <s v="M. Otieno"/>
    <n v="157"/>
    <n v="420.85"/>
    <n v="66073.45"/>
    <n v="475"/>
    <s v="2025-12-11"/>
    <s v="2025-12-13"/>
    <s v="Late"/>
    <n v="21791.41"/>
    <n v="87864.86"/>
  </r>
  <r>
    <s v="2025-03-16"/>
    <x v="7"/>
    <x v="0"/>
    <s v="Construction Additives"/>
    <s v="Nairobi Depot"/>
    <s v="Nairobi Depot"/>
    <s v="TRK-014"/>
    <s v="L. Wekesa"/>
    <n v="625"/>
    <n v="499.67"/>
    <n v="312293.75"/>
    <n v="69"/>
    <s v="2025-03-17"/>
    <s v="2025-03-17"/>
    <s v="On Time"/>
    <n v="2957.62"/>
    <n v="315251.37"/>
  </r>
  <r>
    <s v="2025-11-09"/>
    <x v="2"/>
    <x v="4"/>
    <s v="Maintenance Parts"/>
    <s v="Mombasa Depot"/>
    <s v="Mombasa Depot"/>
    <s v="TRK-013"/>
    <s v="S. Chebet"/>
    <n v="1291"/>
    <n v="461.14"/>
    <n v="595331.74"/>
    <n v="360"/>
    <s v="2025-11-11"/>
    <s v="2025-11-15"/>
    <s v="Late"/>
    <n v="20764.16"/>
    <n v="616095.9"/>
  </r>
  <r>
    <s v="2025-07-15"/>
    <x v="5"/>
    <x v="2"/>
    <s v="Protective Coatings"/>
    <s v="Eldoret Depot"/>
    <s v="Eldoret Depot"/>
    <s v="TRK-012"/>
    <s v="B. Kiprono"/>
    <n v="2204"/>
    <n v="583.24"/>
    <n v="1285460.96"/>
    <n v="242"/>
    <s v="2025-07-16"/>
    <s v="2025-07-16"/>
    <s v="On Time"/>
    <n v="10574.64"/>
    <n v="1296035.5999999999"/>
  </r>
  <r>
    <s v="2025-09-24"/>
    <x v="4"/>
    <x v="0"/>
    <s v="Construction Additives"/>
    <s v="Nakuru Depot"/>
    <s v="Nakuru Depot"/>
    <s v="TRK-006"/>
    <s v="K. Barasa"/>
    <n v="1500"/>
    <n v="66.83"/>
    <n v="100245"/>
    <n v="92"/>
    <s v="2025-09-25"/>
    <s v="2025-09-24"/>
    <s v="On Time"/>
    <n v="4523.59"/>
    <n v="104768.59"/>
  </r>
  <r>
    <s v="2025-04-23"/>
    <x v="4"/>
    <x v="2"/>
    <s v="Protective Coatings"/>
    <s v="Nairobi Depot"/>
    <s v="Nairobi Depot"/>
    <s v="TRK-001"/>
    <s v="J. Mutua"/>
    <n v="1557"/>
    <n v="214.44"/>
    <n v="333883.08"/>
    <n v="274"/>
    <s v="2025-04-24"/>
    <s v="2025-04-28"/>
    <s v="Late"/>
    <n v="15234.6"/>
    <n v="349117.68"/>
  </r>
  <r>
    <s v="2025-02-17"/>
    <x v="6"/>
    <x v="0"/>
    <s v="Construction Additives"/>
    <s v="Nakuru Depot"/>
    <s v="Nakuru Depot"/>
    <s v="TRK-025"/>
    <s v="B. Kiprono"/>
    <n v="640"/>
    <n v="173.89"/>
    <n v="111289.60000000001"/>
    <n v="138"/>
    <s v="2025-02-18"/>
    <s v="2025-02-18"/>
    <s v="On Time"/>
    <n v="8551.8700000000008"/>
    <n v="119841.47"/>
  </r>
  <r>
    <s v="2025-08-07"/>
    <x v="2"/>
    <x v="1"/>
    <s v="Industrial Cleaning Supplies"/>
    <s v="Mombasa Depot"/>
    <s v="Mombasa Depot"/>
    <s v="TRK-008"/>
    <s v="L. Wekesa"/>
    <n v="612"/>
    <n v="755.19"/>
    <n v="462176.28"/>
    <n v="696"/>
    <s v="2025-08-09"/>
    <s v="2025-08-09"/>
    <s v="On Time"/>
    <n v="32284.37"/>
    <n v="494460.65"/>
  </r>
  <r>
    <s v="2025-06-28"/>
    <x v="7"/>
    <x v="2"/>
    <s v="Protective Coatings"/>
    <s v="Mombasa Depot"/>
    <s v="Mombasa Depot"/>
    <s v="TRK-025"/>
    <s v="L. Wekesa"/>
    <n v="1419"/>
    <n v="147.84"/>
    <n v="209784.95999999999"/>
    <n v="395"/>
    <s v="2025-06-30"/>
    <s v="2025-07-01"/>
    <s v="Late"/>
    <n v="19686.84"/>
    <n v="229471.8"/>
  </r>
  <r>
    <s v="2025-12-24"/>
    <x v="0"/>
    <x v="3"/>
    <s v="Packaging Materials"/>
    <s v="Nairobi Depot"/>
    <s v="Nairobi Depot"/>
    <s v="TRK-006"/>
    <s v="L. Wekesa"/>
    <n v="1527"/>
    <n v="92.44"/>
    <n v="141155.88"/>
    <n v="408"/>
    <s v="2025-12-26"/>
    <s v="2025-12-26"/>
    <s v="On Time"/>
    <n v="15876.37"/>
    <n v="157032.25"/>
  </r>
  <r>
    <s v="2025-03-18"/>
    <x v="4"/>
    <x v="4"/>
    <s v="Maintenance Parts"/>
    <s v="Nakuru Depot"/>
    <s v="Nakuru Depot"/>
    <s v="TRK-030"/>
    <s v="B. Kiprono"/>
    <n v="2309"/>
    <n v="483.58"/>
    <n v="1116586.22"/>
    <n v="706"/>
    <s v="2025-03-21"/>
    <s v="2025-03-21"/>
    <s v="On Time"/>
    <n v="34301.56"/>
    <n v="1150887.78"/>
  </r>
  <r>
    <s v="2025-05-18"/>
    <x v="6"/>
    <x v="4"/>
    <s v="Maintenance Parts"/>
    <s v="Nakuru Depot"/>
    <s v="Nakuru Depot"/>
    <s v="TRK-019"/>
    <s v="B. Kiprono"/>
    <n v="771"/>
    <n v="338.82"/>
    <n v="261230.22"/>
    <n v="176"/>
    <s v="2025-05-19"/>
    <s v="2025-05-23"/>
    <s v="Late"/>
    <n v="7221.23"/>
    <n v="268451.45"/>
  </r>
  <r>
    <s v="2025-05-26"/>
    <x v="1"/>
    <x v="2"/>
    <s v="Protective Coatings"/>
    <s v="Nairobi Depot"/>
    <s v="Nairobi Depot"/>
    <s v="TRK-027"/>
    <s v="D. Said"/>
    <n v="1246"/>
    <n v="172.83"/>
    <n v="215346.18"/>
    <n v="89"/>
    <s v="2025-05-27"/>
    <s v="2025-05-27"/>
    <s v="On Time"/>
    <n v="4511.99"/>
    <n v="219858.16999999998"/>
  </r>
  <r>
    <s v="2025-06-08"/>
    <x v="7"/>
    <x v="1"/>
    <s v="Industrial Cleaning Supplies"/>
    <s v="Eldoret Depot"/>
    <s v="Eldoret Depot"/>
    <s v="TRK-002"/>
    <s v="M. Otieno"/>
    <n v="1071"/>
    <n v="89.1"/>
    <n v="95426.1"/>
    <n v="619"/>
    <s v="2025-06-10"/>
    <s v="2025-06-13"/>
    <s v="Late"/>
    <n v="28622.85"/>
    <n v="124048.95000000001"/>
  </r>
  <r>
    <s v="2025-10-01"/>
    <x v="6"/>
    <x v="1"/>
    <s v="Industrial Cleaning Supplies"/>
    <s v="Nairobi Depot"/>
    <s v="Nairobi Depot"/>
    <s v="TRK-001"/>
    <s v="E. Achieng"/>
    <n v="2347"/>
    <n v="293.35000000000002"/>
    <n v="688492.45"/>
    <n v="591"/>
    <s v="2025-10-03"/>
    <s v="2025-10-03"/>
    <s v="On Time"/>
    <n v="26499.05"/>
    <n v="714991.5"/>
  </r>
  <r>
    <s v="2025-02-12"/>
    <x v="5"/>
    <x v="5"/>
    <s v="WATER TREATMENT CHEMICALS"/>
    <s v="Nakuru Depot"/>
    <s v="Nakuru Depot"/>
    <s v="TRK-030"/>
    <s v="B. Kiprono"/>
    <n v="2488"/>
    <n v="520.04999999999995"/>
    <n v="1293884.3999999999"/>
    <n v="25"/>
    <s v="2025-02-13"/>
    <s v="2025-02-16"/>
    <s v="Late"/>
    <n v="1456.73"/>
    <n v="1295341.1299999999"/>
  </r>
  <r>
    <s v="2025-03-26"/>
    <x v="2"/>
    <x v="1"/>
    <s v="Industrial Cleaning Supplies"/>
    <s v="Nakuru Depot"/>
    <s v="Nakuru Depot"/>
    <s v="TRK-023"/>
    <s v="A. Hassan"/>
    <n v="1430"/>
    <n v="296.85000000000002"/>
    <n v="424495.5"/>
    <n v="491"/>
    <s v="2025-03-28"/>
    <s v="2025-03-31"/>
    <s v="Late"/>
    <n v="23157.81"/>
    <n v="447653.31"/>
  </r>
  <r>
    <s v="2025-11-10"/>
    <x v="4"/>
    <x v="5"/>
    <s v="WATER TREATMENT CHEMICALS"/>
    <s v="Mombasa Depot"/>
    <s v="Mombasa Depot"/>
    <s v="TRK-005"/>
    <s v="B. Kiprono"/>
    <n v="453"/>
    <n v="291.31"/>
    <n v="131963.43"/>
    <n v="420"/>
    <s v="2025-11-12"/>
    <s v="2025-11-12"/>
    <s v="On Time"/>
    <n v="21641.78"/>
    <n v="153605.21"/>
  </r>
  <r>
    <s v="2025-10-01"/>
    <x v="1"/>
    <x v="5"/>
    <s v="WATER TREATMENT CHEMICALS"/>
    <s v="Nakuru Depot"/>
    <s v="Nakuru Depot"/>
    <s v="TRK-003"/>
    <s v="S. Chebet"/>
    <n v="1896"/>
    <n v="845.32"/>
    <n v="1602726.72"/>
    <n v="73"/>
    <s v="2025-10-02"/>
    <s v="2025-10-03"/>
    <s v="Late"/>
    <n v="4066.17"/>
    <n v="1606792.89"/>
  </r>
  <r>
    <s v="2025-12-13"/>
    <x v="0"/>
    <x v="2"/>
    <s v="Protective Coatings"/>
    <s v="Mombasa Depot"/>
    <s v="Mombasa Depot"/>
    <s v="TRK-011"/>
    <s v="J. Mutua"/>
    <n v="181"/>
    <n v="477.76"/>
    <n v="86474.559999999998"/>
    <n v="505"/>
    <s v="2025-12-15"/>
    <s v="2025-12-15"/>
    <s v="On Time"/>
    <n v="25232.86"/>
    <n v="111707.42"/>
  </r>
  <r>
    <s v="2025-10-18"/>
    <x v="4"/>
    <x v="1"/>
    <s v="Industrial Cleaning Supplies"/>
    <s v="Nairobi Depot"/>
    <s v="Nairobi Depot"/>
    <s v="TRK-024"/>
    <s v="P. Maina"/>
    <n v="1404"/>
    <n v="80.790000000000006"/>
    <n v="113429.16"/>
    <n v="469"/>
    <s v="2025-10-20"/>
    <s v="2025-10-24"/>
    <s v="Late"/>
    <n v="28781.43"/>
    <n v="142210.59"/>
  </r>
  <r>
    <s v="2025-03-07"/>
    <x v="5"/>
    <x v="4"/>
    <s v="Maintenance Parts"/>
    <s v="Nakuru Depot"/>
    <s v="Nakuru Depot"/>
    <s v="TRK-006"/>
    <s v="E. Achieng"/>
    <n v="784"/>
    <n v="194.78"/>
    <n v="152707.51999999999"/>
    <n v="479"/>
    <s v="2025-03-09"/>
    <s v="2025-03-12"/>
    <s v="Late"/>
    <n v="23231.97"/>
    <n v="175939.49"/>
  </r>
  <r>
    <s v="2025-07-11"/>
    <x v="4"/>
    <x v="1"/>
    <s v="Industrial Cleaning Supplies"/>
    <s v="Nairobi Depot"/>
    <s v="Nairobi Depot"/>
    <s v="TRK-013"/>
    <s v="J. Mutua"/>
    <n v="185"/>
    <n v="79.099999999999994"/>
    <n v="14633.5"/>
    <n v="618"/>
    <s v="2025-07-13"/>
    <s v="2025-07-14"/>
    <s v="Late"/>
    <n v="31023.51"/>
    <n v="45657.009999999995"/>
  </r>
  <r>
    <s v="2025-07-24"/>
    <x v="7"/>
    <x v="1"/>
    <s v="Industrial Cleaning Supplies"/>
    <s v="Nairobi Depot"/>
    <s v="Nairobi Depot"/>
    <s v="TRK-024"/>
    <s v="K. Barasa"/>
    <n v="831"/>
    <n v="839.66"/>
    <n v="697757.46"/>
    <n v="197"/>
    <s v="2025-07-25"/>
    <s v="2025-07-29"/>
    <s v="Late"/>
    <n v="9465.86"/>
    <n v="707223.32"/>
  </r>
  <r>
    <s v="2025-08-01"/>
    <x v="0"/>
    <x v="2"/>
    <s v="Protective Coatings"/>
    <s v="Mombasa Depot"/>
    <s v="Mombasa Depot"/>
    <s v="TRK-006"/>
    <s v="B. Kiprono"/>
    <n v="2241"/>
    <n v="281.67"/>
    <n v="631222.47"/>
    <n v="50"/>
    <s v="2025-08-02"/>
    <s v="2025-08-02"/>
    <s v="On Time"/>
    <n v="2043.4"/>
    <n v="633265.87"/>
  </r>
  <r>
    <s v="2025-02-07"/>
    <x v="4"/>
    <x v="2"/>
    <s v="Protective Coatings"/>
    <s v="Nairobi Depot"/>
    <s v="Nairobi Depot"/>
    <s v="TRK-021"/>
    <s v="B. Kiprono"/>
    <n v="203"/>
    <n v="48.19"/>
    <n v="9782.57"/>
    <n v="311"/>
    <s v="2025-02-08"/>
    <s v="2025-02-08"/>
    <s v="On Time"/>
    <n v="13418.96"/>
    <n v="23201.53"/>
  </r>
  <r>
    <s v="2025-12-24"/>
    <x v="3"/>
    <x v="0"/>
    <s v="Construction Additives"/>
    <s v="Nairobi Depot"/>
    <s v="Nairobi Depot"/>
    <s v="TRK-011"/>
    <s v="M. Otieno"/>
    <n v="2479"/>
    <n v="848.29"/>
    <n v="2102910.91"/>
    <n v="368"/>
    <s v="2025-12-26"/>
    <s v="2025-12-28"/>
    <s v="Late"/>
    <n v="20167.96"/>
    <n v="2123078.87"/>
  </r>
  <r>
    <s v="2025-07-02"/>
    <x v="2"/>
    <x v="3"/>
    <s v="Packaging Materials"/>
    <s v="Nakuru Depot"/>
    <s v="Nakuru Depot"/>
    <s v="TRK-006"/>
    <s v="M. Otieno"/>
    <n v="947"/>
    <n v="683.07"/>
    <n v="646867.29"/>
    <n v="190"/>
    <s v="2025-07-03"/>
    <s v="2025-07-05"/>
    <s v="Late"/>
    <n v="9859.75"/>
    <n v="656727.04000000004"/>
  </r>
  <r>
    <s v="2025-09-16"/>
    <x v="4"/>
    <x v="0"/>
    <s v="Construction Additives"/>
    <s v="Mombasa Depot"/>
    <s v="Mombasa Depot"/>
    <s v="TRK-009"/>
    <s v="L. Wekesa"/>
    <n v="2102"/>
    <n v="85.06"/>
    <n v="178796.12"/>
    <n v="538"/>
    <s v="2025-09-18"/>
    <s v="2025-09-18"/>
    <s v="On Time"/>
    <n v="18892.21"/>
    <n v="197688.33"/>
  </r>
  <r>
    <s v="2025-01-07"/>
    <x v="2"/>
    <x v="4"/>
    <s v="Maintenance Parts"/>
    <s v="Mombasa Depot"/>
    <s v="Mombasa Depot"/>
    <s v="TRK-012"/>
    <s v="J. Mutua"/>
    <n v="1285"/>
    <n v="496.71"/>
    <n v="638272.35"/>
    <n v="329"/>
    <s v="2025-01-08"/>
    <s v="2025-01-07"/>
    <s v="On Time"/>
    <n v="17501.18"/>
    <n v="655773.53"/>
  </r>
  <r>
    <s v="2025-05-05"/>
    <x v="3"/>
    <x v="4"/>
    <s v="Maintenance Parts"/>
    <s v="Mombasa Depot"/>
    <s v="Mombasa Depot"/>
    <s v="TRK-002"/>
    <s v="P. Maina"/>
    <n v="183"/>
    <n v="785.58"/>
    <n v="143761.14000000001"/>
    <n v="247"/>
    <s v="2025-05-06"/>
    <s v="2025-05-10"/>
    <s v="Late"/>
    <n v="12462.93"/>
    <n v="156224.07"/>
  </r>
  <r>
    <s v="2025-09-29"/>
    <x v="5"/>
    <x v="4"/>
    <s v="Maintenance Parts"/>
    <s v="Eldoret Depot"/>
    <s v="Eldoret Depot"/>
    <s v="TRK-006"/>
    <s v="P. Maina"/>
    <n v="1541"/>
    <n v="627.78"/>
    <n v="967408.98"/>
    <n v="539"/>
    <s v="2025-10-01"/>
    <s v="2025-10-05"/>
    <s v="Late"/>
    <n v="33042.839999999997"/>
    <n v="1000451.82"/>
  </r>
  <r>
    <s v="2025-09-03"/>
    <x v="5"/>
    <x v="0"/>
    <s v="Construction Additives"/>
    <s v="Nakuru Depot"/>
    <s v="Nakuru Depot"/>
    <s v="TRK-018"/>
    <s v="P. Maina"/>
    <n v="1135"/>
    <n v="339.55"/>
    <n v="385389.25"/>
    <n v="542"/>
    <s v="2025-09-05"/>
    <s v="2025-09-05"/>
    <s v="On Time"/>
    <n v="21489.360000000001"/>
    <n v="406878.61"/>
  </r>
  <r>
    <s v="2025-11-01"/>
    <x v="3"/>
    <x v="0"/>
    <s v="Construction Additives"/>
    <s v="Nairobi Depot"/>
    <s v="Nairobi Depot"/>
    <s v="TRK-006"/>
    <s v="D. Said"/>
    <n v="467"/>
    <n v="437.6"/>
    <n v="204359.2"/>
    <n v="276"/>
    <s v="2025-11-02"/>
    <s v="2025-11-01"/>
    <s v="On Time"/>
    <n v="16589.5"/>
    <n v="220948.7"/>
  </r>
  <r>
    <s v="2025-02-26"/>
    <x v="3"/>
    <x v="5"/>
    <s v="WATER TREATMENT CHEMICALS"/>
    <s v="Nakuru Depot"/>
    <s v="Nakuru Depot"/>
    <s v="TRK-001"/>
    <s v="S. Chebet"/>
    <n v="228"/>
    <n v="107.57"/>
    <n v="24525.96"/>
    <n v="649"/>
    <s v="2025-02-28"/>
    <s v="2025-03-04"/>
    <s v="Late"/>
    <n v="38678.199999999997"/>
    <n v="63204.159999999996"/>
  </r>
  <r>
    <s v="2025-04-27"/>
    <x v="7"/>
    <x v="5"/>
    <s v="WATER TREATMENT CHEMICALS"/>
    <s v="Mombasa Depot"/>
    <s v="Mombasa Depot"/>
    <s v="TRK-011"/>
    <s v="A. Hassan"/>
    <n v="1042"/>
    <n v="428.67"/>
    <n v="446674.14"/>
    <n v="186"/>
    <s v="2025-04-28"/>
    <s v="2025-04-28"/>
    <s v="On Time"/>
    <n v="7126.07"/>
    <n v="453800.21"/>
  </r>
  <r>
    <s v="2025-06-30"/>
    <x v="0"/>
    <x v="1"/>
    <s v="Industrial Cleaning Supplies"/>
    <s v="Mombasa Depot"/>
    <s v="Mombasa Depot"/>
    <s v="TRK-018"/>
    <s v="M. Otieno"/>
    <n v="300"/>
    <n v="524.54"/>
    <n v="157362"/>
    <n v="631"/>
    <s v="2025-07-02"/>
    <s v="2025-07-02"/>
    <s v="On Time"/>
    <n v="29620.16"/>
    <n v="186982.16"/>
  </r>
  <r>
    <s v="2025-12-08"/>
    <x v="4"/>
    <x v="2"/>
    <s v="Protective Coatings"/>
    <s v="Eldoret Depot"/>
    <s v="Eldoret Depot"/>
    <s v="TRK-023"/>
    <s v="K. Barasa"/>
    <n v="387"/>
    <n v="48.8"/>
    <n v="18885.599999999999"/>
    <n v="266"/>
    <s v="2025-12-09"/>
    <s v="2025-12-12"/>
    <s v="Late"/>
    <n v="15884.68"/>
    <n v="34770.28"/>
  </r>
  <r>
    <s v="2025-03-16"/>
    <x v="0"/>
    <x v="4"/>
    <s v="Maintenance Parts"/>
    <s v="Nairobi Depot"/>
    <s v="Nairobi Depot"/>
    <s v="TRK-020"/>
    <s v="P. Maina"/>
    <n v="1044"/>
    <n v="391.3"/>
    <n v="408517.2"/>
    <n v="551"/>
    <s v="2025-03-18"/>
    <s v="2025-03-18"/>
    <s v="On Time"/>
    <n v="20887.09"/>
    <n v="429404.29000000004"/>
  </r>
  <r>
    <s v="2025-09-15"/>
    <x v="1"/>
    <x v="5"/>
    <s v="WATER TREATMENT CHEMICALS"/>
    <s v="Mombasa Depot"/>
    <s v="Mombasa Depot"/>
    <s v="TRK-011"/>
    <s v="L. Wekesa"/>
    <n v="1122"/>
    <n v="527.92999999999995"/>
    <n v="592337.46"/>
    <n v="207"/>
    <s v="2025-09-16"/>
    <s v="2025-09-16"/>
    <s v="On Time"/>
    <n v="8705.4"/>
    <n v="601042.86"/>
  </r>
  <r>
    <s v="2025-12-27"/>
    <x v="2"/>
    <x v="0"/>
    <s v="Construction Additives"/>
    <s v="Nakuru Depot"/>
    <s v="Nakuru Depot"/>
    <s v="TRK-022"/>
    <s v="J. Mutua"/>
    <n v="1179"/>
    <n v="603.37"/>
    <n v="711373.23"/>
    <n v="45"/>
    <s v="2025-12-28"/>
    <s v="2025-12-27"/>
    <s v="On Time"/>
    <n v="2573.5700000000002"/>
    <n v="713946.79999999993"/>
  </r>
  <r>
    <s v="2025-02-03"/>
    <x v="7"/>
    <x v="1"/>
    <s v="Industrial Cleaning Supplies"/>
    <s v="Mombasa Depot"/>
    <s v="Mombasa Depot"/>
    <s v="TRK-002"/>
    <s v="P. Maina"/>
    <n v="1224"/>
    <n v="98.13"/>
    <n v="120111.12"/>
    <n v="289"/>
    <s v="2025-02-04"/>
    <s v="2025-02-07"/>
    <s v="Late"/>
    <n v="16949"/>
    <n v="137060.12"/>
  </r>
  <r>
    <s v="2025-12-30"/>
    <x v="5"/>
    <x v="1"/>
    <s v="Industrial Cleaning Supplies"/>
    <s v="Mombasa Depot"/>
    <s v="Mombasa Depot"/>
    <s v="TRK-012"/>
    <s v="K. Barasa"/>
    <n v="1525"/>
    <n v="406.58"/>
    <n v="620034.5"/>
    <n v="596"/>
    <s v="2026-01-01"/>
    <s v="2026-01-03"/>
    <s v="Late"/>
    <n v="30274.93"/>
    <n v="650309.43000000005"/>
  </r>
  <r>
    <s v="2025-05-27"/>
    <x v="0"/>
    <x v="5"/>
    <s v="WATER TREATMENT CHEMICALS"/>
    <s v="Nakuru Depot"/>
    <s v="Nakuru Depot"/>
    <s v="TRK-027"/>
    <s v="B. Kiprono"/>
    <n v="429"/>
    <n v="802.24"/>
    <n v="344160.96"/>
    <n v="603"/>
    <s v="2025-05-29"/>
    <s v="2025-05-29"/>
    <s v="On Time"/>
    <n v="35267.14"/>
    <n v="379428.10000000003"/>
  </r>
  <r>
    <s v="2025-02-16"/>
    <x v="5"/>
    <x v="1"/>
    <s v="Industrial Cleaning Supplies"/>
    <s v="Mombasa Depot"/>
    <s v="Mombasa Depot"/>
    <s v="TRK-001"/>
    <s v="L. Wekesa"/>
    <n v="2297"/>
    <n v="464.29"/>
    <n v="1066474.1299999999"/>
    <n v="349"/>
    <s v="2025-02-17"/>
    <s v="2025-02-20"/>
    <s v="Late"/>
    <n v="20316.05"/>
    <n v="1086790.18"/>
  </r>
  <r>
    <s v="2025-05-31"/>
    <x v="1"/>
    <x v="4"/>
    <s v="Maintenance Parts"/>
    <s v="Nakuru Depot"/>
    <s v="Nakuru Depot"/>
    <s v="TRK-003"/>
    <s v="D. Said"/>
    <n v="985"/>
    <n v="691.78"/>
    <n v="681403.3"/>
    <n v="661"/>
    <s v="2025-06-02"/>
    <s v="2025-06-02"/>
    <s v="On Time"/>
    <n v="36188.19"/>
    <n v="717591.49"/>
  </r>
  <r>
    <s v="2025-10-05"/>
    <x v="3"/>
    <x v="3"/>
    <s v="Packaging Materials"/>
    <s v="Eldoret Depot"/>
    <s v="Eldoret Depot"/>
    <s v="TRK-016"/>
    <s v="D. Said"/>
    <n v="2397"/>
    <n v="303.77999999999997"/>
    <n v="728160.66"/>
    <n v="698"/>
    <s v="2025-10-07"/>
    <s v="2025-10-07"/>
    <s v="On Time"/>
    <n v="26546.15"/>
    <n v="754706.81"/>
  </r>
  <r>
    <s v="2025-03-07"/>
    <x v="7"/>
    <x v="5"/>
    <s v="WATER TREATMENT CHEMICALS"/>
    <s v="Eldoret Depot"/>
    <s v="Eldoret Depot"/>
    <s v="TRK-006"/>
    <s v="S. Chebet"/>
    <n v="1973"/>
    <n v="519.38"/>
    <n v="1024736.74"/>
    <n v="618"/>
    <s v="2025-03-09"/>
    <s v="2025-03-09"/>
    <s v="On Time"/>
    <n v="29111.3"/>
    <n v="1053848.04"/>
  </r>
  <r>
    <s v="2025-07-17"/>
    <x v="0"/>
    <x v="3"/>
    <s v="Packaging Materials"/>
    <s v="Nairobi Depot"/>
    <s v="Nairobi Depot"/>
    <s v="TRK-015"/>
    <s v="K. Barasa"/>
    <n v="2164"/>
    <n v="616.28"/>
    <n v="1333629.92"/>
    <n v="679"/>
    <s v="2025-07-19"/>
    <s v="2025-07-23"/>
    <s v="Late"/>
    <n v="28190.77"/>
    <n v="1361820.69"/>
  </r>
  <r>
    <s v="2025-04-26"/>
    <x v="7"/>
    <x v="0"/>
    <s v="Construction Additives"/>
    <s v="Eldoret Depot"/>
    <s v="Eldoret Depot"/>
    <s v="TRK-009"/>
    <s v="Not Found"/>
    <n v="692"/>
    <n v="124.14"/>
    <n v="85904.88"/>
    <n v="536"/>
    <s v="2025-04-28"/>
    <s v="2025-04-30"/>
    <s v="Late"/>
    <n v="23614.57"/>
    <n v="109519.45000000001"/>
  </r>
  <r>
    <s v="2025-03-01"/>
    <x v="7"/>
    <x v="2"/>
    <s v="Protective Coatings"/>
    <s v="Mombasa Depot"/>
    <s v="Mombasa Depot"/>
    <s v="TRK-005"/>
    <s v="M. Otieno"/>
    <n v="80"/>
    <n v="585.55999999999995"/>
    <n v="46844.800000000003"/>
    <n v="41"/>
    <s v="2025-03-02"/>
    <s v="2025-03-02"/>
    <s v="On Time"/>
    <n v="1746.92"/>
    <n v="48591.72"/>
  </r>
  <r>
    <s v="2025-05-19"/>
    <x v="3"/>
    <x v="4"/>
    <s v="Maintenance Parts"/>
    <s v="Nakuru Depot"/>
    <s v="Nakuru Depot"/>
    <s v="TRK-026"/>
    <s v="E. Achieng"/>
    <n v="1092"/>
    <n v="259.52999999999997"/>
    <n v="283406.76"/>
    <n v="700"/>
    <s v="2025-05-22"/>
    <s v="2025-05-22"/>
    <s v="On Time"/>
    <n v="31985.51"/>
    <n v="315392.27"/>
  </r>
  <r>
    <s v="2025-07-17"/>
    <x v="0"/>
    <x v="2"/>
    <s v="Protective Coatings"/>
    <s v="Nairobi Depot"/>
    <s v="Nairobi Depot"/>
    <s v="TRK-018"/>
    <s v="K. Barasa"/>
    <n v="148"/>
    <n v="829.84"/>
    <n v="122816.32000000001"/>
    <n v="40"/>
    <s v="2025-07-18"/>
    <s v="2025-07-17"/>
    <s v="On Time"/>
    <n v="2084.92"/>
    <n v="124901.24"/>
  </r>
  <r>
    <s v="2025-11-07"/>
    <x v="0"/>
    <x v="2"/>
    <s v="Protective Coatings"/>
    <s v="Eldoret Depot"/>
    <s v="Eldoret Depot"/>
    <s v="TRK-018"/>
    <s v="D. Said"/>
    <n v="2167"/>
    <n v="80.19"/>
    <n v="173771.73"/>
    <n v="259"/>
    <s v="2025-11-08"/>
    <s v="2025-11-09"/>
    <s v="Late"/>
    <n v="15507.16"/>
    <n v="189278.89"/>
  </r>
  <r>
    <s v="2025-10-08"/>
    <x v="2"/>
    <x v="0"/>
    <s v="Construction Additives"/>
    <s v="Nakuru Depot"/>
    <s v="Nakuru Depot"/>
    <s v="TRK-003"/>
    <s v="P. Maina"/>
    <n v="1122"/>
    <n v="338.95"/>
    <n v="380301.9"/>
    <n v="426"/>
    <s v="2025-10-10"/>
    <s v="2025-10-10"/>
    <s v="On Time"/>
    <n v="16759.82"/>
    <n v="397061.72000000003"/>
  </r>
  <r>
    <s v="2025-05-28"/>
    <x v="6"/>
    <x v="2"/>
    <s v="Protective Coatings"/>
    <s v="Nairobi Depot"/>
    <s v="Nairobi Depot"/>
    <s v="TRK-004"/>
    <s v="D. Said"/>
    <n v="926"/>
    <n v="708.14"/>
    <n v="655737.64"/>
    <n v="248"/>
    <s v="2025-05-29"/>
    <s v="2025-06-01"/>
    <s v="Late"/>
    <n v="10535.66"/>
    <n v="666273.30000000005"/>
  </r>
  <r>
    <s v="2025-11-16"/>
    <x v="1"/>
    <x v="1"/>
    <s v="Industrial Cleaning Supplies"/>
    <s v="Nairobi Depot"/>
    <s v="Nairobi Depot"/>
    <s v="TRK-026"/>
    <s v="L. Wekesa"/>
    <n v="882"/>
    <n v="81.2"/>
    <n v="71618.399999999994"/>
    <n v="448"/>
    <s v="2025-11-18"/>
    <s v="2025-11-18"/>
    <s v="On Time"/>
    <n v="16519.66"/>
    <n v="88138.06"/>
  </r>
  <r>
    <s v="2025-09-12"/>
    <x v="1"/>
    <x v="5"/>
    <s v="WATER TREATMENT CHEMICALS"/>
    <s v="Eldoret Depot"/>
    <s v="Eldoret Depot"/>
    <s v="TRK-003"/>
    <s v="P. Maina"/>
    <n v="1823"/>
    <n v="685.17"/>
    <n v="1249064.9099999999"/>
    <n v="104"/>
    <s v="2025-09-13"/>
    <s v="2025-09-17"/>
    <s v="Late"/>
    <n v="5754.87"/>
    <n v="1254819.78"/>
  </r>
  <r>
    <s v="2025-07-13"/>
    <x v="2"/>
    <x v="4"/>
    <s v="Maintenance Parts"/>
    <s v="Nairobi Depot"/>
    <s v="Nairobi Depot"/>
    <s v="TRK-027"/>
    <s v="B. Kiprono"/>
    <n v="1662"/>
    <n v="601.55999999999995"/>
    <n v="999792.72"/>
    <n v="564"/>
    <s v="2025-07-15"/>
    <s v="2025-07-16"/>
    <s v="Late"/>
    <n v="26085.040000000001"/>
    <n v="1025877.76"/>
  </r>
  <r>
    <s v="2025-08-26"/>
    <x v="7"/>
    <x v="3"/>
    <s v="Packaging Materials"/>
    <s v="Mombasa Depot"/>
    <s v="Mombasa Depot"/>
    <s v="TRK-003"/>
    <s v="P. Maina"/>
    <n v="941"/>
    <n v="745.31"/>
    <n v="701336.71"/>
    <n v="307"/>
    <s v="2025-08-27"/>
    <s v="2025-08-27"/>
    <s v="On Time"/>
    <n v="18206.64"/>
    <n v="719543.35"/>
  </r>
  <r>
    <s v="2025-06-25"/>
    <x v="0"/>
    <x v="2"/>
    <s v="Protective Coatings"/>
    <s v="Nakuru Depot"/>
    <s v="Nakuru Depot"/>
    <s v="TRK-028"/>
    <s v="J. Mutua"/>
    <n v="2217"/>
    <n v="858.82"/>
    <n v="1904003.94"/>
    <n v="182"/>
    <s v="2025-06-26"/>
    <s v="2025-06-29"/>
    <s v="Late"/>
    <n v="7921.33"/>
    <n v="1911925.27"/>
  </r>
  <r>
    <s v="2025-08-06"/>
    <x v="5"/>
    <x v="5"/>
    <s v="WATER TREATMENT CHEMICALS"/>
    <s v="Eldoret Depot"/>
    <s v="Eldoret Depot"/>
    <s v="TRK-004"/>
    <s v="P. Maina"/>
    <n v="406"/>
    <n v="897.46"/>
    <n v="364368.76"/>
    <n v="595"/>
    <s v="2025-08-08"/>
    <s v="2025-08-10"/>
    <s v="Late"/>
    <n v="31777.95"/>
    <n v="396146.71"/>
  </r>
  <r>
    <s v="2025-04-19"/>
    <x v="1"/>
    <x v="1"/>
    <s v="Industrial Cleaning Supplies"/>
    <s v="Mombasa Depot"/>
    <s v="Mombasa Depot"/>
    <s v="TRK-030"/>
    <s v="M. Otieno"/>
    <n v="676"/>
    <n v="661.95"/>
    <n v="447478.2"/>
    <n v="129"/>
    <s v="2025-04-20"/>
    <s v="2025-04-20"/>
    <s v="On Time"/>
    <n v="6941.63"/>
    <n v="454419.83"/>
  </r>
  <r>
    <s v="2025-11-26"/>
    <x v="3"/>
    <x v="3"/>
    <s v="Packaging Materials"/>
    <s v="Nakuru Depot"/>
    <s v="Nakuru Depot"/>
    <s v="TRK-029"/>
    <s v="P. Maina"/>
    <n v="1970"/>
    <n v="206.55"/>
    <n v="406903.5"/>
    <n v="206"/>
    <s v="2025-11-27"/>
    <s v="2025-11-26"/>
    <s v="On Time"/>
    <n v="8271.01"/>
    <n v="415174.51"/>
  </r>
  <r>
    <s v="2025-05-28"/>
    <x v="7"/>
    <x v="0"/>
    <s v="Construction Additives"/>
    <s v="Eldoret Depot"/>
    <s v="Eldoret Depot"/>
    <s v="TRK-019"/>
    <s v="B. Kiprono"/>
    <n v="1166"/>
    <n v="840.31"/>
    <n v="979801.46"/>
    <n v="165"/>
    <s v="2025-05-29"/>
    <s v="2025-06-02"/>
    <s v="Late"/>
    <n v="7840.83"/>
    <n v="987642.28999999992"/>
  </r>
  <r>
    <s v="2025-02-13"/>
    <x v="5"/>
    <x v="5"/>
    <s v="WATER TREATMENT CHEMICALS"/>
    <s v="Nairobi Depot"/>
    <s v="Nairobi Depot"/>
    <s v="TRK-009"/>
    <s v="P. Maina"/>
    <n v="1113"/>
    <n v="396.96"/>
    <n v="441816.48"/>
    <n v="232"/>
    <s v="2025-02-14"/>
    <s v="2025-02-16"/>
    <s v="Late"/>
    <n v="8375.7900000000009"/>
    <n v="450192.26999999996"/>
  </r>
  <r>
    <s v="2025-07-08"/>
    <x v="1"/>
    <x v="2"/>
    <s v="Protective Coatings"/>
    <s v="Eldoret Depot"/>
    <s v="Eldoret Depot"/>
    <s v="TRK-002"/>
    <s v="P. Maina"/>
    <n v="1721"/>
    <n v="217.03"/>
    <n v="373508.63"/>
    <n v="455"/>
    <s v="2025-07-10"/>
    <s v="2025-07-11"/>
    <s v="Late"/>
    <n v="24885.07"/>
    <n v="398393.7"/>
  </r>
  <r>
    <s v="2025-07-04"/>
    <x v="4"/>
    <x v="4"/>
    <s v="Maintenance Parts"/>
    <s v="Nairobi Depot"/>
    <s v="Nairobi Depot"/>
    <s v="TRK-002"/>
    <s v="D. Said"/>
    <n v="919"/>
    <n v="184.72"/>
    <n v="169757.68"/>
    <n v="547"/>
    <s v="2025-07-06"/>
    <s v="2025-07-06"/>
    <s v="On Time"/>
    <n v="30586.58"/>
    <n v="200344.26"/>
  </r>
  <r>
    <s v="2025-09-08"/>
    <x v="7"/>
    <x v="3"/>
    <s v="Packaging Materials"/>
    <s v="Mombasa Depot"/>
    <s v="Mombasa Depot"/>
    <s v="TRK-011"/>
    <s v="J. Mutua"/>
    <n v="861"/>
    <n v="206.37"/>
    <n v="177684.57"/>
    <n v="508"/>
    <s v="2025-09-10"/>
    <s v="2025-09-09"/>
    <s v="On Time"/>
    <n v="30946.57"/>
    <n v="208631.14"/>
  </r>
  <r>
    <s v="2025-06-16"/>
    <x v="7"/>
    <x v="3"/>
    <s v="Packaging Materials"/>
    <s v="Eldoret Depot"/>
    <s v="Eldoret Depot"/>
    <s v="TRK-028"/>
    <s v="M. Otieno"/>
    <n v="412"/>
    <n v="347.16"/>
    <n v="143029.92000000001"/>
    <n v="707"/>
    <s v="2025-06-19"/>
    <s v="2025-06-22"/>
    <s v="Late"/>
    <n v="24861.26"/>
    <n v="167891.18000000002"/>
  </r>
  <r>
    <s v="2025-12-03"/>
    <x v="2"/>
    <x v="1"/>
    <s v="Industrial Cleaning Supplies"/>
    <s v="Nakuru Depot"/>
    <s v="Nakuru Depot"/>
    <s v="TRK-024"/>
    <s v="D. Said"/>
    <n v="2335"/>
    <n v="597.32000000000005"/>
    <n v="1394742.2"/>
    <n v="666"/>
    <s v="2025-12-05"/>
    <s v="2025-12-09"/>
    <s v="Late"/>
    <n v="34117.19"/>
    <n v="1428859.39"/>
  </r>
  <r>
    <s v="2025-01-09"/>
    <x v="4"/>
    <x v="3"/>
    <s v="Packaging Materials"/>
    <s v="Eldoret Depot"/>
    <s v="Eldoret Depot"/>
    <s v="TRK-020"/>
    <s v="M. Otieno"/>
    <n v="925"/>
    <n v="423.69"/>
    <n v="391913.25"/>
    <n v="586"/>
    <s v="2025-01-11"/>
    <s v="2025-01-13"/>
    <s v="Late"/>
    <n v="21963.22"/>
    <n v="413876.47"/>
  </r>
  <r>
    <s v="2025-07-04"/>
    <x v="2"/>
    <x v="0"/>
    <s v="Construction Additives"/>
    <s v="Nairobi Depot"/>
    <s v="Nairobi Depot"/>
    <s v="TRK-030"/>
    <s v="P. Maina"/>
    <n v="2084"/>
    <n v="219.58"/>
    <n v="457604.72"/>
    <n v="47"/>
    <s v="2025-07-05"/>
    <s v="2025-07-05"/>
    <s v="On Time"/>
    <n v="2675.27"/>
    <n v="460279.99"/>
  </r>
  <r>
    <s v="2025-02-28"/>
    <x v="5"/>
    <x v="2"/>
    <s v="Protective Coatings"/>
    <s v="Nakuru Depot"/>
    <s v="Nakuru Depot"/>
    <s v="TRK-027"/>
    <s v="K. Barasa"/>
    <n v="2056"/>
    <n v="676.64"/>
    <n v="1391171.84"/>
    <n v="214"/>
    <s v="2025-03-01"/>
    <s v="2025-03-04"/>
    <s v="Late"/>
    <n v="9524.09"/>
    <n v="1400695.9300000002"/>
  </r>
  <r>
    <s v="2025-09-26"/>
    <x v="1"/>
    <x v="5"/>
    <s v="WATER TREATMENT CHEMICALS"/>
    <s v="Nakuru Depot"/>
    <s v="Nakuru Depot"/>
    <s v="TRK-023"/>
    <s v="E. Achieng"/>
    <n v="1367"/>
    <n v="425.99"/>
    <n v="582328.32999999996"/>
    <n v="60"/>
    <s v="2025-09-27"/>
    <s v="2025-09-29"/>
    <s v="Late"/>
    <n v="2382.77"/>
    <n v="584711.1"/>
  </r>
  <r>
    <s v="2025-12-16"/>
    <x v="0"/>
    <x v="1"/>
    <s v="Industrial Cleaning Supplies"/>
    <s v="Mombasa Depot"/>
    <s v="Mombasa Depot"/>
    <s v="TRK-006"/>
    <s v="L. Wekesa"/>
    <n v="2333"/>
    <n v="498.49"/>
    <n v="1162977.17"/>
    <n v="139"/>
    <s v="2025-12-17"/>
    <s v="2025-12-17"/>
    <s v="On Time"/>
    <n v="5103.4399999999996"/>
    <n v="1168080.6099999999"/>
  </r>
  <r>
    <s v="2025-08-22"/>
    <x v="2"/>
    <x v="5"/>
    <s v="WATER TREATMENT CHEMICALS"/>
    <s v="Nairobi Depot"/>
    <s v="Nairobi Depot"/>
    <s v="TRK-002"/>
    <s v="D. Said"/>
    <n v="1729"/>
    <n v="139.63999999999999"/>
    <n v="241437.56"/>
    <n v="44"/>
    <s v="2025-08-23"/>
    <s v="2025-08-22"/>
    <s v="On Time"/>
    <n v="2502.0100000000002"/>
    <n v="243939.57"/>
  </r>
  <r>
    <s v="2025-02-22"/>
    <x v="6"/>
    <x v="3"/>
    <s v="Packaging Materials"/>
    <s v="Nairobi Depot"/>
    <s v="Nairobi Depot"/>
    <s v="TRK-009"/>
    <s v="S. Chebet"/>
    <n v="2001"/>
    <n v="165.89"/>
    <n v="331945.89"/>
    <n v="673"/>
    <s v="2025-02-24"/>
    <s v="2025-02-26"/>
    <s v="Late"/>
    <n v="24698.5"/>
    <n v="356644.39"/>
  </r>
  <r>
    <s v="2025-08-09"/>
    <x v="5"/>
    <x v="2"/>
    <s v="Protective Coatings"/>
    <s v="Eldoret Depot"/>
    <s v="Eldoret Depot"/>
    <s v="TRK-021"/>
    <s v="M. Otieno"/>
    <n v="2364"/>
    <n v="222.61"/>
    <n v="526250.04"/>
    <n v="658"/>
    <s v="2025-08-11"/>
    <s v="2025-08-11"/>
    <s v="On Time"/>
    <n v="31041.57"/>
    <n v="557291.61"/>
  </r>
  <r>
    <s v="2025-07-11"/>
    <x v="6"/>
    <x v="1"/>
    <s v="Industrial Cleaning Supplies"/>
    <s v="Nakuru Depot"/>
    <s v="Nakuru Depot"/>
    <s v="TRK-016"/>
    <s v="B. Kiprono"/>
    <n v="1454"/>
    <n v="899.03"/>
    <n v="1307189.6200000001"/>
    <n v="550"/>
    <s v="2025-07-13"/>
    <s v="2025-07-13"/>
    <s v="On Time"/>
    <n v="24687.42"/>
    <n v="1331877.04"/>
  </r>
  <r>
    <s v="2025-01-12"/>
    <x v="5"/>
    <x v="1"/>
    <s v="Industrial Cleaning Supplies"/>
    <s v="Eldoret Depot"/>
    <s v="Eldoret Depot"/>
    <s v="TRK-019"/>
    <s v="E. Achieng"/>
    <n v="2216"/>
    <n v="825.26"/>
    <n v="1828776.16"/>
    <n v="560"/>
    <s v="2025-01-14"/>
    <s v="2025-01-14"/>
    <s v="On Time"/>
    <n v="30877.78"/>
    <n v="1859653.94"/>
  </r>
  <r>
    <s v="2025-07-02"/>
    <x v="4"/>
    <x v="3"/>
    <s v="Packaging Materials"/>
    <s v="Nairobi Depot"/>
    <s v="Nairobi Depot"/>
    <s v="TRK-027"/>
    <s v="J. Mutua"/>
    <n v="816"/>
    <n v="612.07000000000005"/>
    <n v="499449.12"/>
    <n v="639"/>
    <s v="2025-07-04"/>
    <s v="2025-07-07"/>
    <s v="Late"/>
    <n v="26687.03"/>
    <n v="526136.15"/>
  </r>
  <r>
    <s v="2025-12-01"/>
    <x v="3"/>
    <x v="3"/>
    <s v="Packaging Materials"/>
    <s v="Mombasa Depot"/>
    <s v="Mombasa Depot"/>
    <s v="TRK-013"/>
    <s v="K. Barasa"/>
    <n v="2413"/>
    <n v="306.85000000000002"/>
    <n v="740429.05"/>
    <n v="175"/>
    <s v="2025-12-02"/>
    <s v="2025-12-02"/>
    <s v="On Time"/>
    <n v="8519.76"/>
    <n v="748948.81"/>
  </r>
  <r>
    <s v="2025-08-12"/>
    <x v="1"/>
    <x v="2"/>
    <s v="Protective Coatings"/>
    <s v="Nairobi Depot"/>
    <s v="Nairobi Depot"/>
    <s v="TRK-028"/>
    <s v="L. Wekesa"/>
    <n v="326"/>
    <n v="580.27"/>
    <n v="189168.02"/>
    <n v="255"/>
    <s v="2025-08-13"/>
    <s v="2025-08-13"/>
    <s v="On Time"/>
    <n v="11679.17"/>
    <n v="200847.19"/>
  </r>
  <r>
    <s v="2025-11-15"/>
    <x v="2"/>
    <x v="4"/>
    <s v="Maintenance Parts"/>
    <s v="Nairobi Depot"/>
    <s v="Nairobi Depot"/>
    <s v="TRK-009"/>
    <s v="P. Maina"/>
    <n v="1976"/>
    <n v="550.72"/>
    <n v="1088222.72"/>
    <n v="335"/>
    <s v="2025-11-16"/>
    <s v="2025-11-16"/>
    <s v="On Time"/>
    <n v="14683.73"/>
    <n v="1102906.45"/>
  </r>
  <r>
    <s v="2025-05-11"/>
    <x v="6"/>
    <x v="4"/>
    <s v="Maintenance Parts"/>
    <s v="Mombasa Depot"/>
    <s v="Mombasa Depot"/>
    <s v="TRK-016"/>
    <s v="A. Hassan"/>
    <n v="320"/>
    <n v="883.85"/>
    <n v="282832"/>
    <n v="452"/>
    <s v="2025-05-13"/>
    <s v="2025-05-13"/>
    <s v="On Time"/>
    <n v="22778.639999999999"/>
    <n v="305610.64"/>
  </r>
  <r>
    <s v="2025-08-20"/>
    <x v="1"/>
    <x v="2"/>
    <s v="Protective Coatings"/>
    <s v="Mombasa Depot"/>
    <s v="Mombasa Depot"/>
    <s v="TRK-008"/>
    <s v="J. Mutua"/>
    <n v="1137"/>
    <n v="258.37"/>
    <n v="293766.69"/>
    <n v="166"/>
    <s v="2025-08-21"/>
    <s v="2025-08-21"/>
    <s v="On Time"/>
    <n v="9912.1299999999992"/>
    <n v="303678.82"/>
  </r>
  <r>
    <s v="2025-12-06"/>
    <x v="7"/>
    <x v="4"/>
    <s v="Maintenance Parts"/>
    <s v="Nakuru Depot"/>
    <s v="Nakuru Depot"/>
    <s v="TRK-014"/>
    <s v="P. Maina"/>
    <n v="800"/>
    <n v="214.44"/>
    <n v="171552"/>
    <n v="107"/>
    <s v="2025-12-07"/>
    <s v="2025-12-07"/>
    <s v="On Time"/>
    <n v="6175.9"/>
    <n v="177727.9"/>
  </r>
  <r>
    <s v="2025-10-25"/>
    <x v="4"/>
    <x v="0"/>
    <s v="Construction Additives"/>
    <s v="Nakuru Depot"/>
    <s v="Nakuru Depot"/>
    <s v="TRK-007"/>
    <s v="D. Said"/>
    <n v="1321"/>
    <n v="341.47"/>
    <n v="451081.87"/>
    <n v="306"/>
    <s v="2025-10-26"/>
    <s v="2025-10-26"/>
    <s v="On Time"/>
    <n v="15722.38"/>
    <n v="466804.25"/>
  </r>
  <r>
    <s v="2025-06-25"/>
    <x v="7"/>
    <x v="4"/>
    <s v="Maintenance Parts"/>
    <s v="Eldoret Depot"/>
    <s v="Eldoret Depot"/>
    <s v="TRK-019"/>
    <s v="M. Otieno"/>
    <n v="955"/>
    <n v="45.9"/>
    <n v="43834.5"/>
    <n v="79"/>
    <s v="2025-06-26"/>
    <s v="2025-06-27"/>
    <s v="Late"/>
    <n v="4044.57"/>
    <n v="47879.07"/>
  </r>
  <r>
    <s v="2025-01-15"/>
    <x v="6"/>
    <x v="2"/>
    <s v="Protective Coatings"/>
    <s v="Nakuru Depot"/>
    <s v="Nakuru Depot"/>
    <s v="TRK-018"/>
    <s v="Not Found"/>
    <n v="1399"/>
    <n v="292.99"/>
    <n v="409893.01"/>
    <n v="53"/>
    <s v="2025-01-16"/>
    <s v="2025-01-18"/>
    <s v="Late"/>
    <n v="2505.81"/>
    <n v="412398.82"/>
  </r>
  <r>
    <s v="2025-11-21"/>
    <x v="7"/>
    <x v="3"/>
    <s v="Packaging Materials"/>
    <s v="Mombasa Depot"/>
    <s v="Mombasa Depot"/>
    <s v="TRK-016"/>
    <s v="M. Otieno"/>
    <n v="755"/>
    <n v="100.02"/>
    <n v="75515.100000000006"/>
    <n v="248"/>
    <s v="2025-11-22"/>
    <s v="2025-11-24"/>
    <s v="Late"/>
    <n v="14565.81"/>
    <n v="90080.91"/>
  </r>
  <r>
    <s v="2025-11-14"/>
    <x v="4"/>
    <x v="3"/>
    <s v="Packaging Materials"/>
    <s v="Nakuru Depot"/>
    <s v="Nakuru Depot"/>
    <s v="TRK-028"/>
    <s v="J. Mutua"/>
    <n v="792"/>
    <n v="329.61"/>
    <n v="261051.12"/>
    <n v="258"/>
    <s v="2025-11-15"/>
    <s v="2025-11-19"/>
    <s v="Late"/>
    <n v="11564.56"/>
    <n v="272615.67999999999"/>
  </r>
  <r>
    <s v="2025-08-18"/>
    <x v="7"/>
    <x v="4"/>
    <s v="Maintenance Parts"/>
    <s v="Nakuru Depot"/>
    <s v="Nakuru Depot"/>
    <s v="TRK-007"/>
    <s v="A. Hassan"/>
    <n v="298"/>
    <n v="194.35"/>
    <n v="57916.3"/>
    <n v="666"/>
    <s v="2025-08-20"/>
    <s v="2025-08-22"/>
    <s v="Late"/>
    <n v="26118.16"/>
    <n v="84034.46"/>
  </r>
  <r>
    <s v="2025-09-26"/>
    <x v="2"/>
    <x v="5"/>
    <s v="WATER TREATMENT CHEMICALS"/>
    <s v="Eldoret Depot"/>
    <s v="Eldoret Depot"/>
    <s v="TRK-022"/>
    <s v="S. Chebet"/>
    <n v="525"/>
    <n v="796.75"/>
    <n v="418293.75"/>
    <n v="58"/>
    <s v="2025-09-27"/>
    <s v="2025-09-28"/>
    <s v="Late"/>
    <n v="3381.03"/>
    <n v="421674.78"/>
  </r>
  <r>
    <s v="2025-11-06"/>
    <x v="1"/>
    <x v="4"/>
    <s v="Maintenance Parts"/>
    <s v="Mombasa Depot"/>
    <s v="Mombasa Depot"/>
    <s v="TRK-021"/>
    <s v="D. Said"/>
    <n v="849"/>
    <n v="154.58000000000001"/>
    <n v="131238.42000000001"/>
    <n v="90"/>
    <s v="2025-11-07"/>
    <s v="2025-11-10"/>
    <s v="Late"/>
    <n v="4977.7"/>
    <n v="136216.12000000002"/>
  </r>
  <r>
    <s v="2025-06-20"/>
    <x v="7"/>
    <x v="3"/>
    <s v="Packaging Materials"/>
    <s v="Eldoret Depot"/>
    <s v="Eldoret Depot"/>
    <s v="TRK-013"/>
    <s v="P. Maina"/>
    <n v="1761"/>
    <n v="373.8"/>
    <n v="658261.80000000005"/>
    <n v="434"/>
    <s v="2025-06-22"/>
    <s v="2025-06-24"/>
    <s v="Late"/>
    <n v="26328.99"/>
    <n v="684590.79"/>
  </r>
  <r>
    <s v="2025-03-17"/>
    <x v="6"/>
    <x v="2"/>
    <s v="Protective Coatings"/>
    <s v="Nairobi Depot"/>
    <s v="Nairobi Depot"/>
    <s v="TRK-011"/>
    <s v="L. Wekesa"/>
    <n v="1443"/>
    <n v="296.89999999999998"/>
    <n v="428426.7"/>
    <n v="420"/>
    <s v="2025-03-19"/>
    <s v="2025-03-19"/>
    <s v="On Time"/>
    <n v="23671.45"/>
    <n v="452098.15"/>
  </r>
  <r>
    <s v="2025-04-11"/>
    <x v="5"/>
    <x v="4"/>
    <s v="Maintenance Parts"/>
    <s v="Nakuru Depot"/>
    <s v="Nakuru Depot"/>
    <s v="TRK-017"/>
    <s v="J. Mutua"/>
    <n v="1482"/>
    <n v="53.07"/>
    <n v="78649.740000000005"/>
    <n v="658"/>
    <s v="2025-04-13"/>
    <s v="2025-04-17"/>
    <s v="Late"/>
    <n v="30380.18"/>
    <n v="109029.92000000001"/>
  </r>
  <r>
    <s v="2025-03-07"/>
    <x v="1"/>
    <x v="4"/>
    <s v="Maintenance Parts"/>
    <s v="Nairobi Depot"/>
    <s v="Nairobi Depot"/>
    <s v="TRK-010"/>
    <s v="M. Otieno"/>
    <n v="1458"/>
    <n v="451.12"/>
    <n v="657732.96"/>
    <n v="707"/>
    <s v="2025-03-10"/>
    <s v="2025-03-14"/>
    <s v="Late"/>
    <n v="42123.86"/>
    <n v="699856.82"/>
  </r>
  <r>
    <s v="2025-07-14"/>
    <x v="5"/>
    <x v="1"/>
    <s v="Industrial Cleaning Supplies"/>
    <s v="Nakuru Depot"/>
    <s v="Nakuru Depot"/>
    <s v="TRK-024"/>
    <s v="E. Achieng"/>
    <n v="1393"/>
    <n v="520.85"/>
    <n v="725544.05"/>
    <n v="62"/>
    <s v="2025-07-15"/>
    <s v="2025-07-15"/>
    <s v="On Time"/>
    <n v="3356.94"/>
    <n v="728900.99"/>
  </r>
  <r>
    <s v="2025-08-09"/>
    <x v="1"/>
    <x v="4"/>
    <s v="Maintenance Parts"/>
    <s v="Nakuru Depot"/>
    <s v="Nakuru Depot"/>
    <s v="TRK-021"/>
    <s v="M. Otieno"/>
    <n v="165"/>
    <n v="652.80999999999995"/>
    <n v="107713.65"/>
    <n v="567"/>
    <s v="2025-08-11"/>
    <s v="2025-08-13"/>
    <s v="Late"/>
    <n v="23317.72"/>
    <n v="131031.37"/>
  </r>
  <r>
    <s v="2025-02-24"/>
    <x v="2"/>
    <x v="3"/>
    <s v="Packaging Materials"/>
    <s v="Nairobi Depot"/>
    <s v="Nairobi Depot"/>
    <s v="TRK-024"/>
    <s v="J. Mutua"/>
    <n v="1129"/>
    <n v="759.47"/>
    <n v="857441.63"/>
    <n v="699"/>
    <s v="2025-02-26"/>
    <s v="2025-02-26"/>
    <s v="On Time"/>
    <n v="30349.06"/>
    <n v="887790.69000000006"/>
  </r>
  <r>
    <s v="2025-07-18"/>
    <x v="0"/>
    <x v="3"/>
    <s v="Packaging Materials"/>
    <s v="Nakuru Depot"/>
    <s v="Nakuru Depot"/>
    <s v="TRK-009"/>
    <s v="B. Kiprono"/>
    <n v="1622"/>
    <n v="570.45000000000005"/>
    <n v="925269.9"/>
    <n v="668"/>
    <s v="2025-07-20"/>
    <s v="2025-07-22"/>
    <s v="Late"/>
    <n v="37244.81"/>
    <n v="962514.71"/>
  </r>
  <r>
    <s v="2025-01-30"/>
    <x v="7"/>
    <x v="0"/>
    <s v="Construction Additives"/>
    <s v="Mombasa Depot"/>
    <s v="Mombasa Depot"/>
    <s v="TRK-016"/>
    <s v="K. Barasa"/>
    <n v="194"/>
    <n v="304.63"/>
    <n v="59098.22"/>
    <n v="182"/>
    <s v="2025-01-31"/>
    <s v="2025-01-31"/>
    <s v="On Time"/>
    <n v="6719.53"/>
    <n v="65817.75"/>
  </r>
  <r>
    <s v="2025-11-09"/>
    <x v="3"/>
    <x v="0"/>
    <s v="Construction Additives"/>
    <s v="Nairobi Depot"/>
    <s v="Nairobi Depot"/>
    <s v="TRK-017"/>
    <s v="M. Otieno"/>
    <n v="327"/>
    <n v="616.73"/>
    <n v="201670.71"/>
    <n v="376"/>
    <s v="2025-11-11"/>
    <s v="2025-11-10"/>
    <s v="On Time"/>
    <n v="18872.560000000001"/>
    <n v="220543.27"/>
  </r>
  <r>
    <s v="2025-03-03"/>
    <x v="0"/>
    <x v="2"/>
    <s v="Protective Coatings"/>
    <s v="Nakuru Depot"/>
    <s v="Nakuru Depot"/>
    <s v="TRK-014"/>
    <s v="K. Barasa"/>
    <n v="1009"/>
    <n v="726.41"/>
    <n v="732947.69"/>
    <n v="459"/>
    <s v="2025-03-05"/>
    <s v="2025-03-06"/>
    <s v="Late"/>
    <n v="18885.009999999998"/>
    <n v="751832.7"/>
  </r>
  <r>
    <s v="2025-10-08"/>
    <x v="1"/>
    <x v="1"/>
    <s v="Industrial Cleaning Supplies"/>
    <s v="Nairobi Depot"/>
    <s v="Nairobi Depot"/>
    <s v="TRK-011"/>
    <s v="P. Maina"/>
    <n v="1472"/>
    <n v="114.48"/>
    <n v="168514.56"/>
    <n v="713"/>
    <s v="2025-10-11"/>
    <s v="2025-10-15"/>
    <s v="Late"/>
    <n v="33519.79"/>
    <n v="202034.35"/>
  </r>
  <r>
    <s v="2025-09-25"/>
    <x v="5"/>
    <x v="1"/>
    <s v="Industrial Cleaning Supplies"/>
    <s v="Nakuru Depot"/>
    <s v="Nakuru Depot"/>
    <s v="TRK-028"/>
    <s v="A. Hassan"/>
    <n v="1497"/>
    <n v="353.13"/>
    <n v="528635.61"/>
    <n v="274"/>
    <s v="2025-09-26"/>
    <s v="2025-09-30"/>
    <s v="Late"/>
    <n v="15504.45"/>
    <n v="544140.05999999994"/>
  </r>
  <r>
    <s v="2025-02-27"/>
    <x v="3"/>
    <x v="0"/>
    <s v="Construction Additives"/>
    <s v="Nakuru Depot"/>
    <s v="Nakuru Depot"/>
    <s v="TRK-021"/>
    <s v="A. Hassan"/>
    <n v="376"/>
    <n v="683.45"/>
    <n v="256977.2"/>
    <n v="538"/>
    <s v="2025-03-01"/>
    <s v="2025-03-02"/>
    <s v="Late"/>
    <n v="20719.05"/>
    <n v="277696.25"/>
  </r>
  <r>
    <s v="2025-01-17"/>
    <x v="4"/>
    <x v="4"/>
    <s v="Maintenance Parts"/>
    <s v="Mombasa Depot"/>
    <s v="Mombasa Depot"/>
    <s v="TRK-001"/>
    <s v="D. Said"/>
    <n v="564"/>
    <n v="640.12"/>
    <n v="361027.68"/>
    <n v="683"/>
    <s v="2025-01-19"/>
    <s v="2025-01-21"/>
    <s v="Late"/>
    <n v="39253.14"/>
    <n v="400280.82"/>
  </r>
  <r>
    <s v="2025-12-20"/>
    <x v="7"/>
    <x v="1"/>
    <s v="Industrial Cleaning Supplies"/>
    <s v="Nairobi Depot"/>
    <s v="Nairobi Depot"/>
    <s v="TRK-019"/>
    <s v="A. Hassan"/>
    <n v="1557"/>
    <n v="787.87"/>
    <n v="1226713.5900000001"/>
    <n v="497"/>
    <s v="2025-12-22"/>
    <s v="2025-12-23"/>
    <s v="Late"/>
    <n v="29522.97"/>
    <n v="1256236.56"/>
  </r>
  <r>
    <s v="2025-07-31"/>
    <x v="5"/>
    <x v="5"/>
    <s v="WATER TREATMENT CHEMICALS"/>
    <s v="Nairobi Depot"/>
    <s v="Nairobi Depot"/>
    <s v="TRK-020"/>
    <s v="P. Maina"/>
    <n v="454"/>
    <n v="539.24"/>
    <n v="244814.96"/>
    <n v="217"/>
    <s v="2025-08-01"/>
    <s v="2025-08-04"/>
    <s v="Late"/>
    <n v="9780.49"/>
    <n v="254595.44999999998"/>
  </r>
  <r>
    <s v="2025-11-12"/>
    <x v="0"/>
    <x v="0"/>
    <s v="Construction Additives"/>
    <s v="Eldoret Depot"/>
    <s v="Eldoret Depot"/>
    <s v="TRK-016"/>
    <s v="P. Maina"/>
    <n v="474"/>
    <n v="544.36"/>
    <n v="258026.64"/>
    <n v="617"/>
    <s v="2025-11-14"/>
    <s v="2025-11-13"/>
    <s v="On Time"/>
    <n v="24848.12"/>
    <n v="282874.76"/>
  </r>
  <r>
    <s v="2025-12-18"/>
    <x v="6"/>
    <x v="5"/>
    <s v="WATER TREATMENT CHEMICALS"/>
    <s v="Nairobi Depot"/>
    <s v="Nairobi Depot"/>
    <s v="TRK-024"/>
    <s v="S. Chebet"/>
    <n v="1935"/>
    <n v="807.69"/>
    <n v="1562880.15"/>
    <n v="192"/>
    <s v="2025-12-19"/>
    <s v="2025-12-20"/>
    <s v="Late"/>
    <n v="11155.46"/>
    <n v="1574035.6099999999"/>
  </r>
  <r>
    <s v="2025-03-02"/>
    <x v="6"/>
    <x v="3"/>
    <s v="Packaging Materials"/>
    <s v="Nairobi Depot"/>
    <s v="Nairobi Depot"/>
    <s v="TRK-001"/>
    <s v="K. Barasa"/>
    <n v="1886"/>
    <n v="293.89"/>
    <n v="554276.54"/>
    <n v="138"/>
    <s v="2025-03-03"/>
    <s v="2025-03-06"/>
    <s v="Late"/>
    <n v="5030.1400000000003"/>
    <n v="559306.68000000005"/>
  </r>
  <r>
    <s v="2025-05-07"/>
    <x v="2"/>
    <x v="1"/>
    <s v="Industrial Cleaning Supplies"/>
    <s v="Nakuru Depot"/>
    <s v="Nakuru Depot"/>
    <s v="TRK-010"/>
    <s v="A. Hassan"/>
    <n v="2068"/>
    <n v="128.12"/>
    <n v="264952.15999999997"/>
    <n v="602"/>
    <s v="2025-05-09"/>
    <s v="2025-05-10"/>
    <s v="Late"/>
    <n v="27808.06"/>
    <n v="292760.21999999997"/>
  </r>
  <r>
    <s v="2025-10-22"/>
    <x v="3"/>
    <x v="0"/>
    <s v="Construction Additives"/>
    <s v="Nakuru Depot"/>
    <s v="Nakuru Depot"/>
    <s v="TRK-006"/>
    <s v="M. Otieno"/>
    <n v="2265"/>
    <n v="762.6"/>
    <n v="1727289"/>
    <n v="562"/>
    <s v="2025-10-24"/>
    <s v="2025-10-27"/>
    <s v="Late"/>
    <n v="28023.14"/>
    <n v="1755312.14"/>
  </r>
  <r>
    <s v="2025-04-27"/>
    <x v="6"/>
    <x v="3"/>
    <s v="Packaging Materials"/>
    <s v="Nakuru Depot"/>
    <s v="Nakuru Depot"/>
    <s v="TRK-015"/>
    <s v="E. Achieng"/>
    <n v="2459"/>
    <n v="631.57000000000005"/>
    <n v="1553030.63"/>
    <n v="466"/>
    <s v="2025-04-29"/>
    <s v="2025-05-02"/>
    <s v="Late"/>
    <n v="28851.19"/>
    <n v="1581881.8199999998"/>
  </r>
  <r>
    <s v="2025-02-17"/>
    <x v="4"/>
    <x v="0"/>
    <s v="Construction Additives"/>
    <s v="Nairobi Depot"/>
    <s v="Nairobi Depot"/>
    <s v="TRK-011"/>
    <s v="D. Said"/>
    <n v="291"/>
    <n v="130.78"/>
    <n v="38056.980000000003"/>
    <n v="533"/>
    <s v="2025-02-19"/>
    <s v="2025-02-18"/>
    <s v="On Time"/>
    <n v="31445.96"/>
    <n v="69502.94"/>
  </r>
  <r>
    <s v="2025-12-30"/>
    <x v="4"/>
    <x v="1"/>
    <s v="Industrial Cleaning Supplies"/>
    <s v="Nairobi Depot"/>
    <s v="Nairobi Depot"/>
    <s v="TRK-030"/>
    <s v="P. Maina"/>
    <n v="2011"/>
    <n v="798.74"/>
    <n v="1606266.14"/>
    <n v="557"/>
    <s v="2026-01-01"/>
    <s v="2026-01-05"/>
    <s v="Late"/>
    <n v="23987.5"/>
    <n v="1630253.64"/>
  </r>
  <r>
    <s v="2025-02-25"/>
    <x v="6"/>
    <x v="1"/>
    <s v="Industrial Cleaning Supplies"/>
    <s v="Nairobi Depot"/>
    <s v="Nairobi Depot"/>
    <s v="TRK-024"/>
    <s v="A. Hassan"/>
    <n v="725"/>
    <n v="802.87"/>
    <n v="582080.75"/>
    <n v="111"/>
    <s v="2025-02-26"/>
    <s v="2025-02-26"/>
    <s v="On Time"/>
    <n v="6739.03"/>
    <n v="588819.78"/>
  </r>
  <r>
    <s v="2025-11-28"/>
    <x v="2"/>
    <x v="4"/>
    <s v="Maintenance Parts"/>
    <s v="Mombasa Depot"/>
    <s v="Mombasa Depot"/>
    <s v="TRK-019"/>
    <s v="E. Achieng"/>
    <n v="1551"/>
    <n v="616.16999999999996"/>
    <n v="955679.67"/>
    <n v="60"/>
    <s v="2025-11-29"/>
    <s v="2025-12-01"/>
    <s v="Late"/>
    <n v="3137.35"/>
    <n v="958817.02"/>
  </r>
  <r>
    <s v="2025-11-12"/>
    <x v="1"/>
    <x v="5"/>
    <s v="WATER TREATMENT CHEMICALS"/>
    <s v="Nakuru Depot"/>
    <s v="Nakuru Depot"/>
    <s v="TRK-023"/>
    <s v="K. Barasa"/>
    <n v="1980"/>
    <n v="811.89"/>
    <n v="1607542.2"/>
    <n v="270"/>
    <s v="2025-11-13"/>
    <s v="2025-11-13"/>
    <s v="On Time"/>
    <n v="16404.5"/>
    <n v="1623946.7"/>
  </r>
  <r>
    <s v="2025-05-30"/>
    <x v="0"/>
    <x v="4"/>
    <s v="Maintenance Parts"/>
    <s v="Nakuru Depot"/>
    <s v="Nakuru Depot"/>
    <s v="TRK-025"/>
    <s v="E. Achieng"/>
    <n v="2424"/>
    <n v="872.14"/>
    <n v="2114067.36"/>
    <n v="177"/>
    <s v="2025-05-31"/>
    <s v="2025-06-03"/>
    <s v="Late"/>
    <n v="9793.0400000000009"/>
    <n v="2123860.4"/>
  </r>
  <r>
    <s v="2025-03-13"/>
    <x v="6"/>
    <x v="2"/>
    <s v="Protective Coatings"/>
    <s v="Mombasa Depot"/>
    <s v="Mombasa Depot"/>
    <s v="TRK-022"/>
    <s v="M. Otieno"/>
    <n v="260"/>
    <n v="566.11"/>
    <n v="147188.6"/>
    <n v="173"/>
    <s v="2025-03-14"/>
    <s v="2025-03-14"/>
    <s v="On Time"/>
    <n v="6303.32"/>
    <n v="153491.92000000001"/>
  </r>
  <r>
    <s v="2025-09-06"/>
    <x v="6"/>
    <x v="5"/>
    <s v="WATER TREATMENT CHEMICALS"/>
    <s v="Mombasa Depot"/>
    <s v="Mombasa Depot"/>
    <s v="TRK-014"/>
    <s v="D. Said"/>
    <n v="246"/>
    <n v="823.81"/>
    <n v="202657.26"/>
    <n v="257"/>
    <s v="2025-09-07"/>
    <s v="2025-09-07"/>
    <s v="On Time"/>
    <n v="11862.84"/>
    <n v="214520.1"/>
  </r>
  <r>
    <s v="2025-12-11"/>
    <x v="0"/>
    <x v="5"/>
    <s v="WATER TREATMENT CHEMICALS"/>
    <s v="Nakuru Depot"/>
    <s v="Nakuru Depot"/>
    <s v="TRK-016"/>
    <s v="A. Hassan"/>
    <n v="928"/>
    <n v="571.94000000000005"/>
    <n v="530760.31999999995"/>
    <n v="468"/>
    <s v="2025-12-13"/>
    <s v="2025-12-16"/>
    <s v="Late"/>
    <n v="27447.17"/>
    <n v="558207.49"/>
  </r>
  <r>
    <s v="2025-11-04"/>
    <x v="2"/>
    <x v="4"/>
    <s v="Maintenance Parts"/>
    <s v="Mombasa Depot"/>
    <s v="Mombasa Depot"/>
    <s v="TRK-010"/>
    <s v="P. Maina"/>
    <n v="645"/>
    <n v="495.6"/>
    <n v="319662"/>
    <n v="241"/>
    <s v="2025-11-05"/>
    <s v="2025-11-07"/>
    <s v="Late"/>
    <n v="12007.22"/>
    <n v="331669.21999999997"/>
  </r>
  <r>
    <s v="2025-05-13"/>
    <x v="3"/>
    <x v="4"/>
    <s v="Maintenance Parts"/>
    <s v="Nakuru Depot"/>
    <s v="Nakuru Depot"/>
    <s v="TRK-020"/>
    <s v="B. Kiprono"/>
    <n v="1824"/>
    <n v="119.92"/>
    <n v="218734.07999999999"/>
    <n v="284"/>
    <s v="2025-05-14"/>
    <s v="2025-05-14"/>
    <s v="On Time"/>
    <n v="16580.939999999999"/>
    <n v="235315.02"/>
  </r>
  <r>
    <s v="2025-07-09"/>
    <x v="1"/>
    <x v="0"/>
    <s v="Construction Additives"/>
    <s v="Mombasa Depot"/>
    <s v="Mombasa Depot"/>
    <s v="TRK-017"/>
    <s v="B. Kiprono"/>
    <n v="646"/>
    <n v="675.62"/>
    <n v="436450.52"/>
    <n v="587"/>
    <s v="2025-07-11"/>
    <s v="2025-07-14"/>
    <s v="Late"/>
    <n v="27883.51"/>
    <n v="464334.03"/>
  </r>
  <r>
    <s v="2025-10-04"/>
    <x v="3"/>
    <x v="3"/>
    <s v="Packaging Materials"/>
    <s v="Mombasa Depot"/>
    <s v="Mombasa Depot"/>
    <s v="TRK-026"/>
    <s v="M. Otieno"/>
    <n v="2059"/>
    <n v="635.54999999999995"/>
    <n v="1308597.45"/>
    <n v="253"/>
    <s v="2025-10-05"/>
    <s v="2025-10-08"/>
    <s v="Late"/>
    <n v="13127.55"/>
    <n v="1321725"/>
  </r>
  <r>
    <s v="2025-08-30"/>
    <x v="5"/>
    <x v="1"/>
    <s v="Industrial Cleaning Supplies"/>
    <s v="Nairobi Depot"/>
    <s v="Nairobi Depot"/>
    <s v="TRK-025"/>
    <s v="J. Mutua"/>
    <n v="1322"/>
    <n v="820.71"/>
    <n v="1084978.6200000001"/>
    <n v="380"/>
    <s v="2025-09-01"/>
    <s v="2025-09-01"/>
    <s v="On Time"/>
    <n v="19509.810000000001"/>
    <n v="1104488.4300000002"/>
  </r>
  <r>
    <s v="2025-09-08"/>
    <x v="2"/>
    <x v="3"/>
    <s v="Packaging Materials"/>
    <s v="Eldoret Depot"/>
    <s v="Eldoret Depot"/>
    <s v="TRK-010"/>
    <s v="A. Hassan"/>
    <n v="1913"/>
    <n v="527.52"/>
    <n v="1009145.76"/>
    <n v="448"/>
    <s v="2025-09-10"/>
    <s v="2025-09-12"/>
    <s v="Late"/>
    <n v="25723.88"/>
    <n v="1034869.64"/>
  </r>
  <r>
    <s v="2025-05-15"/>
    <x v="6"/>
    <x v="2"/>
    <s v="Protective Coatings"/>
    <s v="Eldoret Depot"/>
    <s v="Eldoret Depot"/>
    <s v="TRK-030"/>
    <s v="L. Wekesa"/>
    <n v="203"/>
    <n v="690.48"/>
    <n v="140167.44"/>
    <n v="590"/>
    <s v="2025-05-17"/>
    <s v="2025-05-19"/>
    <s v="Late"/>
    <n v="32064.49"/>
    <n v="172231.93"/>
  </r>
  <r>
    <s v="2025-06-29"/>
    <x v="5"/>
    <x v="3"/>
    <s v="Packaging Materials"/>
    <s v="Nairobi Depot"/>
    <s v="Nairobi Depot"/>
    <s v="TRK-001"/>
    <s v="K. Barasa"/>
    <n v="1333"/>
    <n v="723.7"/>
    <n v="964692.1"/>
    <n v="190"/>
    <s v="2025-06-30"/>
    <s v="2025-06-30"/>
    <s v="On Time"/>
    <n v="8753.56"/>
    <n v="973445.66"/>
  </r>
  <r>
    <s v="2025-07-04"/>
    <x v="3"/>
    <x v="5"/>
    <s v="WATER TREATMENT CHEMICALS"/>
    <s v="Eldoret Depot"/>
    <s v="Eldoret Depot"/>
    <s v="TRK-005"/>
    <s v="M. Otieno"/>
    <n v="1755"/>
    <n v="767.92"/>
    <n v="1347699.6"/>
    <n v="352"/>
    <s v="2025-07-06"/>
    <s v="2025-07-06"/>
    <s v="On Time"/>
    <n v="13825.56"/>
    <n v="1361525.1600000001"/>
  </r>
  <r>
    <s v="2025-06-22"/>
    <x v="3"/>
    <x v="4"/>
    <s v="Maintenance Parts"/>
    <s v="Mombasa Depot"/>
    <s v="Mombasa Depot"/>
    <s v="TRK-029"/>
    <s v="J. Mutua"/>
    <n v="1733"/>
    <n v="257.19"/>
    <n v="445710.27"/>
    <n v="257"/>
    <s v="2025-06-23"/>
    <s v="2025-06-25"/>
    <s v="Late"/>
    <n v="11065.42"/>
    <n v="456775.69"/>
  </r>
  <r>
    <s v="2025-10-28"/>
    <x v="2"/>
    <x v="0"/>
    <s v="Construction Additives"/>
    <s v="Nakuru Depot"/>
    <s v="Nakuru Depot"/>
    <s v="TRK-009"/>
    <s v="Not Found"/>
    <n v="865"/>
    <n v="603.63"/>
    <n v="522139.95"/>
    <n v="453"/>
    <s v="2025-10-30"/>
    <s v="2025-11-02"/>
    <s v="Late"/>
    <n v="22124.77"/>
    <n v="544264.72"/>
  </r>
  <r>
    <s v="2025-11-19"/>
    <x v="6"/>
    <x v="5"/>
    <s v="WATER TREATMENT CHEMICALS"/>
    <s v="Nairobi Depot"/>
    <s v="Nairobi Depot"/>
    <s v="TRK-028"/>
    <s v="K. Barasa"/>
    <n v="1210"/>
    <n v="214.67"/>
    <n v="259750.7"/>
    <n v="207"/>
    <s v="2025-11-20"/>
    <s v="2025-11-20"/>
    <s v="On Time"/>
    <n v="10416.24"/>
    <n v="270166.94"/>
  </r>
  <r>
    <s v="2025-02-24"/>
    <x v="7"/>
    <x v="3"/>
    <s v="Packaging Materials"/>
    <s v="Nakuru Depot"/>
    <s v="Nakuru Depot"/>
    <s v="TRK-014"/>
    <s v="M. Otieno"/>
    <n v="1183"/>
    <n v="805.26"/>
    <n v="952622.58"/>
    <n v="511"/>
    <s v="2025-02-26"/>
    <s v="2025-02-25"/>
    <s v="On Time"/>
    <n v="28720.3"/>
    <n v="981342.88"/>
  </r>
  <r>
    <s v="2025-09-06"/>
    <x v="3"/>
    <x v="5"/>
    <s v="WATER TREATMENT CHEMICALS"/>
    <s v="Mombasa Depot"/>
    <s v="Mombasa Depot"/>
    <s v="TRK-028"/>
    <s v="A. Hassan"/>
    <n v="2488"/>
    <n v="783.38"/>
    <n v="1949049.44"/>
    <n v="85"/>
    <s v="2025-09-07"/>
    <s v="2025-09-06"/>
    <s v="On Time"/>
    <n v="4858.6899999999996"/>
    <n v="1953908.13"/>
  </r>
  <r>
    <s v="2025-11-04"/>
    <x v="1"/>
    <x v="3"/>
    <s v="Packaging Materials"/>
    <s v="Nakuru Depot"/>
    <s v="Nakuru Depot"/>
    <s v="TRK-029"/>
    <s v="D. Said"/>
    <n v="1475"/>
    <n v="484.23"/>
    <n v="714239.25"/>
    <n v="329"/>
    <s v="2025-11-05"/>
    <s v="2025-11-06"/>
    <s v="Late"/>
    <n v="11787.41"/>
    <n v="726026.66"/>
  </r>
  <r>
    <s v="2025-04-15"/>
    <x v="7"/>
    <x v="4"/>
    <s v="Maintenance Parts"/>
    <s v="Mombasa Depot"/>
    <s v="Mombasa Depot"/>
    <s v="TRK-012"/>
    <s v="S. Chebet"/>
    <n v="1633"/>
    <n v="672.94"/>
    <n v="1098911.02"/>
    <n v="713"/>
    <s v="2025-04-18"/>
    <s v="2025-04-21"/>
    <s v="Late"/>
    <n v="38729.94"/>
    <n v="1137640.96"/>
  </r>
  <r>
    <s v="2025-02-15"/>
    <x v="1"/>
    <x v="5"/>
    <s v="WATER TREATMENT CHEMICALS"/>
    <s v="Eldoret Depot"/>
    <s v="Eldoret Depot"/>
    <s v="TRK-013"/>
    <s v="D. Said"/>
    <n v="364"/>
    <n v="211.85"/>
    <n v="77113.399999999994"/>
    <n v="442"/>
    <s v="2025-02-17"/>
    <s v="2025-02-16"/>
    <s v="On Time"/>
    <n v="17319.400000000001"/>
    <n v="94432.799999999988"/>
  </r>
  <r>
    <s v="2025-01-29"/>
    <x v="7"/>
    <x v="0"/>
    <s v="Construction Additives"/>
    <s v="Eldoret Depot"/>
    <s v="Eldoret Depot"/>
    <s v="TRK-026"/>
    <s v="P. Maina"/>
    <n v="455"/>
    <n v="453.51"/>
    <n v="206347.05"/>
    <n v="399"/>
    <s v="2025-01-31"/>
    <s v="2025-02-02"/>
    <s v="Late"/>
    <n v="16992.349999999999"/>
    <n v="223339.4"/>
  </r>
  <r>
    <s v="2025-03-16"/>
    <x v="1"/>
    <x v="5"/>
    <s v="WATER TREATMENT CHEMICALS"/>
    <s v="Nairobi Depot"/>
    <s v="Nairobi Depot"/>
    <s v="TRK-023"/>
    <s v="K. Barasa"/>
    <n v="813"/>
    <n v="236.09"/>
    <n v="191941.17"/>
    <n v="363"/>
    <s v="2025-03-18"/>
    <s v="2025-03-18"/>
    <s v="On Time"/>
    <n v="13116.94"/>
    <n v="205058.11000000002"/>
  </r>
  <r>
    <s v="2025-05-22"/>
    <x v="1"/>
    <x v="5"/>
    <s v="WATER TREATMENT CHEMICALS"/>
    <s v="Eldoret Depot"/>
    <s v="Eldoret Depot"/>
    <s v="TRK-030"/>
    <s v="B. Kiprono"/>
    <n v="688"/>
    <n v="180.13"/>
    <n v="123929.44"/>
    <n v="537"/>
    <s v="2025-05-24"/>
    <s v="2025-05-28"/>
    <s v="Late"/>
    <n v="27327.86"/>
    <n v="151257.29999999999"/>
  </r>
  <r>
    <s v="2025-04-28"/>
    <x v="5"/>
    <x v="2"/>
    <s v="Protective Coatings"/>
    <s v="Eldoret Depot"/>
    <s v="Eldoret Depot"/>
    <s v="TRK-006"/>
    <s v="B. Kiprono"/>
    <n v="1318"/>
    <n v="769.48"/>
    <n v="1014174.64"/>
    <n v="388"/>
    <s v="2025-04-30"/>
    <s v="2025-04-29"/>
    <s v="On Time"/>
    <n v="22387.99"/>
    <n v="1036562.63"/>
  </r>
  <r>
    <s v="2025-06-13"/>
    <x v="0"/>
    <x v="3"/>
    <s v="Packaging Materials"/>
    <s v="Mombasa Depot"/>
    <s v="Mombasa Depot"/>
    <s v="TRK-028"/>
    <s v="A. Hassan"/>
    <n v="1347"/>
    <n v="97.27"/>
    <n v="131022.69"/>
    <n v="160"/>
    <s v="2025-06-14"/>
    <s v="2025-06-14"/>
    <s v="On Time"/>
    <n v="9046.6"/>
    <n v="140069.29"/>
  </r>
  <r>
    <s v="2025-10-28"/>
    <x v="5"/>
    <x v="0"/>
    <s v="Construction Additives"/>
    <s v="Mombasa Depot"/>
    <s v="Mombasa Depot"/>
    <s v="TRK-029"/>
    <s v="P. Maina"/>
    <n v="1189"/>
    <n v="798.59"/>
    <n v="949523.51"/>
    <n v="408"/>
    <s v="2025-10-30"/>
    <s v="2025-10-30"/>
    <s v="On Time"/>
    <n v="15752.62"/>
    <n v="965276.13"/>
  </r>
  <r>
    <s v="2025-09-20"/>
    <x v="5"/>
    <x v="5"/>
    <s v="WATER TREATMENT CHEMICALS"/>
    <s v="Mombasa Depot"/>
    <s v="Mombasa Depot"/>
    <s v="TRK-009"/>
    <s v="S. Chebet"/>
    <n v="2405"/>
    <n v="134.6"/>
    <n v="323713"/>
    <n v="405"/>
    <s v="2025-09-22"/>
    <s v="2025-09-22"/>
    <s v="On Time"/>
    <n v="20676.8"/>
    <n v="344389.8"/>
  </r>
  <r>
    <s v="2025-08-24"/>
    <x v="6"/>
    <x v="4"/>
    <s v="Maintenance Parts"/>
    <s v="Nairobi Depot"/>
    <s v="Nairobi Depot"/>
    <s v="TRK-022"/>
    <s v="S. Chebet"/>
    <n v="2005"/>
    <n v="709.49"/>
    <n v="1422527.45"/>
    <n v="576"/>
    <s v="2025-08-26"/>
    <s v="2025-08-26"/>
    <s v="On Time"/>
    <n v="20305.169999999998"/>
    <n v="1442832.6199999999"/>
  </r>
  <r>
    <s v="2025-02-20"/>
    <x v="3"/>
    <x v="0"/>
    <s v="Construction Additives"/>
    <s v="Nairobi Depot"/>
    <s v="Nairobi Depot"/>
    <s v="TRK-016"/>
    <s v="Not Found"/>
    <n v="1880"/>
    <n v="303.5"/>
    <n v="570580"/>
    <n v="234"/>
    <s v="2025-02-21"/>
    <s v="2025-02-24"/>
    <s v="Late"/>
    <n v="13353.53"/>
    <n v="583933.53"/>
  </r>
  <r>
    <s v="2025-08-23"/>
    <x v="0"/>
    <x v="1"/>
    <s v="Industrial Cleaning Supplies"/>
    <s v="Mombasa Depot"/>
    <s v="Mombasa Depot"/>
    <s v="TRK-001"/>
    <s v="A. Hassan"/>
    <n v="2200"/>
    <n v="84.28"/>
    <n v="185416"/>
    <n v="95"/>
    <s v="2025-08-24"/>
    <s v="2025-08-24"/>
    <s v="On Time"/>
    <n v="3964.55"/>
    <n v="189380.55"/>
  </r>
  <r>
    <s v="2025-02-04"/>
    <x v="5"/>
    <x v="0"/>
    <s v="Construction Additives"/>
    <s v="Nairobi Depot"/>
    <s v="Nairobi Depot"/>
    <s v="TRK-003"/>
    <s v="D. Said"/>
    <n v="705"/>
    <n v="517.53"/>
    <n v="364858.65"/>
    <n v="29"/>
    <s v="2025-02-05"/>
    <s v="2025-02-07"/>
    <s v="Late"/>
    <n v="1669.61"/>
    <n v="366528.26"/>
  </r>
  <r>
    <s v="2025-03-25"/>
    <x v="4"/>
    <x v="1"/>
    <s v="Industrial Cleaning Supplies"/>
    <s v="Nakuru Depot"/>
    <s v="Nakuru Depot"/>
    <s v="TRK-009"/>
    <s v="K. Barasa"/>
    <n v="1747"/>
    <n v="553.15"/>
    <n v="966353.05"/>
    <n v="578"/>
    <s v="2025-03-27"/>
    <s v="2025-03-26"/>
    <s v="On Time"/>
    <n v="24352.98"/>
    <n v="990706.03"/>
  </r>
  <r>
    <s v="2025-03-03"/>
    <x v="2"/>
    <x v="2"/>
    <s v="Protective Coatings"/>
    <s v="Eldoret Depot"/>
    <s v="Eldoret Depot"/>
    <s v="TRK-013"/>
    <s v="L. Wekesa"/>
    <n v="189"/>
    <n v="615.65"/>
    <n v="116357.85"/>
    <n v="389"/>
    <s v="2025-03-05"/>
    <s v="2025-03-05"/>
    <s v="On Time"/>
    <n v="18401.64"/>
    <n v="134759.49"/>
  </r>
  <r>
    <s v="2025-07-05"/>
    <x v="3"/>
    <x v="0"/>
    <s v="Construction Additives"/>
    <s v="Eldoret Depot"/>
    <s v="Eldoret Depot"/>
    <s v="TRK-026"/>
    <s v="B. Kiprono"/>
    <n v="1172"/>
    <n v="83.97"/>
    <n v="98412.84"/>
    <n v="387"/>
    <s v="2025-07-07"/>
    <s v="2025-07-08"/>
    <s v="Late"/>
    <n v="14331.64"/>
    <n v="112744.48"/>
  </r>
  <r>
    <s v="2025-06-03"/>
    <x v="5"/>
    <x v="5"/>
    <s v="WATER TREATMENT CHEMICALS"/>
    <s v="Eldoret Depot"/>
    <s v="Eldoret Depot"/>
    <s v="TRK-015"/>
    <s v="S. Chebet"/>
    <n v="1687"/>
    <n v="309.08"/>
    <n v="521417.96"/>
    <n v="621"/>
    <s v="2025-06-05"/>
    <s v="2025-06-05"/>
    <s v="On Time"/>
    <n v="26939.5"/>
    <n v="548357.46"/>
  </r>
  <r>
    <s v="2025-12-20"/>
    <x v="3"/>
    <x v="0"/>
    <s v="Construction Additives"/>
    <s v="Mombasa Depot"/>
    <s v="Mombasa Depot"/>
    <s v="TRK-004"/>
    <s v="P. Maina"/>
    <n v="1751"/>
    <n v="250.76"/>
    <n v="439080.76"/>
    <n v="67"/>
    <s v="2025-12-21"/>
    <s v="2025-12-22"/>
    <s v="Late"/>
    <n v="3790.78"/>
    <n v="442871.54000000004"/>
  </r>
  <r>
    <s v="2025-04-19"/>
    <x v="0"/>
    <x v="5"/>
    <s v="WATER TREATMENT CHEMICALS"/>
    <s v="Mombasa Depot"/>
    <s v="Mombasa Depot"/>
    <s v="TRK-027"/>
    <s v="Not Found"/>
    <n v="994"/>
    <n v="85.02"/>
    <n v="84509.88"/>
    <n v="534"/>
    <s v="2025-04-21"/>
    <s v="2025-04-25"/>
    <s v="Late"/>
    <n v="21876.7"/>
    <n v="106386.58"/>
  </r>
  <r>
    <s v="2025-09-05"/>
    <x v="7"/>
    <x v="2"/>
    <s v="Protective Coatings"/>
    <s v="Nairobi Depot"/>
    <s v="Nairobi Depot"/>
    <s v="TRK-021"/>
    <s v="D. Said"/>
    <n v="1902"/>
    <n v="339.93"/>
    <n v="646546.86"/>
    <n v="603"/>
    <s v="2025-09-07"/>
    <s v="2025-09-08"/>
    <s v="Late"/>
    <n v="29884.21"/>
    <n v="676431.07"/>
  </r>
  <r>
    <s v="2025-04-02"/>
    <x v="4"/>
    <x v="3"/>
    <s v="Packaging Materials"/>
    <s v="Mombasa Depot"/>
    <s v="Mombasa Depot"/>
    <s v="TRK-027"/>
    <s v="L. Wekesa"/>
    <n v="2077"/>
    <n v="332.74"/>
    <n v="691100.98"/>
    <n v="455"/>
    <s v="2025-04-04"/>
    <s v="2025-04-03"/>
    <s v="On Time"/>
    <n v="20568.919999999998"/>
    <n v="711669.9"/>
  </r>
  <r>
    <s v="2025-07-15"/>
    <x v="5"/>
    <x v="3"/>
    <s v="Packaging Materials"/>
    <s v="Eldoret Depot"/>
    <s v="Eldoret Depot"/>
    <s v="TRK-023"/>
    <s v="S. Chebet"/>
    <n v="2378"/>
    <n v="458.19"/>
    <n v="1089575.82"/>
    <n v="470"/>
    <s v="2025-07-17"/>
    <s v="2025-07-21"/>
    <s v="Late"/>
    <n v="27971.83"/>
    <n v="1117547.6500000001"/>
  </r>
  <r>
    <s v="2025-12-24"/>
    <x v="5"/>
    <x v="5"/>
    <s v="WATER TREATMENT CHEMICALS"/>
    <s v="Mombasa Depot"/>
    <s v="Mombasa Depot"/>
    <s v="TRK-025"/>
    <s v="L. Wekesa"/>
    <n v="1451"/>
    <n v="366.72"/>
    <n v="532110.72"/>
    <n v="554"/>
    <s v="2025-12-26"/>
    <s v="2025-12-29"/>
    <s v="Late"/>
    <n v="31638.27"/>
    <n v="563748.99"/>
  </r>
  <r>
    <s v="2025-07-05"/>
    <x v="6"/>
    <x v="3"/>
    <s v="Packaging Materials"/>
    <s v="Nakuru Depot"/>
    <s v="Nakuru Depot"/>
    <s v="TRK-027"/>
    <s v="J. Mutua"/>
    <n v="1166"/>
    <n v="146.62"/>
    <n v="170958.92"/>
    <n v="434"/>
    <s v="2025-07-07"/>
    <s v="2025-07-06"/>
    <s v="On Time"/>
    <n v="21033.39"/>
    <n v="191992.31"/>
  </r>
  <r>
    <s v="2025-08-14"/>
    <x v="4"/>
    <x v="4"/>
    <s v="Maintenance Parts"/>
    <s v="Mombasa Depot"/>
    <s v="Mombasa Depot"/>
    <s v="TRK-002"/>
    <s v="A. Hassan"/>
    <n v="1656"/>
    <n v="775.3"/>
    <n v="1283896.8"/>
    <n v="282"/>
    <s v="2025-08-15"/>
    <s v="2025-08-18"/>
    <s v="Late"/>
    <n v="15224.46"/>
    <n v="1299121.26"/>
  </r>
  <r>
    <s v="2025-12-02"/>
    <x v="5"/>
    <x v="1"/>
    <s v="Industrial Cleaning Supplies"/>
    <s v="Eldoret Depot"/>
    <s v="Eldoret Depot"/>
    <s v="TRK-004"/>
    <s v="J. Mutua"/>
    <n v="74"/>
    <n v="580.32000000000005"/>
    <n v="42943.68"/>
    <n v="396"/>
    <s v="2025-12-04"/>
    <s v="2025-12-04"/>
    <s v="On Time"/>
    <n v="22662.639999999999"/>
    <n v="65606.320000000007"/>
  </r>
  <r>
    <s v="2025-07-07"/>
    <x v="2"/>
    <x v="1"/>
    <s v="Industrial Cleaning Supplies"/>
    <s v="Mombasa Depot"/>
    <s v="Mombasa Depot"/>
    <s v="TRK-030"/>
    <s v="P. Maina"/>
    <n v="1873"/>
    <n v="856.2"/>
    <n v="1603662.6"/>
    <n v="342"/>
    <s v="2025-07-08"/>
    <s v="2025-07-08"/>
    <s v="On Time"/>
    <n v="20080.990000000002"/>
    <n v="1623743.59"/>
  </r>
  <r>
    <s v="2025-02-16"/>
    <x v="2"/>
    <x v="0"/>
    <s v="Construction Additives"/>
    <s v="Nairobi Depot"/>
    <s v="Nairobi Depot"/>
    <s v="TRK-023"/>
    <s v="S. Chebet"/>
    <n v="2105"/>
    <n v="789.78"/>
    <n v="1662486.9"/>
    <n v="571"/>
    <s v="2025-02-18"/>
    <s v="2025-02-22"/>
    <s v="Late"/>
    <n v="22664.89"/>
    <n v="1685151.7899999998"/>
  </r>
  <r>
    <s v="2025-06-04"/>
    <x v="3"/>
    <x v="0"/>
    <s v="Construction Additives"/>
    <s v="Mombasa Depot"/>
    <s v="Mombasa Depot"/>
    <s v="TRK-030"/>
    <s v="B. Kiprono"/>
    <n v="953"/>
    <n v="434.87"/>
    <n v="414431.11"/>
    <n v="197"/>
    <s v="2025-06-05"/>
    <s v="2025-06-09"/>
    <s v="Late"/>
    <n v="11557.94"/>
    <n v="425989.05"/>
  </r>
  <r>
    <s v="2025-06-18"/>
    <x v="3"/>
    <x v="0"/>
    <s v="Construction Additives"/>
    <s v="Eldoret Depot"/>
    <s v="Eldoret Depot"/>
    <s v="TRK-022"/>
    <s v="B. Kiprono"/>
    <n v="2286"/>
    <n v="288.3"/>
    <n v="659053.80000000005"/>
    <n v="536"/>
    <s v="2025-06-20"/>
    <s v="2025-06-20"/>
    <s v="On Time"/>
    <n v="18841.04"/>
    <n v="677894.84000000008"/>
  </r>
  <r>
    <s v="2025-10-02"/>
    <x v="1"/>
    <x v="0"/>
    <s v="Construction Additives"/>
    <s v="Mombasa Depot"/>
    <s v="Mombasa Depot"/>
    <s v="TRK-017"/>
    <s v="K. Barasa"/>
    <n v="1959"/>
    <n v="897.15"/>
    <n v="1757516.85"/>
    <n v="566"/>
    <s v="2025-10-04"/>
    <s v="2025-10-04"/>
    <s v="On Time"/>
    <n v="21278.25"/>
    <n v="1778795.1"/>
  </r>
  <r>
    <s v="2025-04-26"/>
    <x v="0"/>
    <x v="2"/>
    <s v="Protective Coatings"/>
    <s v="Eldoret Depot"/>
    <s v="Eldoret Depot"/>
    <s v="TRK-030"/>
    <s v="E. Achieng"/>
    <n v="702"/>
    <n v="474.32"/>
    <n v="332972.64"/>
    <n v="520"/>
    <s v="2025-04-28"/>
    <s v="2025-05-01"/>
    <s v="Late"/>
    <n v="21362.400000000001"/>
    <n v="354335.04000000004"/>
  </r>
  <r>
    <s v="2025-04-07"/>
    <x v="1"/>
    <x v="4"/>
    <s v="Maintenance Parts"/>
    <s v="Nairobi Depot"/>
    <s v="Nairobi Depot"/>
    <s v="TRK-024"/>
    <s v="A. Hassan"/>
    <n v="117"/>
    <n v="77.680000000000007"/>
    <n v="9088.56"/>
    <n v="675"/>
    <s v="2025-04-09"/>
    <s v="2025-04-12"/>
    <s v="Late"/>
    <n v="39787.040000000001"/>
    <n v="48875.6"/>
  </r>
  <r>
    <s v="2025-09-28"/>
    <x v="3"/>
    <x v="0"/>
    <s v="Construction Additives"/>
    <s v="Nakuru Depot"/>
    <s v="Nakuru Depot"/>
    <s v="TRK-017"/>
    <s v="P. Maina"/>
    <n v="1606"/>
    <n v="389.69"/>
    <n v="625842.14"/>
    <n v="213"/>
    <s v="2025-09-29"/>
    <s v="2025-09-29"/>
    <s v="On Time"/>
    <n v="12458.52"/>
    <n v="638300.66"/>
  </r>
  <r>
    <s v="2025-04-23"/>
    <x v="0"/>
    <x v="2"/>
    <s v="Protective Coatings"/>
    <s v="Nairobi Depot"/>
    <s v="Nairobi Depot"/>
    <s v="TRK-009"/>
    <s v="P. Maina"/>
    <n v="1242"/>
    <n v="238.4"/>
    <n v="296092.79999999999"/>
    <n v="31"/>
    <s v="2025-04-24"/>
    <s v="2025-04-28"/>
    <s v="Late"/>
    <n v="1127.1400000000001"/>
    <n v="297219.94"/>
  </r>
  <r>
    <s v="2025-06-04"/>
    <x v="4"/>
    <x v="3"/>
    <s v="Packaging Materials"/>
    <s v="Eldoret Depot"/>
    <s v="Eldoret Depot"/>
    <s v="TRK-026"/>
    <s v="A. Hassan"/>
    <n v="81"/>
    <n v="201.46"/>
    <n v="16318.26"/>
    <n v="87"/>
    <s v="2025-06-05"/>
    <s v="2025-06-07"/>
    <s v="Late"/>
    <n v="3885.31"/>
    <n v="20203.57"/>
  </r>
  <r>
    <s v="2025-11-21"/>
    <x v="1"/>
    <x v="0"/>
    <s v="Construction Additives"/>
    <s v="Nakuru Depot"/>
    <s v="Nakuru Depot"/>
    <s v="TRK-027"/>
    <s v="E. Achieng"/>
    <n v="218"/>
    <n v="777.02"/>
    <n v="169390.36"/>
    <n v="63"/>
    <s v="2025-11-22"/>
    <s v="2025-11-23"/>
    <s v="Late"/>
    <n v="2346.67"/>
    <n v="171737.03"/>
  </r>
  <r>
    <s v="2025-12-10"/>
    <x v="4"/>
    <x v="4"/>
    <s v="Maintenance Parts"/>
    <s v="Nairobi Depot"/>
    <s v="Nairobi Depot"/>
    <s v="TRK-007"/>
    <s v="L. Wekesa"/>
    <n v="284"/>
    <n v="729.32"/>
    <n v="207126.88"/>
    <n v="382"/>
    <s v="2025-12-12"/>
    <s v="2025-12-12"/>
    <s v="On Time"/>
    <n v="20891.39"/>
    <n v="228018.27000000002"/>
  </r>
  <r>
    <s v="2025-09-07"/>
    <x v="7"/>
    <x v="4"/>
    <s v="Maintenance Parts"/>
    <s v="Nakuru Depot"/>
    <s v="Nakuru Depot"/>
    <s v="TRK-030"/>
    <s v="A. Hassan"/>
    <n v="212"/>
    <n v="144.59"/>
    <n v="30653.08"/>
    <n v="50"/>
    <s v="2025-09-08"/>
    <s v="2025-09-12"/>
    <s v="Late"/>
    <n v="2255.64"/>
    <n v="32908.720000000001"/>
  </r>
  <r>
    <s v="2025-06-06"/>
    <x v="1"/>
    <x v="2"/>
    <s v="Protective Coatings"/>
    <s v="Nakuru Depot"/>
    <s v="Nakuru Depot"/>
    <s v="TRK-023"/>
    <s v="M. Otieno"/>
    <n v="209"/>
    <n v="504.59"/>
    <n v="105459.31"/>
    <n v="31"/>
    <s v="2025-06-07"/>
    <s v="2025-06-08"/>
    <s v="Late"/>
    <n v="1250.53"/>
    <n v="106709.84"/>
  </r>
  <r>
    <s v="2025-07-19"/>
    <x v="4"/>
    <x v="2"/>
    <s v="Protective Coatings"/>
    <s v="Eldoret Depot"/>
    <s v="Eldoret Depot"/>
    <s v="TRK-019"/>
    <s v="B. Kiprono"/>
    <n v="2120"/>
    <n v="759.06"/>
    <n v="1609207.2"/>
    <n v="524"/>
    <s v="2025-07-21"/>
    <s v="2025-07-25"/>
    <s v="Late"/>
    <n v="20168.64"/>
    <n v="1629375.8399999999"/>
  </r>
  <r>
    <s v="2025-01-16"/>
    <x v="0"/>
    <x v="4"/>
    <s v="Maintenance Parts"/>
    <s v="Nakuru Depot"/>
    <s v="Nakuru Depot"/>
    <s v="TRK-029"/>
    <s v="P. Maina"/>
    <n v="951"/>
    <n v="558.27"/>
    <n v="530914.77"/>
    <n v="449"/>
    <s v="2025-01-18"/>
    <s v="2025-01-18"/>
    <s v="On Time"/>
    <n v="27256.7"/>
    <n v="558171.47"/>
  </r>
  <r>
    <s v="2025-07-23"/>
    <x v="6"/>
    <x v="2"/>
    <s v="Protective Coatings"/>
    <s v="Mombasa Depot"/>
    <s v="Mombasa Depot"/>
    <s v="TRK-001"/>
    <s v="P. Maina"/>
    <n v="1058"/>
    <n v="697.08"/>
    <n v="737510.64"/>
    <n v="348"/>
    <s v="2025-07-24"/>
    <s v="2025-07-27"/>
    <s v="Late"/>
    <n v="12183.92"/>
    <n v="749694.56"/>
  </r>
  <r>
    <s v="2025-03-25"/>
    <x v="1"/>
    <x v="5"/>
    <s v="WATER TREATMENT CHEMICALS"/>
    <s v="Mombasa Depot"/>
    <s v="Mombasa Depot"/>
    <s v="TRK-007"/>
    <s v="J. Mutua"/>
    <n v="187"/>
    <n v="356.55"/>
    <n v="66674.850000000006"/>
    <n v="108"/>
    <s v="2025-03-26"/>
    <s v="2025-03-25"/>
    <s v="On Time"/>
    <n v="4706.82"/>
    <n v="71381.670000000013"/>
  </r>
  <r>
    <s v="2025-07-05"/>
    <x v="1"/>
    <x v="3"/>
    <s v="Packaging Materials"/>
    <s v="Nakuru Depot"/>
    <s v="Nakuru Depot"/>
    <s v="TRK-005"/>
    <s v="K. Barasa"/>
    <n v="650"/>
    <n v="49.63"/>
    <n v="32259.5"/>
    <n v="683"/>
    <s v="2025-07-07"/>
    <s v="2025-07-07"/>
    <s v="On Time"/>
    <n v="35729.18"/>
    <n v="67988.679999999993"/>
  </r>
  <r>
    <s v="2025-04-24"/>
    <x v="7"/>
    <x v="1"/>
    <s v="Industrial Cleaning Supplies"/>
    <s v="Mombasa Depot"/>
    <s v="Mombasa Depot"/>
    <s v="TRK-012"/>
    <s v="D. Said"/>
    <n v="1827"/>
    <n v="270.25"/>
    <n v="493746.75"/>
    <n v="209"/>
    <s v="2025-04-25"/>
    <s v="2025-04-29"/>
    <s v="Late"/>
    <n v="8390.1"/>
    <n v="502136.85"/>
  </r>
  <r>
    <s v="2025-11-13"/>
    <x v="3"/>
    <x v="2"/>
    <s v="Protective Coatings"/>
    <s v="Nairobi Depot"/>
    <s v="Nairobi Depot"/>
    <s v="TRK-024"/>
    <s v="E. Achieng"/>
    <n v="498"/>
    <n v="425.51"/>
    <n v="211903.98"/>
    <n v="502"/>
    <s v="2025-11-15"/>
    <s v="2025-11-14"/>
    <s v="On Time"/>
    <n v="26246.880000000001"/>
    <n v="238150.86000000002"/>
  </r>
  <r>
    <s v="2025-04-07"/>
    <x v="0"/>
    <x v="1"/>
    <s v="Industrial Cleaning Supplies"/>
    <s v="Nakuru Depot"/>
    <s v="Nakuru Depot"/>
    <s v="TRK-023"/>
    <s v="K. Barasa"/>
    <n v="1550"/>
    <n v="600.89"/>
    <n v="931379.5"/>
    <n v="294"/>
    <s v="2025-04-08"/>
    <s v="2025-04-12"/>
    <s v="Late"/>
    <n v="16110.18"/>
    <n v="947489.68"/>
  </r>
  <r>
    <s v="2025-10-07"/>
    <x v="0"/>
    <x v="0"/>
    <s v="Construction Additives"/>
    <s v="Eldoret Depot"/>
    <s v="Eldoret Depot"/>
    <s v="TRK-026"/>
    <s v="S. Chebet"/>
    <n v="2022"/>
    <n v="661.42"/>
    <n v="1337391.24"/>
    <n v="155"/>
    <s v="2025-10-08"/>
    <s v="2025-10-08"/>
    <s v="On Time"/>
    <n v="5831.07"/>
    <n v="1343222.31"/>
  </r>
  <r>
    <s v="2025-07-20"/>
    <x v="6"/>
    <x v="5"/>
    <s v="WATER TREATMENT CHEMICALS"/>
    <s v="Nakuru Depot"/>
    <s v="Nakuru Depot"/>
    <s v="TRK-007"/>
    <s v="B. Kiprono"/>
    <n v="1156"/>
    <n v="81.89"/>
    <n v="94664.84"/>
    <n v="204"/>
    <s v="2025-07-21"/>
    <s v="2025-07-23"/>
    <s v="Late"/>
    <n v="10234.65"/>
    <n v="104899.48999999999"/>
  </r>
  <r>
    <s v="2025-12-03"/>
    <x v="5"/>
    <x v="1"/>
    <s v="Industrial Cleaning Supplies"/>
    <s v="Nakuru Depot"/>
    <s v="Nakuru Depot"/>
    <s v="TRK-025"/>
    <s v="B. Kiprono"/>
    <n v="886"/>
    <n v="532.80999999999995"/>
    <n v="472069.66"/>
    <n v="211"/>
    <s v="2025-12-04"/>
    <s v="2025-12-05"/>
    <s v="Late"/>
    <n v="10006.790000000001"/>
    <n v="482076.44999999995"/>
  </r>
  <r>
    <s v="2025-12-20"/>
    <x v="2"/>
    <x v="4"/>
    <s v="Maintenance Parts"/>
    <s v="Nairobi Depot"/>
    <s v="Nairobi Depot"/>
    <s v="TRK-010"/>
    <s v="D. Said"/>
    <n v="897"/>
    <n v="642.26"/>
    <n v="576107.22"/>
    <n v="481"/>
    <s v="2025-12-22"/>
    <s v="2025-12-22"/>
    <s v="On Time"/>
    <n v="22394.91"/>
    <n v="598502.13"/>
  </r>
  <r>
    <s v="2025-10-14"/>
    <x v="1"/>
    <x v="4"/>
    <s v="Maintenance Parts"/>
    <s v="Mombasa Depot"/>
    <s v="Mombasa Depot"/>
    <s v="TRK-006"/>
    <s v="A. Hassan"/>
    <n v="1093"/>
    <n v="891.98"/>
    <n v="974934.14"/>
    <n v="386"/>
    <s v="2025-10-16"/>
    <s v="2025-10-16"/>
    <s v="On Time"/>
    <n v="17999.77"/>
    <n v="992933.91"/>
  </r>
  <r>
    <s v="2025-01-09"/>
    <x v="3"/>
    <x v="0"/>
    <s v="Construction Additives"/>
    <s v="Mombasa Depot"/>
    <s v="Mombasa Depot"/>
    <s v="TRK-014"/>
    <s v="J. Mutua"/>
    <n v="139"/>
    <n v="496.28"/>
    <n v="68982.92"/>
    <n v="288"/>
    <s v="2025-01-10"/>
    <s v="2025-01-10"/>
    <s v="On Time"/>
    <n v="15741.19"/>
    <n v="84724.11"/>
  </r>
  <r>
    <s v="2025-01-08"/>
    <x v="7"/>
    <x v="1"/>
    <s v="Industrial Cleaning Supplies"/>
    <s v="Nairobi Depot"/>
    <s v="Nairobi Depot"/>
    <s v="TRK-019"/>
    <s v="J. Mutua"/>
    <n v="1813"/>
    <n v="269.47000000000003"/>
    <n v="488549.11"/>
    <n v="513"/>
    <s v="2025-01-10"/>
    <s v="2025-01-13"/>
    <s v="Late"/>
    <n v="19839.740000000002"/>
    <n v="508388.85"/>
  </r>
  <r>
    <s v="2025-11-17"/>
    <x v="6"/>
    <x v="3"/>
    <s v="Packaging Materials"/>
    <s v="Eldoret Depot"/>
    <s v="Eldoret Depot"/>
    <s v="TRK-023"/>
    <s v="A. Hassan"/>
    <n v="527"/>
    <n v="460.5"/>
    <n v="242683.5"/>
    <n v="557"/>
    <s v="2025-11-19"/>
    <s v="2025-11-22"/>
    <s v="Late"/>
    <n v="21731.52"/>
    <n v="264415.02"/>
  </r>
  <r>
    <s v="2025-12-24"/>
    <x v="6"/>
    <x v="1"/>
    <s v="Industrial Cleaning Supplies"/>
    <s v="Nakuru Depot"/>
    <s v="Nakuru Depot"/>
    <s v="TRK-020"/>
    <s v="K. Barasa"/>
    <n v="1177"/>
    <n v="891.25"/>
    <n v="1049001.25"/>
    <n v="51"/>
    <s v="2025-12-25"/>
    <s v="2025-12-26"/>
    <s v="Late"/>
    <n v="2041.13"/>
    <n v="1051042.3799999999"/>
  </r>
  <r>
    <s v="2025-04-16"/>
    <x v="7"/>
    <x v="0"/>
    <s v="Construction Additives"/>
    <s v="Nakuru Depot"/>
    <s v="Nakuru Depot"/>
    <s v="TRK-003"/>
    <s v="S. Chebet"/>
    <n v="410"/>
    <n v="624.14"/>
    <n v="255897.4"/>
    <n v="288"/>
    <s v="2025-04-17"/>
    <s v="2025-04-16"/>
    <s v="On Time"/>
    <n v="16658.89"/>
    <n v="272556.28999999998"/>
  </r>
  <r>
    <s v="2025-07-09"/>
    <x v="2"/>
    <x v="1"/>
    <s v="Industrial Cleaning Supplies"/>
    <s v="Mombasa Depot"/>
    <s v="Mombasa Depot"/>
    <s v="TRK-026"/>
    <s v="E. Achieng"/>
    <n v="129"/>
    <n v="686.24"/>
    <n v="88524.96"/>
    <n v="258"/>
    <s v="2025-07-10"/>
    <s v="2025-07-10"/>
    <s v="On Time"/>
    <n v="10112.51"/>
    <n v="98637.47"/>
  </r>
  <r>
    <s v="2025-08-31"/>
    <x v="1"/>
    <x v="0"/>
    <s v="Construction Additives"/>
    <s v="Eldoret Depot"/>
    <s v="Eldoret Depot"/>
    <s v="TRK-003"/>
    <s v="S. Chebet"/>
    <n v="1357"/>
    <n v="639.75"/>
    <n v="868140.75"/>
    <n v="280"/>
    <s v="2025-09-01"/>
    <s v="2025-09-01"/>
    <s v="On Time"/>
    <n v="11432.8"/>
    <n v="879573.55"/>
  </r>
  <r>
    <s v="2025-04-11"/>
    <x v="2"/>
    <x v="1"/>
    <s v="Industrial Cleaning Supplies"/>
    <s v="Nakuru Depot"/>
    <s v="Nakuru Depot"/>
    <s v="TRK-011"/>
    <s v="S. Chebet"/>
    <n v="1434"/>
    <n v="169.78"/>
    <n v="243464.52"/>
    <n v="414"/>
    <s v="2025-04-13"/>
    <s v="2025-04-13"/>
    <s v="On Time"/>
    <n v="17973.05"/>
    <n v="261437.56999999998"/>
  </r>
  <r>
    <s v="2025-03-25"/>
    <x v="7"/>
    <x v="1"/>
    <s v="Industrial Cleaning Supplies"/>
    <s v="Eldoret Depot"/>
    <s v="Eldoret Depot"/>
    <s v="TRK-018"/>
    <s v="K. Barasa"/>
    <n v="1158"/>
    <n v="415.86"/>
    <n v="481565.88"/>
    <n v="340"/>
    <s v="2025-03-26"/>
    <s v="2025-03-29"/>
    <s v="Late"/>
    <n v="13971.49"/>
    <n v="495537.37"/>
  </r>
  <r>
    <s v="2025-06-10"/>
    <x v="3"/>
    <x v="4"/>
    <s v="Maintenance Parts"/>
    <s v="Nakuru Depot"/>
    <s v="Nakuru Depot"/>
    <s v="TRK-015"/>
    <s v="L. Wekesa"/>
    <n v="912"/>
    <n v="109.2"/>
    <n v="99590.399999999994"/>
    <n v="453"/>
    <s v="2025-06-12"/>
    <s v="2025-06-15"/>
    <s v="Late"/>
    <n v="22776.71"/>
    <n v="122367.10999999999"/>
  </r>
  <r>
    <s v="2025-12-19"/>
    <x v="2"/>
    <x v="5"/>
    <s v="WATER TREATMENT CHEMICALS"/>
    <s v="Nakuru Depot"/>
    <s v="Nakuru Depot"/>
    <s v="TRK-013"/>
    <s v="M. Otieno"/>
    <n v="1618"/>
    <n v="196.56"/>
    <n v="318034.08"/>
    <n v="315"/>
    <s v="2025-12-20"/>
    <s v="2025-12-20"/>
    <s v="On Time"/>
    <n v="11800.4"/>
    <n v="329834.48000000004"/>
  </r>
  <r>
    <s v="2025-04-04"/>
    <x v="0"/>
    <x v="3"/>
    <s v="Packaging Materials"/>
    <s v="Nakuru Depot"/>
    <s v="Nakuru Depot"/>
    <s v="TRK-001"/>
    <s v="E. Achieng"/>
    <n v="2347"/>
    <n v="868.81"/>
    <n v="2039097.07"/>
    <n v="264"/>
    <s v="2025-04-05"/>
    <s v="2025-04-08"/>
    <s v="Late"/>
    <n v="10699.24"/>
    <n v="2049796.31"/>
  </r>
  <r>
    <s v="2025-06-19"/>
    <x v="4"/>
    <x v="2"/>
    <s v="Protective Coatings"/>
    <s v="Eldoret Depot"/>
    <s v="Eldoret Depot"/>
    <s v="TRK-016"/>
    <s v="K. Barasa"/>
    <n v="1102"/>
    <n v="350.25"/>
    <n v="385975.5"/>
    <n v="222"/>
    <s v="2025-06-20"/>
    <s v="2025-06-22"/>
    <s v="Late"/>
    <n v="8433.7800000000007"/>
    <n v="394409.28"/>
  </r>
  <r>
    <s v="2025-12-13"/>
    <x v="7"/>
    <x v="4"/>
    <s v="Maintenance Parts"/>
    <s v="Nairobi Depot"/>
    <s v="Nairobi Depot"/>
    <s v="TRK-011"/>
    <s v="E. Achieng"/>
    <n v="1231"/>
    <n v="254.76"/>
    <n v="313609.56"/>
    <n v="82"/>
    <s v="2025-12-14"/>
    <s v="2025-12-13"/>
    <s v="On Time"/>
    <n v="4429.6099999999997"/>
    <n v="318039.17"/>
  </r>
  <r>
    <s v="2025-09-20"/>
    <x v="3"/>
    <x v="5"/>
    <s v="WATER TREATMENT CHEMICALS"/>
    <s v="Nairobi Depot"/>
    <s v="Nairobi Depot"/>
    <s v="TRK-025"/>
    <s v="E. Achieng"/>
    <n v="1161"/>
    <n v="761.8"/>
    <n v="884449.8"/>
    <n v="145"/>
    <s v="2025-09-21"/>
    <s v="2025-09-20"/>
    <s v="On Time"/>
    <n v="5184.8900000000003"/>
    <n v="889634.69000000006"/>
  </r>
  <r>
    <s v="2025-10-25"/>
    <x v="6"/>
    <x v="4"/>
    <s v="Maintenance Parts"/>
    <s v="Mombasa Depot"/>
    <s v="Mombasa Depot"/>
    <s v="TRK-007"/>
    <s v="L. Wekesa"/>
    <n v="1180"/>
    <n v="234.2"/>
    <n v="276356"/>
    <n v="449"/>
    <s v="2025-10-27"/>
    <s v="2025-10-26"/>
    <s v="On Time"/>
    <n v="24530.22"/>
    <n v="300886.21999999997"/>
  </r>
  <r>
    <s v="2025-08-30"/>
    <x v="0"/>
    <x v="5"/>
    <s v="WATER TREATMENT CHEMICALS"/>
    <s v="Nairobi Depot"/>
    <s v="Nairobi Depot"/>
    <s v="TRK-018"/>
    <s v="P. Maina"/>
    <n v="565"/>
    <n v="606.24"/>
    <n v="342525.6"/>
    <n v="149"/>
    <s v="2025-08-31"/>
    <s v="2025-09-03"/>
    <s v="Late"/>
    <n v="6294.86"/>
    <n v="348820.45999999996"/>
  </r>
  <r>
    <s v="2025-10-04"/>
    <x v="3"/>
    <x v="4"/>
    <s v="Maintenance Parts"/>
    <s v="Nairobi Depot"/>
    <s v="Nairobi Depot"/>
    <s v="TRK-001"/>
    <s v="D. Said"/>
    <n v="1004"/>
    <n v="119.08"/>
    <n v="119556.32"/>
    <n v="717"/>
    <s v="2025-10-07"/>
    <s v="2025-10-08"/>
    <s v="Late"/>
    <n v="43845.25"/>
    <n v="163401.57"/>
  </r>
  <r>
    <s v="2025-04-09"/>
    <x v="4"/>
    <x v="5"/>
    <s v="WATER TREATMENT CHEMICALS"/>
    <s v="Mombasa Depot"/>
    <s v="Mombasa Depot"/>
    <s v="TRK-003"/>
    <s v="K. Barasa"/>
    <n v="869"/>
    <n v="806.62"/>
    <n v="700952.78"/>
    <n v="367"/>
    <s v="2025-04-11"/>
    <s v="2025-04-15"/>
    <s v="Late"/>
    <n v="22665.11"/>
    <n v="723617.89"/>
  </r>
  <r>
    <s v="2025-08-23"/>
    <x v="1"/>
    <x v="3"/>
    <s v="Packaging Materials"/>
    <s v="Mombasa Depot"/>
    <s v="Mombasa Depot"/>
    <s v="TRK-019"/>
    <s v="L. Wekesa"/>
    <n v="372"/>
    <n v="725.59"/>
    <n v="269919.48"/>
    <n v="237"/>
    <s v="2025-08-24"/>
    <s v="2025-08-24"/>
    <s v="On Time"/>
    <n v="0"/>
    <n v="269919.48"/>
  </r>
  <r>
    <s v="2025-10-26"/>
    <x v="7"/>
    <x v="0"/>
    <s v="Construction Additives"/>
    <s v="Eldoret Depot"/>
    <s v="Eldoret Depot"/>
    <s v="TRK-015"/>
    <s v="P. Maina"/>
    <n v="551"/>
    <n v="472.14"/>
    <n v="260149.14"/>
    <n v="609"/>
    <s v="2025-10-28"/>
    <s v="2025-10-30"/>
    <s v="Late"/>
    <n v="22776.240000000002"/>
    <n v="282925.38"/>
  </r>
  <r>
    <s v="2025-01-29"/>
    <x v="0"/>
    <x v="3"/>
    <s v="Packaging Materials"/>
    <s v="Mombasa Depot"/>
    <s v="Mombasa Depot"/>
    <s v="TRK-013"/>
    <s v="M. Otieno"/>
    <n v="1748"/>
    <n v="770.57"/>
    <n v="1346956.36"/>
    <n v="63"/>
    <s v="2025-01-30"/>
    <s v="2025-01-30"/>
    <s v="On Time"/>
    <n v="3643.96"/>
    <n v="1350600.32"/>
  </r>
  <r>
    <s v="2025-01-16"/>
    <x v="6"/>
    <x v="4"/>
    <s v="Maintenance Parts"/>
    <s v="Mombasa Depot"/>
    <s v="Mombasa Depot"/>
    <s v="TRK-025"/>
    <s v="B. Kiprono"/>
    <n v="2383"/>
    <n v="175.55"/>
    <n v="418335.65"/>
    <n v="112"/>
    <s v="2025-01-17"/>
    <s v="2025-01-18"/>
    <s v="Late"/>
    <n v="6056.42"/>
    <n v="424392.07"/>
  </r>
  <r>
    <s v="2025-11-18"/>
    <x v="6"/>
    <x v="4"/>
    <s v="Maintenance Parts"/>
    <s v="Mombasa Depot"/>
    <s v="Mombasa Depot"/>
    <s v="TRK-012"/>
    <s v="E. Achieng"/>
    <n v="1247"/>
    <n v="558.28"/>
    <n v="696175.16"/>
    <n v="709"/>
    <s v="2025-11-21"/>
    <s v="2025-11-24"/>
    <s v="Late"/>
    <n v="26918.86"/>
    <n v="723094.02"/>
  </r>
  <r>
    <s v="2025-08-11"/>
    <x v="3"/>
    <x v="3"/>
    <s v="Packaging Materials"/>
    <s v="Nakuru Depot"/>
    <s v="Nakuru Depot"/>
    <s v="TRK-020"/>
    <s v="M. Otieno"/>
    <n v="1514"/>
    <n v="202.57"/>
    <n v="306690.98"/>
    <n v="614"/>
    <s v="2025-08-13"/>
    <s v="2025-08-13"/>
    <s v="On Time"/>
    <n v="25631.59"/>
    <n v="332322.57"/>
  </r>
  <r>
    <s v="2025-06-14"/>
    <x v="7"/>
    <x v="0"/>
    <s v="Construction Additives"/>
    <s v="Eldoret Depot"/>
    <s v="Eldoret Depot"/>
    <s v="TRK-013"/>
    <s v="K. Barasa"/>
    <n v="1120"/>
    <n v="863.76"/>
    <n v="967411.19999999995"/>
    <n v="204"/>
    <s v="2025-06-15"/>
    <s v="2025-06-17"/>
    <s v="Late"/>
    <n v="9227.7900000000009"/>
    <n v="976638.99"/>
  </r>
  <r>
    <s v="2025-04-07"/>
    <x v="5"/>
    <x v="1"/>
    <s v="Industrial Cleaning Supplies"/>
    <s v="Nairobi Depot"/>
    <s v="Nairobi Depot"/>
    <s v="TRK-005"/>
    <s v="P. Maina"/>
    <n v="1097"/>
    <n v="333.09"/>
    <n v="365399.73"/>
    <n v="339"/>
    <s v="2025-04-08"/>
    <s v="2025-04-11"/>
    <s v="Late"/>
    <n v="20153.89"/>
    <n v="385553.62"/>
  </r>
  <r>
    <s v="2025-02-03"/>
    <x v="7"/>
    <x v="4"/>
    <s v="Maintenance Parts"/>
    <s v="Nairobi Depot"/>
    <s v="Nairobi Depot"/>
    <s v="TRK-010"/>
    <s v="S. Chebet"/>
    <n v="2208"/>
    <n v="431.28"/>
    <n v="952266.23999999999"/>
    <n v="305"/>
    <s v="2025-02-04"/>
    <s v="2025-02-08"/>
    <s v="Late"/>
    <n v="16662.259999999998"/>
    <n v="968928.5"/>
  </r>
  <r>
    <s v="2025-07-03"/>
    <x v="6"/>
    <x v="2"/>
    <s v="Protective Coatings"/>
    <s v="Nairobi Depot"/>
    <s v="Nairobi Depot"/>
    <s v="TRK-004"/>
    <s v="K. Barasa"/>
    <n v="1262"/>
    <n v="633.92999999999995"/>
    <n v="800019.66"/>
    <n v="657"/>
    <s v="2025-07-05"/>
    <s v="2025-07-08"/>
    <s v="Late"/>
    <n v="30679.37"/>
    <n v="830699.03"/>
  </r>
  <r>
    <s v="2025-10-13"/>
    <x v="6"/>
    <x v="2"/>
    <s v="Protective Coatings"/>
    <s v="Eldoret Depot"/>
    <s v="Eldoret Depot"/>
    <s v="TRK-018"/>
    <s v="E. Achieng"/>
    <n v="720"/>
    <n v="472.4"/>
    <n v="340128"/>
    <n v="261"/>
    <s v="2025-10-14"/>
    <s v="2025-10-15"/>
    <s v="Late"/>
    <n v="12461.58"/>
    <n v="352589.58"/>
  </r>
  <r>
    <s v="2025-07-26"/>
    <x v="3"/>
    <x v="3"/>
    <s v="Packaging Materials"/>
    <s v="Nairobi Depot"/>
    <s v="Nairobi Depot"/>
    <s v="TRK-024"/>
    <s v="S. Chebet"/>
    <n v="903"/>
    <n v="591.69000000000005"/>
    <n v="534296.06999999995"/>
    <n v="663"/>
    <s v="2025-07-28"/>
    <s v="2025-07-31"/>
    <s v="Late"/>
    <n v="29631.69"/>
    <n v="563927.75999999989"/>
  </r>
  <r>
    <s v="2025-08-17"/>
    <x v="2"/>
    <x v="0"/>
    <s v="Construction Additives"/>
    <s v="Nairobi Depot"/>
    <s v="Nairobi Depot"/>
    <s v="TRK-006"/>
    <s v="A. Hassan"/>
    <n v="1110"/>
    <n v="220.85"/>
    <n v="245143.5"/>
    <n v="285"/>
    <s v="2025-08-18"/>
    <s v="2025-08-22"/>
    <s v="Late"/>
    <n v="10372.120000000001"/>
    <n v="255515.62"/>
  </r>
  <r>
    <s v="2025-04-24"/>
    <x v="2"/>
    <x v="2"/>
    <s v="Protective Coatings"/>
    <s v="Nakuru Depot"/>
    <s v="Nakuru Depot"/>
    <s v="TRK-007"/>
    <s v="M. Otieno"/>
    <n v="2435"/>
    <n v="646.76"/>
    <n v="1574860.6"/>
    <n v="609"/>
    <s v="2025-04-26"/>
    <s v="2025-04-26"/>
    <s v="On Time"/>
    <n v="35714.559999999998"/>
    <n v="1610575.1600000001"/>
  </r>
  <r>
    <s v="2025-04-03"/>
    <x v="1"/>
    <x v="4"/>
    <s v="Maintenance Parts"/>
    <s v="Mombasa Depot"/>
    <s v="Mombasa Depot"/>
    <s v="TRK-028"/>
    <s v="E. Achieng"/>
    <n v="764"/>
    <n v="440.71"/>
    <n v="336702.44"/>
    <n v="376"/>
    <s v="2025-04-05"/>
    <s v="2025-04-07"/>
    <s v="Late"/>
    <n v="20805.560000000001"/>
    <n v="357508"/>
  </r>
  <r>
    <s v="2025-08-12"/>
    <x v="5"/>
    <x v="4"/>
    <s v="Maintenance Parts"/>
    <s v="Mombasa Depot"/>
    <s v="Mombasa Depot"/>
    <s v="TRK-010"/>
    <s v="M. Otieno"/>
    <n v="474"/>
    <n v="795.18"/>
    <n v="376915.32"/>
    <n v="381"/>
    <s v="2025-08-14"/>
    <s v="2025-08-18"/>
    <s v="Late"/>
    <n v="15409.27"/>
    <n v="392324.59"/>
  </r>
  <r>
    <s v="2025-06-02"/>
    <x v="7"/>
    <x v="5"/>
    <s v="WATER TREATMENT CHEMICALS"/>
    <s v="Nairobi Depot"/>
    <s v="Nairobi Depot"/>
    <s v="TRK-024"/>
    <s v="B. Kiprono"/>
    <n v="384"/>
    <n v="580.25"/>
    <n v="222816"/>
    <n v="709"/>
    <s v="2025-06-05"/>
    <s v="2025-06-06"/>
    <s v="Late"/>
    <n v="39344.25"/>
    <n v="262160.25"/>
  </r>
  <r>
    <s v="2025-06-17"/>
    <x v="5"/>
    <x v="3"/>
    <s v="Packaging Materials"/>
    <s v="Nakuru Depot"/>
    <s v="Nakuru Depot"/>
    <s v="TRK-005"/>
    <s v="L. Wekesa"/>
    <n v="1994"/>
    <n v="177.96"/>
    <n v="354852.24"/>
    <n v="30"/>
    <s v="2025-06-18"/>
    <s v="2025-06-18"/>
    <s v="On Time"/>
    <n v="1218.22"/>
    <n v="356070.45999999996"/>
  </r>
  <r>
    <s v="2025-02-08"/>
    <x v="3"/>
    <x v="3"/>
    <s v="Packaging Materials"/>
    <s v="Mombasa Depot"/>
    <s v="Mombasa Depot"/>
    <s v="TRK-029"/>
    <s v="L. Wekesa"/>
    <n v="55"/>
    <n v="493.56"/>
    <n v="27145.8"/>
    <n v="122"/>
    <s v="2025-02-09"/>
    <s v="2025-02-13"/>
    <s v="Late"/>
    <n v="4957.6400000000003"/>
    <n v="32103.439999999999"/>
  </r>
  <r>
    <s v="2025-06-16"/>
    <x v="4"/>
    <x v="0"/>
    <s v="Construction Additives"/>
    <s v="Eldoret Depot"/>
    <s v="Eldoret Depot"/>
    <s v="TRK-011"/>
    <s v="B. Kiprono"/>
    <n v="1640"/>
    <n v="226.12"/>
    <n v="370836.8"/>
    <n v="312"/>
    <s v="2025-06-17"/>
    <s v="2025-06-17"/>
    <s v="On Time"/>
    <n v="18895.73"/>
    <n v="389732.52999999997"/>
  </r>
  <r>
    <s v="2025-07-09"/>
    <x v="7"/>
    <x v="4"/>
    <s v="Maintenance Parts"/>
    <s v="Nairobi Depot"/>
    <s v="Nairobi Depot"/>
    <s v="TRK-019"/>
    <s v="B. Kiprono"/>
    <n v="1359"/>
    <n v="179.65"/>
    <n v="244144.35"/>
    <n v="82"/>
    <s v="2025-07-10"/>
    <s v="2025-07-14"/>
    <s v="Late"/>
    <n v="4399.66"/>
    <n v="248544.01"/>
  </r>
  <r>
    <s v="2025-02-13"/>
    <x v="4"/>
    <x v="3"/>
    <s v="Packaging Materials"/>
    <s v="Eldoret Depot"/>
    <s v="Eldoret Depot"/>
    <s v="TRK-006"/>
    <s v="K. Barasa"/>
    <n v="886"/>
    <n v="496.29"/>
    <n v="439712.94"/>
    <n v="504"/>
    <s v="2025-02-15"/>
    <s v="2025-02-14"/>
    <s v="On Time"/>
    <n v="17946.439999999999"/>
    <n v="457659.38"/>
  </r>
  <r>
    <s v="2025-04-14"/>
    <x v="4"/>
    <x v="1"/>
    <s v="Industrial Cleaning Supplies"/>
    <s v="Nairobi Depot"/>
    <s v="Nairobi Depot"/>
    <s v="TRK-023"/>
    <s v="P. Maina"/>
    <n v="330"/>
    <n v="382.72"/>
    <n v="126297.60000000001"/>
    <n v="106"/>
    <s v="2025-04-15"/>
    <s v="2025-04-15"/>
    <s v="On Time"/>
    <n v="4973.92"/>
    <n v="131271.52000000002"/>
  </r>
  <r>
    <s v="2025-04-26"/>
    <x v="7"/>
    <x v="3"/>
    <s v="Packaging Materials"/>
    <s v="Nairobi Depot"/>
    <s v="Nairobi Depot"/>
    <s v="TRK-022"/>
    <s v="S. Chebet"/>
    <n v="317"/>
    <n v="828.74"/>
    <n v="262710.58"/>
    <n v="382"/>
    <s v="2025-04-28"/>
    <s v="2025-04-29"/>
    <s v="Late"/>
    <n v="16610.63"/>
    <n v="279321.21000000002"/>
  </r>
  <r>
    <s v="2025-11-15"/>
    <x v="5"/>
    <x v="0"/>
    <s v="Construction Additives"/>
    <s v="Eldoret Depot"/>
    <s v="Eldoret Depot"/>
    <s v="TRK-012"/>
    <s v="J. Mutua"/>
    <n v="2143"/>
    <n v="536.64"/>
    <n v="1150019.52"/>
    <n v="542"/>
    <s v="2025-11-17"/>
    <s v="2025-11-20"/>
    <s v="Late"/>
    <n v="30864.54"/>
    <n v="1180884.06"/>
  </r>
  <r>
    <s v="2025-11-08"/>
    <x v="5"/>
    <x v="2"/>
    <s v="Protective Coatings"/>
    <s v="Mombasa Depot"/>
    <s v="Mombasa Depot"/>
    <s v="TRK-006"/>
    <s v="B. Kiprono"/>
    <n v="602"/>
    <n v="175.92"/>
    <n v="105903.84"/>
    <n v="191"/>
    <s v="2025-11-09"/>
    <s v="2025-11-11"/>
    <s v="Late"/>
    <n v="10607.55"/>
    <n v="116511.39"/>
  </r>
  <r>
    <s v="2025-02-11"/>
    <x v="3"/>
    <x v="3"/>
    <s v="Packaging Materials"/>
    <s v="Nairobi Depot"/>
    <s v="Nairobi Depot"/>
    <s v="TRK-029"/>
    <s v="E. Achieng"/>
    <n v="773"/>
    <n v="288.38"/>
    <n v="222917.74"/>
    <n v="665"/>
    <s v="2025-02-13"/>
    <s v="2025-02-15"/>
    <s v="Late"/>
    <n v="36682.550000000003"/>
    <n v="259600.28999999998"/>
  </r>
  <r>
    <s v="2025-09-27"/>
    <x v="2"/>
    <x v="3"/>
    <s v="Packaging Materials"/>
    <s v="Mombasa Depot"/>
    <s v="Mombasa Depot"/>
    <s v="TRK-024"/>
    <s v="M. Otieno"/>
    <n v="1206"/>
    <n v="663.85"/>
    <n v="800603.1"/>
    <n v="585"/>
    <s v="2025-09-29"/>
    <s v="2025-09-29"/>
    <s v="On Time"/>
    <n v="32145.03"/>
    <n v="832748.13"/>
  </r>
  <r>
    <s v="2025-05-02"/>
    <x v="6"/>
    <x v="2"/>
    <s v="Protective Coatings"/>
    <s v="Mombasa Depot"/>
    <s v="Mombasa Depot"/>
    <s v="TRK-027"/>
    <s v="B. Kiprono"/>
    <n v="1802"/>
    <n v="272.95"/>
    <n v="491855.9"/>
    <n v="44"/>
    <s v="2025-05-03"/>
    <s v="2025-05-03"/>
    <s v="On Time"/>
    <n v="2414.34"/>
    <n v="494270.24000000005"/>
  </r>
  <r>
    <s v="2025-08-14"/>
    <x v="0"/>
    <x v="2"/>
    <s v="Protective Coatings"/>
    <s v="Nairobi Depot"/>
    <s v="Nairobi Depot"/>
    <s v="TRK-030"/>
    <s v="K. Barasa"/>
    <n v="2388"/>
    <n v="785.64"/>
    <n v="1876108.32"/>
    <n v="578"/>
    <s v="2025-08-16"/>
    <s v="2025-08-20"/>
    <s v="Late"/>
    <n v="29101.03"/>
    <n v="1905209.35"/>
  </r>
  <r>
    <s v="2025-07-30"/>
    <x v="7"/>
    <x v="2"/>
    <s v="Protective Coatings"/>
    <s v="Eldoret Depot"/>
    <s v="Eldoret Depot"/>
    <s v="TRK-021"/>
    <s v="A. Hassan"/>
    <n v="331"/>
    <n v="83.84"/>
    <n v="27751.040000000001"/>
    <n v="652"/>
    <s v="2025-08-01"/>
    <s v="2025-08-01"/>
    <s v="On Time"/>
    <n v="28940.42"/>
    <n v="56691.46"/>
  </r>
  <r>
    <s v="2025-09-11"/>
    <x v="4"/>
    <x v="0"/>
    <s v="Construction Additives"/>
    <s v="Nairobi Depot"/>
    <s v="Nairobi Depot"/>
    <s v="TRK-029"/>
    <s v="B. Kiprono"/>
    <n v="1906"/>
    <n v="442.79"/>
    <n v="843957.74"/>
    <n v="713"/>
    <s v="2025-09-14"/>
    <s v="2025-09-18"/>
    <s v="Late"/>
    <n v="42059.59"/>
    <n v="886017.33"/>
  </r>
  <r>
    <s v="2025-11-28"/>
    <x v="7"/>
    <x v="1"/>
    <s v="Industrial Cleaning Supplies"/>
    <s v="Eldoret Depot"/>
    <s v="Eldoret Depot"/>
    <s v="TRK-017"/>
    <s v="E. Achieng"/>
    <n v="673"/>
    <n v="608.5"/>
    <n v="409520.5"/>
    <n v="338"/>
    <s v="2025-11-29"/>
    <s v="2025-11-29"/>
    <s v="On Time"/>
    <n v="17896.919999999998"/>
    <n v="427417.42"/>
  </r>
  <r>
    <s v="2025-05-02"/>
    <x v="3"/>
    <x v="0"/>
    <s v="Construction Additives"/>
    <s v="Nakuru Depot"/>
    <s v="Nakuru Depot"/>
    <s v="TRK-017"/>
    <s v="K. Barasa"/>
    <n v="2131"/>
    <n v="182.2"/>
    <n v="388268.2"/>
    <n v="244"/>
    <s v="2025-05-03"/>
    <s v="2025-05-03"/>
    <s v="On Time"/>
    <n v="11649.78"/>
    <n v="399917.98000000004"/>
  </r>
  <r>
    <s v="2025-03-09"/>
    <x v="2"/>
    <x v="2"/>
    <s v="Protective Coatings"/>
    <s v="Nairobi Depot"/>
    <s v="Nairobi Depot"/>
    <s v="TRK-025"/>
    <s v="E. Achieng"/>
    <n v="966"/>
    <n v="546.36"/>
    <n v="527783.76"/>
    <n v="489"/>
    <s v="2025-03-11"/>
    <s v="2025-03-12"/>
    <s v="Late"/>
    <n v="28700.14"/>
    <n v="556483.9"/>
  </r>
  <r>
    <s v="2025-12-02"/>
    <x v="1"/>
    <x v="0"/>
    <s v="Construction Additives"/>
    <s v="Nairobi Depot"/>
    <s v="Nairobi Depot"/>
    <s v="TRK-006"/>
    <s v="B. Kiprono"/>
    <n v="1944"/>
    <n v="79.83"/>
    <n v="155189.51999999999"/>
    <n v="648"/>
    <s v="2025-12-04"/>
    <s v="2025-12-05"/>
    <s v="Late"/>
    <n v="32746.39"/>
    <n v="187935.90999999997"/>
  </r>
  <r>
    <s v="2025-10-05"/>
    <x v="1"/>
    <x v="4"/>
    <s v="Maintenance Parts"/>
    <s v="Eldoret Depot"/>
    <s v="Eldoret Depot"/>
    <s v="TRK-012"/>
    <s v="K. Barasa"/>
    <n v="1977"/>
    <n v="171.92"/>
    <n v="339885.84"/>
    <n v="564"/>
    <s v="2025-10-07"/>
    <s v="2025-10-07"/>
    <s v="On Time"/>
    <n v="26888.71"/>
    <n v="366774.55000000005"/>
  </r>
  <r>
    <s v="2025-08-21"/>
    <x v="2"/>
    <x v="0"/>
    <s v="Construction Additives"/>
    <s v="Nairobi Depot"/>
    <s v="Nairobi Depot"/>
    <s v="TRK-003"/>
    <s v="J. Mutua"/>
    <n v="1843"/>
    <n v="601.80999999999995"/>
    <n v="1109135.83"/>
    <n v="548"/>
    <s v="2025-08-23"/>
    <s v="2025-08-27"/>
    <s v="Late"/>
    <n v="25818.53"/>
    <n v="1134954.3600000001"/>
  </r>
  <r>
    <s v="2025-05-11"/>
    <x v="4"/>
    <x v="1"/>
    <s v="Industrial Cleaning Supplies"/>
    <s v="Mombasa Depot"/>
    <s v="Mombasa Depot"/>
    <s v="TRK-022"/>
    <s v="L. Wekesa"/>
    <n v="158"/>
    <n v="232.75"/>
    <n v="36774.5"/>
    <n v="85"/>
    <s v="2025-05-12"/>
    <s v="2025-05-12"/>
    <s v="On Time"/>
    <n v="3035.58"/>
    <n v="39810.080000000002"/>
  </r>
  <r>
    <s v="2025-01-05"/>
    <x v="4"/>
    <x v="0"/>
    <s v="Construction Additives"/>
    <s v="Eldoret Depot"/>
    <s v="Eldoret Depot"/>
    <s v="TRK-030"/>
    <s v="D. Said"/>
    <n v="1307"/>
    <n v="116.48"/>
    <n v="152239.35999999999"/>
    <n v="220"/>
    <s v="2025-01-06"/>
    <s v="2025-01-08"/>
    <s v="Late"/>
    <n v="8000.96"/>
    <n v="160240.31999999998"/>
  </r>
  <r>
    <s v="2025-07-02"/>
    <x v="6"/>
    <x v="5"/>
    <s v="WATER TREATMENT CHEMICALS"/>
    <s v="Nakuru Depot"/>
    <s v="Nakuru Depot"/>
    <s v="TRK-004"/>
    <s v="E. Achieng"/>
    <n v="1149"/>
    <n v="191.75"/>
    <n v="220320.75"/>
    <n v="342"/>
    <s v="2025-07-03"/>
    <s v="2025-07-04"/>
    <s v="Late"/>
    <n v="18829.63"/>
    <n v="239150.38"/>
  </r>
  <r>
    <s v="2025-04-10"/>
    <x v="7"/>
    <x v="4"/>
    <s v="Maintenance Parts"/>
    <s v="Nakuru Depot"/>
    <s v="Nakuru Depot"/>
    <s v="TRK-019"/>
    <s v="E. Achieng"/>
    <n v="2237"/>
    <n v="255.91"/>
    <n v="572470.67000000004"/>
    <n v="124"/>
    <s v="2025-04-11"/>
    <s v="2025-04-11"/>
    <s v="On Time"/>
    <n v="7171.69"/>
    <n v="579642.36"/>
  </r>
  <r>
    <s v="2025-12-18"/>
    <x v="1"/>
    <x v="0"/>
    <s v="Construction Additives"/>
    <s v="Eldoret Depot"/>
    <s v="Eldoret Depot"/>
    <s v="TRK-012"/>
    <s v="B. Kiprono"/>
    <n v="137"/>
    <n v="523.38"/>
    <n v="71703.06"/>
    <n v="45"/>
    <s v="2025-12-19"/>
    <s v="2025-12-22"/>
    <s v="Late"/>
    <n v="1866.95"/>
    <n v="73570.009999999995"/>
  </r>
  <r>
    <s v="2025-01-31"/>
    <x v="3"/>
    <x v="2"/>
    <s v="Protective Coatings"/>
    <s v="Nakuru Depot"/>
    <s v="Nakuru Depot"/>
    <s v="TRK-013"/>
    <s v="L. Wekesa"/>
    <n v="2108"/>
    <n v="112.16"/>
    <n v="236433.28"/>
    <n v="581"/>
    <s v="2025-02-02"/>
    <s v="2025-02-05"/>
    <s v="Late"/>
    <n v="22603.11"/>
    <n v="259036.39"/>
  </r>
  <r>
    <s v="2025-08-02"/>
    <x v="0"/>
    <x v="3"/>
    <s v="Packaging Materials"/>
    <s v="Nakuru Depot"/>
    <s v="Nakuru Depot"/>
    <s v="TRK-016"/>
    <s v="D. Said"/>
    <n v="2195"/>
    <n v="241.42"/>
    <n v="529916.9"/>
    <n v="105"/>
    <s v="2025-08-03"/>
    <s v="2025-08-02"/>
    <s v="On Time"/>
    <n v="6352.12"/>
    <n v="536269.02"/>
  </r>
  <r>
    <s v="2025-08-07"/>
    <x v="6"/>
    <x v="2"/>
    <s v="Protective Coatings"/>
    <s v="Nairobi Depot"/>
    <s v="Nairobi Depot"/>
    <s v="TRK-015"/>
    <s v="A. Hassan"/>
    <n v="1123"/>
    <n v="635.23"/>
    <n v="713363.29"/>
    <n v="521"/>
    <s v="2025-08-09"/>
    <s v="2025-08-10"/>
    <s v="Late"/>
    <n v="30871.98"/>
    <n v="744235.27"/>
  </r>
  <r>
    <s v="2025-04-18"/>
    <x v="2"/>
    <x v="5"/>
    <s v="WATER TREATMENT CHEMICALS"/>
    <s v="Nakuru Depot"/>
    <s v="Nakuru Depot"/>
    <s v="TRK-007"/>
    <s v="A. Hassan"/>
    <n v="1764"/>
    <n v="500.27"/>
    <n v="882476.28"/>
    <n v="648"/>
    <s v="2025-04-20"/>
    <s v="2025-04-20"/>
    <s v="On Time"/>
    <n v="33610.870000000003"/>
    <n v="916087.15"/>
  </r>
  <r>
    <s v="2025-03-14"/>
    <x v="1"/>
    <x v="1"/>
    <s v="Industrial Cleaning Supplies"/>
    <s v="Nakuru Depot"/>
    <s v="Nakuru Depot"/>
    <s v="TRK-020"/>
    <s v="M. Otieno"/>
    <n v="1137"/>
    <n v="692.76"/>
    <n v="787668.12"/>
    <n v="307"/>
    <s v="2025-03-15"/>
    <s v="2025-03-18"/>
    <s v="Late"/>
    <n v="15732.98"/>
    <n v="803401.1"/>
  </r>
  <r>
    <s v="2025-08-11"/>
    <x v="2"/>
    <x v="0"/>
    <s v="Construction Additives"/>
    <s v="Nakuru Depot"/>
    <s v="Nakuru Depot"/>
    <s v="TRK-024"/>
    <s v="M. Otieno"/>
    <n v="1886"/>
    <n v="197.23"/>
    <n v="371975.78"/>
    <n v="257"/>
    <s v="2025-08-12"/>
    <s v="2025-08-11"/>
    <s v="On Time"/>
    <n v="15703.19"/>
    <n v="387678.97000000003"/>
  </r>
  <r>
    <s v="2025-11-07"/>
    <x v="5"/>
    <x v="4"/>
    <s v="Maintenance Parts"/>
    <s v="Eldoret Depot"/>
    <s v="Eldoret Depot"/>
    <s v="TRK-016"/>
    <s v="L. Wekesa"/>
    <n v="2167"/>
    <n v="484.21"/>
    <n v="1049283.07"/>
    <n v="490"/>
    <s v="2025-11-09"/>
    <s v="2025-11-09"/>
    <s v="On Time"/>
    <n v="27778.31"/>
    <n v="1077061.3800000001"/>
  </r>
  <r>
    <s v="2025-12-27"/>
    <x v="1"/>
    <x v="4"/>
    <s v="Maintenance Parts"/>
    <s v="Eldoret Depot"/>
    <s v="Eldoret Depot"/>
    <s v="TRK-001"/>
    <s v="L. Wekesa"/>
    <n v="2499"/>
    <n v="343.47"/>
    <n v="858331.53"/>
    <n v="565"/>
    <s v="2025-12-29"/>
    <s v="2025-12-28"/>
    <s v="On Time"/>
    <n v="25786.17"/>
    <n v="884117.70000000007"/>
  </r>
  <r>
    <s v="2025-07-20"/>
    <x v="6"/>
    <x v="1"/>
    <s v="Industrial Cleaning Supplies"/>
    <s v="Nairobi Depot"/>
    <s v="Nairobi Depot"/>
    <s v="TRK-005"/>
    <s v="E. Achieng"/>
    <n v="92"/>
    <n v="142.81"/>
    <n v="13138.52"/>
    <n v="718"/>
    <s v="2025-07-23"/>
    <s v="2025-07-25"/>
    <s v="Late"/>
    <n v="27177.25"/>
    <n v="40315.770000000004"/>
  </r>
  <r>
    <s v="2025-08-11"/>
    <x v="6"/>
    <x v="2"/>
    <s v="Protective Coatings"/>
    <s v="Nairobi Depot"/>
    <s v="Nairobi Depot"/>
    <s v="TRK-002"/>
    <s v="A. Hassan"/>
    <n v="2172"/>
    <n v="234.05"/>
    <n v="508356.6"/>
    <n v="399"/>
    <s v="2025-08-13"/>
    <s v="2025-08-15"/>
    <s v="Late"/>
    <n v="16729.53"/>
    <n v="525086.13"/>
  </r>
  <r>
    <s v="2025-06-04"/>
    <x v="7"/>
    <x v="1"/>
    <s v="Industrial Cleaning Supplies"/>
    <s v="Eldoret Depot"/>
    <s v="Eldoret Depot"/>
    <s v="TRK-020"/>
    <s v="B. Kiprono"/>
    <n v="1298"/>
    <n v="140.43"/>
    <n v="182278.14"/>
    <n v="143"/>
    <s v="2025-06-05"/>
    <s v="2025-06-05"/>
    <s v="On Time"/>
    <n v="8293.2199999999993"/>
    <n v="190571.36000000002"/>
  </r>
  <r>
    <s v="2025-12-10"/>
    <x v="6"/>
    <x v="4"/>
    <s v="Maintenance Parts"/>
    <s v="Nakuru Depot"/>
    <s v="Nakuru Depot"/>
    <s v="TRK-003"/>
    <s v="L. Wekesa"/>
    <n v="650"/>
    <n v="273.26"/>
    <n v="177619"/>
    <n v="425"/>
    <s v="2025-12-12"/>
    <s v="2025-12-11"/>
    <s v="On Time"/>
    <n v="19785.310000000001"/>
    <n v="197404.31"/>
  </r>
  <r>
    <s v="2025-08-14"/>
    <x v="5"/>
    <x v="2"/>
    <s v="Protective Coatings"/>
    <s v="Eldoret Depot"/>
    <s v="Eldoret Depot"/>
    <s v="TRK-028"/>
    <s v="D. Said"/>
    <n v="80"/>
    <n v="822.87"/>
    <n v="65829.600000000006"/>
    <n v="712"/>
    <s v="2025-08-17"/>
    <s v="2025-08-17"/>
    <s v="On Time"/>
    <n v="38375.769999999997"/>
    <n v="104205.37"/>
  </r>
  <r>
    <s v="2025-08-30"/>
    <x v="1"/>
    <x v="1"/>
    <s v="Industrial Cleaning Supplies"/>
    <s v="Eldoret Depot"/>
    <s v="Eldoret Depot"/>
    <s v="TRK-020"/>
    <s v="A. Hassan"/>
    <n v="1709"/>
    <n v="96.7"/>
    <n v="165260.29999999999"/>
    <n v="456"/>
    <s v="2025-09-01"/>
    <s v="2025-09-04"/>
    <s v="Late"/>
    <n v="19197"/>
    <n v="184457.3"/>
  </r>
  <r>
    <s v="2025-06-28"/>
    <x v="1"/>
    <x v="2"/>
    <s v="Protective Coatings"/>
    <s v="Nakuru Depot"/>
    <s v="Nakuru Depot"/>
    <s v="TRK-006"/>
    <s v="S. Chebet"/>
    <n v="349"/>
    <n v="645.59"/>
    <n v="225310.91"/>
    <n v="245"/>
    <s v="2025-06-29"/>
    <s v="2025-06-28"/>
    <s v="On Time"/>
    <n v="13987.75"/>
    <n v="239298.66"/>
  </r>
  <r>
    <s v="2025-08-05"/>
    <x v="5"/>
    <x v="2"/>
    <s v="Protective Coatings"/>
    <s v="Mombasa Depot"/>
    <s v="Mombasa Depot"/>
    <s v="TRK-008"/>
    <s v="P. Maina"/>
    <n v="555"/>
    <n v="334.87"/>
    <n v="185852.85"/>
    <n v="533"/>
    <s v="2025-08-07"/>
    <s v="2025-08-06"/>
    <s v="On Time"/>
    <n v="19024.900000000001"/>
    <n v="204877.75"/>
  </r>
  <r>
    <s v="2025-12-09"/>
    <x v="0"/>
    <x v="1"/>
    <s v="Industrial Cleaning Supplies"/>
    <s v="Mombasa Depot"/>
    <s v="Mombasa Depot"/>
    <s v="TRK-001"/>
    <s v="L. Wekesa"/>
    <n v="2296"/>
    <n v="311.23"/>
    <n v="714584.08"/>
    <n v="538"/>
    <s v="2025-12-11"/>
    <s v="2025-12-13"/>
    <s v="Late"/>
    <n v="26457.53"/>
    <n v="741041.61"/>
  </r>
  <r>
    <s v="2025-04-17"/>
    <x v="0"/>
    <x v="1"/>
    <s v="Industrial Cleaning Supplies"/>
    <s v="Mombasa Depot"/>
    <s v="Mombasa Depot"/>
    <s v="TRK-006"/>
    <s v="D. Said"/>
    <n v="1326"/>
    <n v="367.26"/>
    <n v="486986.76"/>
    <n v="108"/>
    <s v="2025-04-18"/>
    <s v="2025-04-21"/>
    <s v="Late"/>
    <n v="5017.04"/>
    <n v="492003.8"/>
  </r>
  <r>
    <s v="2025-06-02"/>
    <x v="6"/>
    <x v="2"/>
    <s v="Protective Coatings"/>
    <s v="Mombasa Depot"/>
    <s v="Mombasa Depot"/>
    <s v="TRK-003"/>
    <s v="D. Said"/>
    <n v="864"/>
    <n v="800.42"/>
    <n v="691562.88"/>
    <n v="245"/>
    <s v="2025-06-03"/>
    <s v="2025-06-03"/>
    <s v="On Time"/>
    <n v="13308.89"/>
    <n v="704871.77"/>
  </r>
  <r>
    <s v="2025-10-16"/>
    <x v="1"/>
    <x v="2"/>
    <s v="Protective Coatings"/>
    <s v="Mombasa Depot"/>
    <s v="Mombasa Depot"/>
    <s v="TRK-029"/>
    <s v="P. Maina"/>
    <n v="2026"/>
    <n v="452.83"/>
    <n v="917433.58"/>
    <n v="68"/>
    <s v="2025-10-17"/>
    <s v="2025-10-17"/>
    <s v="On Time"/>
    <n v="2968.77"/>
    <n v="920402.35"/>
  </r>
  <r>
    <s v="2025-08-22"/>
    <x v="0"/>
    <x v="3"/>
    <s v="Packaging Materials"/>
    <s v="Mombasa Depot"/>
    <s v="Mombasa Depot"/>
    <s v="TRK-023"/>
    <s v="E. Achieng"/>
    <n v="1300"/>
    <n v="417"/>
    <n v="542100"/>
    <n v="467"/>
    <s v="2025-08-24"/>
    <s v="2025-08-24"/>
    <s v="On Time"/>
    <n v="27588.47"/>
    <n v="569688.47"/>
  </r>
  <r>
    <s v="2025-08-25"/>
    <x v="0"/>
    <x v="1"/>
    <s v="Industrial Cleaning Supplies"/>
    <s v="Eldoret Depot"/>
    <s v="Eldoret Depot"/>
    <s v="TRK-026"/>
    <s v="P. Maina"/>
    <n v="138"/>
    <n v="436.02"/>
    <n v="60170.76"/>
    <n v="428"/>
    <s v="2025-08-27"/>
    <s v="2025-08-28"/>
    <s v="Late"/>
    <n v="24507.74"/>
    <n v="84678.5"/>
  </r>
  <r>
    <s v="2025-07-18"/>
    <x v="4"/>
    <x v="2"/>
    <s v="Protective Coatings"/>
    <s v="Mombasa Depot"/>
    <s v="Mombasa Depot"/>
    <s v="TRK-014"/>
    <s v="A. Hassan"/>
    <n v="595"/>
    <n v="346.65"/>
    <n v="206256.75"/>
    <n v="34"/>
    <s v="2025-07-19"/>
    <s v="2025-07-20"/>
    <s v="Late"/>
    <n v="1626.5"/>
    <n v="207883.25"/>
  </r>
  <r>
    <s v="2025-08-03"/>
    <x v="7"/>
    <x v="0"/>
    <s v="Construction Additives"/>
    <s v="Nairobi Depot"/>
    <s v="Nairobi Depot"/>
    <s v="TRK-030"/>
    <s v="M. Otieno"/>
    <n v="1155"/>
    <n v="95.27"/>
    <n v="110036.85"/>
    <n v="150"/>
    <s v="2025-08-04"/>
    <s v="2025-08-04"/>
    <s v="On Time"/>
    <n v="6381.73"/>
    <n v="116418.58"/>
  </r>
  <r>
    <s v="2025-09-23"/>
    <x v="7"/>
    <x v="2"/>
    <s v="Protective Coatings"/>
    <s v="Eldoret Depot"/>
    <s v="Eldoret Depot"/>
    <s v="TRK-009"/>
    <s v="L. Wekesa"/>
    <n v="890"/>
    <n v="150.30000000000001"/>
    <n v="133767"/>
    <n v="364"/>
    <s v="2025-09-25"/>
    <s v="2025-09-25"/>
    <s v="On Time"/>
    <n v="18862.900000000001"/>
    <n v="152629.9"/>
  </r>
  <r>
    <s v="2025-06-25"/>
    <x v="6"/>
    <x v="4"/>
    <s v="Maintenance Parts"/>
    <s v="Mombasa Depot"/>
    <s v="Mombasa Depot"/>
    <s v="TRK-019"/>
    <s v="E. Achieng"/>
    <n v="2450"/>
    <n v="149.65"/>
    <n v="366642.5"/>
    <n v="256"/>
    <s v="2025-06-26"/>
    <s v="2025-06-26"/>
    <s v="On Time"/>
    <n v="12634.28"/>
    <n v="379276.78"/>
  </r>
  <r>
    <s v="2025-08-02"/>
    <x v="3"/>
    <x v="2"/>
    <s v="Protective Coatings"/>
    <s v="Mombasa Depot"/>
    <s v="Mombasa Depot"/>
    <s v="TRK-013"/>
    <s v="L. Wekesa"/>
    <n v="1535"/>
    <n v="179.53"/>
    <n v="275578.55"/>
    <n v="122"/>
    <s v="2025-08-03"/>
    <s v="2025-08-03"/>
    <s v="On Time"/>
    <n v="6346.32"/>
    <n v="281924.87"/>
  </r>
  <r>
    <s v="2025-01-15"/>
    <x v="4"/>
    <x v="0"/>
    <s v="Construction Additives"/>
    <s v="Nakuru Depot"/>
    <s v="Nakuru Depot"/>
    <s v="TRK-004"/>
    <s v="A. Hassan"/>
    <n v="1586"/>
    <n v="762.49"/>
    <n v="1209309.1399999999"/>
    <n v="455"/>
    <s v="2025-01-17"/>
    <s v="2025-01-19"/>
    <s v="Late"/>
    <n v="21446.58"/>
    <n v="1230755.72"/>
  </r>
  <r>
    <s v="2025-11-03"/>
    <x v="0"/>
    <x v="4"/>
    <s v="Maintenance Parts"/>
    <s v="Nakuru Depot"/>
    <s v="Nakuru Depot"/>
    <s v="TRK-009"/>
    <s v="E. Achieng"/>
    <n v="1014"/>
    <n v="369.07"/>
    <n v="374236.98"/>
    <n v="291"/>
    <s v="2025-11-04"/>
    <s v="2025-11-04"/>
    <s v="On Time"/>
    <n v="13244.87"/>
    <n v="387481.85"/>
  </r>
  <r>
    <s v="2025-04-27"/>
    <x v="0"/>
    <x v="2"/>
    <s v="Protective Coatings"/>
    <s v="Nakuru Depot"/>
    <s v="Nakuru Depot"/>
    <s v="TRK-020"/>
    <s v="J. Mutua"/>
    <n v="134"/>
    <n v="280.24"/>
    <n v="37552.160000000003"/>
    <n v="116"/>
    <s v="2025-04-28"/>
    <s v="2025-05-01"/>
    <s v="Late"/>
    <n v="5759.7"/>
    <n v="43311.86"/>
  </r>
  <r>
    <s v="2025-10-05"/>
    <x v="0"/>
    <x v="1"/>
    <s v="Industrial Cleaning Supplies"/>
    <s v="Eldoret Depot"/>
    <s v="Eldoret Depot"/>
    <s v="TRK-018"/>
    <s v="E. Achieng"/>
    <n v="2143"/>
    <n v="725.64"/>
    <n v="1555046.52"/>
    <n v="340"/>
    <s v="2025-10-06"/>
    <s v="2025-10-05"/>
    <s v="On Time"/>
    <n v="17378.97"/>
    <n v="1572425.49"/>
  </r>
  <r>
    <s v="2025-03-21"/>
    <x v="5"/>
    <x v="1"/>
    <s v="Industrial Cleaning Supplies"/>
    <s v="Nakuru Depot"/>
    <s v="Nakuru Depot"/>
    <s v="TRK-018"/>
    <s v="E. Achieng"/>
    <n v="1992"/>
    <n v="328.77"/>
    <n v="654909.84"/>
    <n v="219"/>
    <s v="2025-03-22"/>
    <s v="2025-03-21"/>
    <s v="On Time"/>
    <n v="7715.03"/>
    <n v="662624.87"/>
  </r>
  <r>
    <s v="2025-12-17"/>
    <x v="5"/>
    <x v="3"/>
    <s v="Packaging Materials"/>
    <s v="Nakuru Depot"/>
    <s v="Nakuru Depot"/>
    <s v="TRK-019"/>
    <s v="S. Chebet"/>
    <n v="282"/>
    <n v="129.13999999999999"/>
    <n v="36417.480000000003"/>
    <n v="273"/>
    <s v="2025-12-18"/>
    <s v="2025-12-18"/>
    <s v="On Time"/>
    <n v="14655.15"/>
    <n v="51072.630000000005"/>
  </r>
  <r>
    <s v="2025-03-10"/>
    <x v="0"/>
    <x v="4"/>
    <s v="Maintenance Parts"/>
    <s v="Nairobi Depot"/>
    <s v="Nairobi Depot"/>
    <s v="TRK-028"/>
    <s v="M. Otieno"/>
    <n v="91"/>
    <n v="276.69"/>
    <n v="25178.79"/>
    <n v="35"/>
    <s v="2025-03-11"/>
    <s v="2025-03-11"/>
    <s v="On Time"/>
    <n v="1302"/>
    <n v="26480.79"/>
  </r>
  <r>
    <s v="2025-05-13"/>
    <x v="2"/>
    <x v="0"/>
    <s v="Construction Additives"/>
    <s v="Nairobi Depot"/>
    <s v="Nairobi Depot"/>
    <s v="TRK-004"/>
    <s v="L. Wekesa"/>
    <n v="2007"/>
    <n v="801.82"/>
    <n v="1609252.74"/>
    <n v="215"/>
    <s v="2025-05-14"/>
    <s v="2025-05-13"/>
    <s v="On Time"/>
    <n v="10956.24"/>
    <n v="1620208.98"/>
  </r>
  <r>
    <s v="2025-08-05"/>
    <x v="0"/>
    <x v="3"/>
    <s v="Packaging Materials"/>
    <s v="Mombasa Depot"/>
    <s v="Mombasa Depot"/>
    <s v="TRK-006"/>
    <s v="P. Maina"/>
    <n v="2280"/>
    <n v="624.59"/>
    <n v="1424065.2"/>
    <n v="480"/>
    <s v="2025-08-07"/>
    <s v="2025-08-10"/>
    <s v="Late"/>
    <n v="22966.76"/>
    <n v="1447031.96"/>
  </r>
  <r>
    <s v="2025-06-27"/>
    <x v="6"/>
    <x v="5"/>
    <s v="WATER TREATMENT CHEMICALS"/>
    <s v="Nairobi Depot"/>
    <s v="Nairobi Depot"/>
    <s v="TRK-016"/>
    <s v="B. Kiprono"/>
    <n v="2059"/>
    <n v="380.08"/>
    <n v="782584.72"/>
    <n v="42"/>
    <s v="2025-06-28"/>
    <s v="2025-06-28"/>
    <s v="On Time"/>
    <n v="2578.04"/>
    <n v="785162.76"/>
  </r>
  <r>
    <s v="2025-01-20"/>
    <x v="0"/>
    <x v="5"/>
    <s v="WATER TREATMENT CHEMICALS"/>
    <s v="Mombasa Depot"/>
    <s v="Mombasa Depot"/>
    <s v="TRK-009"/>
    <s v="L. Wekesa"/>
    <n v="1315"/>
    <n v="374.32"/>
    <n v="492230.8"/>
    <n v="600"/>
    <s v="2025-01-22"/>
    <s v="2025-01-22"/>
    <s v="On Time"/>
    <n v="0"/>
    <n v="492230.8"/>
  </r>
  <r>
    <s v="2025-04-12"/>
    <x v="4"/>
    <x v="5"/>
    <s v="WATER TREATMENT CHEMICALS"/>
    <s v="Mombasa Depot"/>
    <s v="Mombasa Depot"/>
    <s v="TRK-024"/>
    <s v="P. Maina"/>
    <n v="983"/>
    <n v="373.44"/>
    <n v="367091.52"/>
    <n v="424"/>
    <s v="2025-04-14"/>
    <s v="2025-04-16"/>
    <s v="Late"/>
    <n v="20620.919999999998"/>
    <n v="387712.44"/>
  </r>
  <r>
    <s v="2025-02-04"/>
    <x v="0"/>
    <x v="2"/>
    <s v="Protective Coatings"/>
    <s v="Nakuru Depot"/>
    <s v="Nakuru Depot"/>
    <s v="TRK-023"/>
    <s v="B. Kiprono"/>
    <n v="1160"/>
    <n v="659.96"/>
    <n v="765553.6"/>
    <n v="518"/>
    <s v="2025-02-06"/>
    <s v="2025-02-06"/>
    <s v="On Time"/>
    <n v="22703.95"/>
    <n v="788257.54999999993"/>
  </r>
  <r>
    <s v="2025-01-28"/>
    <x v="6"/>
    <x v="1"/>
    <s v="Industrial Cleaning Supplies"/>
    <s v="Eldoret Depot"/>
    <s v="Eldoret Depot"/>
    <s v="TRK-015"/>
    <s v="K. Barasa"/>
    <n v="1800"/>
    <n v="542.44000000000005"/>
    <n v="976392"/>
    <n v="116"/>
    <s v="2025-01-29"/>
    <s v="2025-02-01"/>
    <s v="Late"/>
    <n v="4655.21"/>
    <n v="981047.21"/>
  </r>
  <r>
    <s v="2025-02-11"/>
    <x v="2"/>
    <x v="4"/>
    <s v="Maintenance Parts"/>
    <s v="Nakuru Depot"/>
    <s v="Nakuru Depot"/>
    <s v="TRK-007"/>
    <s v="K. Barasa"/>
    <n v="1412"/>
    <n v="180.18"/>
    <n v="254414.16"/>
    <n v="358"/>
    <s v="2025-02-13"/>
    <s v="2025-02-13"/>
    <s v="On Time"/>
    <n v="16199.13"/>
    <n v="270613.28999999998"/>
  </r>
  <r>
    <s v="2025-01-08"/>
    <x v="2"/>
    <x v="2"/>
    <s v="Protective Coatings"/>
    <s v="Nairobi Depot"/>
    <s v="Nairobi Depot"/>
    <s v="TRK-022"/>
    <s v="K. Barasa"/>
    <n v="2219"/>
    <n v="705.77"/>
    <n v="1566103.63"/>
    <n v="552"/>
    <s v="2025-01-10"/>
    <s v="2025-01-10"/>
    <s v="On Time"/>
    <n v="31065.439999999999"/>
    <n v="1597169.0699999998"/>
  </r>
  <r>
    <s v="2025-10-05"/>
    <x v="4"/>
    <x v="1"/>
    <s v="Industrial Cleaning Supplies"/>
    <s v="Mombasa Depot"/>
    <s v="Mombasa Depot"/>
    <s v="TRK-006"/>
    <s v="M. Otieno"/>
    <n v="461"/>
    <n v="289.35000000000002"/>
    <n v="133390.35"/>
    <n v="70"/>
    <s v="2025-10-06"/>
    <s v="2025-10-07"/>
    <s v="Late"/>
    <n v="2813.37"/>
    <n v="136203.72"/>
  </r>
  <r>
    <s v="2025-10-09"/>
    <x v="7"/>
    <x v="0"/>
    <s v="Construction Additives"/>
    <s v="Nakuru Depot"/>
    <s v="Nakuru Depot"/>
    <s v="TRK-022"/>
    <s v="P. Maina"/>
    <n v="1604"/>
    <n v="207.53"/>
    <n v="332878.12"/>
    <n v="102"/>
    <s v="2025-10-10"/>
    <s v="2025-10-12"/>
    <s v="Late"/>
    <n v="6148.99"/>
    <n v="339027.11"/>
  </r>
  <r>
    <s v="2025-04-28"/>
    <x v="0"/>
    <x v="2"/>
    <s v="Protective Coatings"/>
    <s v="Nairobi Depot"/>
    <s v="Nairobi Depot"/>
    <s v="TRK-017"/>
    <s v="K. Barasa"/>
    <n v="1250"/>
    <n v="73.56"/>
    <n v="91950"/>
    <n v="556"/>
    <s v="2025-04-30"/>
    <s v="2025-04-29"/>
    <s v="On Time"/>
    <n v="32388.97"/>
    <n v="124338.97"/>
  </r>
  <r>
    <s v="2025-09-23"/>
    <x v="3"/>
    <x v="5"/>
    <s v="WATER TREATMENT CHEMICALS"/>
    <s v="Nakuru Depot"/>
    <s v="Nakuru Depot"/>
    <s v="TRK-024"/>
    <s v="E. Achieng"/>
    <n v="1569"/>
    <n v="681.71"/>
    <n v="1069602.99"/>
    <n v="544"/>
    <s v="2025-09-25"/>
    <s v="2025-09-25"/>
    <s v="On Time"/>
    <n v="33342.550000000003"/>
    <n v="1102945.54"/>
  </r>
  <r>
    <s v="2025-04-09"/>
    <x v="4"/>
    <x v="3"/>
    <s v="Packaging Materials"/>
    <s v="Nakuru Depot"/>
    <s v="Nakuru Depot"/>
    <s v="TRK-008"/>
    <s v="B. Kiprono"/>
    <n v="1032"/>
    <n v="183.79"/>
    <n v="189671.28"/>
    <n v="199"/>
    <s v="2025-04-10"/>
    <s v="2025-04-14"/>
    <s v="Late"/>
    <n v="11778.1"/>
    <n v="201449.38"/>
  </r>
  <r>
    <s v="2025-09-23"/>
    <x v="2"/>
    <x v="0"/>
    <s v="Construction Additives"/>
    <s v="Eldoret Depot"/>
    <s v="Eldoret Depot"/>
    <s v="TRK-019"/>
    <s v="K. Barasa"/>
    <n v="1770"/>
    <n v="891.96"/>
    <n v="1578769.2"/>
    <n v="82"/>
    <s v="2025-09-24"/>
    <s v="2025-09-25"/>
    <s v="Late"/>
    <n v="3046.6"/>
    <n v="1581815.8"/>
  </r>
  <r>
    <s v="2025-08-08"/>
    <x v="7"/>
    <x v="1"/>
    <s v="Industrial Cleaning Supplies"/>
    <s v="Eldoret Depot"/>
    <s v="Eldoret Depot"/>
    <s v="TRK-017"/>
    <s v="M. Otieno"/>
    <n v="593"/>
    <n v="402"/>
    <n v="238386"/>
    <n v="424"/>
    <s v="2025-08-10"/>
    <s v="2025-08-14"/>
    <s v="Late"/>
    <n v="19086.47"/>
    <n v="257472.47"/>
  </r>
  <r>
    <s v="2025-07-30"/>
    <x v="3"/>
    <x v="2"/>
    <s v="Protective Coatings"/>
    <s v="Nakuru Depot"/>
    <s v="Nakuru Depot"/>
    <s v="TRK-011"/>
    <s v="M. Otieno"/>
    <n v="1788"/>
    <n v="393.64"/>
    <n v="703828.32"/>
    <n v="247"/>
    <s v="2025-07-31"/>
    <s v="2025-07-31"/>
    <s v="On Time"/>
    <n v="10832.95"/>
    <n v="714661.2699999999"/>
  </r>
  <r>
    <s v="2025-08-07"/>
    <x v="7"/>
    <x v="2"/>
    <s v="Protective Coatings"/>
    <s v="Nakuru Depot"/>
    <s v="Nakuru Depot"/>
    <s v="TRK-023"/>
    <s v="D. Said"/>
    <n v="577"/>
    <n v="141.06"/>
    <n v="81391.62"/>
    <n v="249"/>
    <s v="2025-08-08"/>
    <s v="2025-08-07"/>
    <s v="On Time"/>
    <n v="10898.34"/>
    <n v="92289.959999999992"/>
  </r>
  <r>
    <s v="2025-06-19"/>
    <x v="0"/>
    <x v="2"/>
    <s v="Protective Coatings"/>
    <s v="Eldoret Depot"/>
    <s v="Eldoret Depot"/>
    <s v="TRK-025"/>
    <s v="L. Wekesa"/>
    <n v="1345"/>
    <n v="348.11"/>
    <n v="468207.95"/>
    <n v="214"/>
    <s v="2025-06-20"/>
    <s v="2025-06-22"/>
    <s v="Late"/>
    <n v="10745.78"/>
    <n v="478953.73000000004"/>
  </r>
  <r>
    <s v="2025-07-11"/>
    <x v="4"/>
    <x v="0"/>
    <s v="Construction Additives"/>
    <s v="Eldoret Depot"/>
    <s v="Eldoret Depot"/>
    <s v="TRK-029"/>
    <s v="B. Kiprono"/>
    <n v="1719"/>
    <n v="530.01"/>
    <n v="911087.19"/>
    <n v="240"/>
    <s v="2025-07-12"/>
    <s v="2025-07-12"/>
    <s v="On Time"/>
    <n v="11640.44"/>
    <n v="922727.62999999989"/>
  </r>
  <r>
    <s v="2025-12-10"/>
    <x v="6"/>
    <x v="0"/>
    <s v="Construction Additives"/>
    <s v="Mombasa Depot"/>
    <s v="Mombasa Depot"/>
    <s v="TRK-009"/>
    <s v="M. Otieno"/>
    <n v="113"/>
    <n v="325.64999999999998"/>
    <n v="36798.449999999997"/>
    <n v="525"/>
    <s v="2025-12-12"/>
    <s v="2025-12-11"/>
    <s v="On Time"/>
    <n v="27619.63"/>
    <n v="64418.080000000002"/>
  </r>
  <r>
    <s v="2025-06-25"/>
    <x v="0"/>
    <x v="4"/>
    <s v="Maintenance Parts"/>
    <s v="Nairobi Depot"/>
    <s v="Nairobi Depot"/>
    <s v="TRK-022"/>
    <s v="L. Wekesa"/>
    <n v="1024"/>
    <n v="730.56"/>
    <n v="748093.43999999994"/>
    <n v="528"/>
    <s v="2025-06-27"/>
    <s v="2025-06-27"/>
    <s v="On Time"/>
    <n v="22248.25"/>
    <n v="770341.69"/>
  </r>
  <r>
    <s v="2025-10-18"/>
    <x v="4"/>
    <x v="0"/>
    <s v="Construction Additives"/>
    <s v="Nakuru Depot"/>
    <s v="Nakuru Depot"/>
    <s v="TRK-017"/>
    <s v="E. Achieng"/>
    <n v="1541"/>
    <n v="582.1"/>
    <n v="897016.1"/>
    <n v="210"/>
    <s v="2025-10-19"/>
    <s v="2025-10-18"/>
    <s v="On Time"/>
    <n v="8540.73"/>
    <n v="905556.83"/>
  </r>
  <r>
    <s v="2025-03-23"/>
    <x v="6"/>
    <x v="4"/>
    <s v="Maintenance Parts"/>
    <s v="Nakuru Depot"/>
    <s v="Nakuru Depot"/>
    <s v="TRK-008"/>
    <s v="J. Mutua"/>
    <n v="428"/>
    <n v="150.93"/>
    <n v="64598.04"/>
    <n v="602"/>
    <s v="2025-03-25"/>
    <s v="2025-03-26"/>
    <s v="Late"/>
    <n v="36470.239999999998"/>
    <n v="101068.28"/>
  </r>
  <r>
    <s v="2025-05-30"/>
    <x v="3"/>
    <x v="0"/>
    <s v="Construction Additives"/>
    <s v="Nakuru Depot"/>
    <s v="Nakuru Depot"/>
    <s v="TRK-003"/>
    <s v="E. Achieng"/>
    <n v="932"/>
    <n v="495.67"/>
    <n v="461964.44"/>
    <n v="520"/>
    <s v="2025-06-01"/>
    <s v="2025-06-01"/>
    <s v="On Time"/>
    <n v="29672.12"/>
    <n v="491636.56"/>
  </r>
  <r>
    <s v="2025-04-08"/>
    <x v="1"/>
    <x v="0"/>
    <s v="Construction Additives"/>
    <s v="Nakuru Depot"/>
    <s v="Nakuru Depot"/>
    <s v="TRK-012"/>
    <s v="L. Wekesa"/>
    <n v="1876"/>
    <n v="736.22"/>
    <n v="1381148.72"/>
    <n v="584"/>
    <s v="2025-04-10"/>
    <s v="2025-04-12"/>
    <s v="Late"/>
    <n v="29944.71"/>
    <n v="1411093.43"/>
  </r>
  <r>
    <s v="2025-07-29"/>
    <x v="7"/>
    <x v="1"/>
    <s v="Industrial Cleaning Supplies"/>
    <s v="Nairobi Depot"/>
    <s v="Nairobi Depot"/>
    <s v="TRK-016"/>
    <s v="L. Wekesa"/>
    <n v="1683"/>
    <n v="677.59"/>
    <n v="1140383.97"/>
    <n v="65"/>
    <s v="2025-07-30"/>
    <s v="2025-07-30"/>
    <s v="On Time"/>
    <n v="3421.86"/>
    <n v="1143805.83"/>
  </r>
  <r>
    <s v="2025-02-02"/>
    <x v="2"/>
    <x v="4"/>
    <s v="Maintenance Parts"/>
    <s v="Nairobi Depot"/>
    <s v="Nairobi Depot"/>
    <s v="TRK-028"/>
    <s v="J. Mutua"/>
    <n v="736"/>
    <n v="553.36"/>
    <n v="407272.96000000002"/>
    <n v="442"/>
    <s v="2025-02-04"/>
    <s v="2025-02-04"/>
    <s v="On Time"/>
    <n v="21541.07"/>
    <n v="428814.03"/>
  </r>
  <r>
    <s v="2025-07-20"/>
    <x v="2"/>
    <x v="1"/>
    <s v="Industrial Cleaning Supplies"/>
    <s v="Nairobi Depot"/>
    <s v="Nairobi Depot"/>
    <s v="TRK-027"/>
    <s v="L. Wekesa"/>
    <n v="868"/>
    <n v="189.53"/>
    <n v="164512.04"/>
    <n v="255"/>
    <s v="2025-07-21"/>
    <s v="2025-07-21"/>
    <s v="On Time"/>
    <n v="15636.22"/>
    <n v="180148.26"/>
  </r>
  <r>
    <s v="2025-09-13"/>
    <x v="4"/>
    <x v="1"/>
    <s v="Industrial Cleaning Supplies"/>
    <s v="Mombasa Depot"/>
    <s v="Mombasa Depot"/>
    <s v="TRK-004"/>
    <s v="M. Otieno"/>
    <n v="641"/>
    <n v="663.23"/>
    <n v="425130.43"/>
    <n v="690"/>
    <s v="2025-09-15"/>
    <s v="2025-09-17"/>
    <s v="Late"/>
    <n v="37316.730000000003"/>
    <n v="462447.16"/>
  </r>
  <r>
    <s v="2025-01-08"/>
    <x v="5"/>
    <x v="2"/>
    <s v="Protective Coatings"/>
    <s v="Mombasa Depot"/>
    <s v="Mombasa Depot"/>
    <s v="TRK-025"/>
    <s v="E. Achieng"/>
    <n v="2269"/>
    <n v="526.77"/>
    <n v="1195241.1299999999"/>
    <n v="470"/>
    <s v="2025-01-10"/>
    <s v="2025-01-12"/>
    <s v="Late"/>
    <n v="22719.81"/>
    <n v="1217960.94"/>
  </r>
  <r>
    <s v="2025-07-05"/>
    <x v="6"/>
    <x v="0"/>
    <s v="Construction Additives"/>
    <s v="Nakuru Depot"/>
    <s v="Nakuru Depot"/>
    <s v="TRK-020"/>
    <s v="S. Chebet"/>
    <n v="1394"/>
    <n v="555.08000000000004"/>
    <n v="773781.52"/>
    <n v="692"/>
    <s v="2025-07-07"/>
    <s v="2025-07-09"/>
    <s v="Late"/>
    <n v="37565.97"/>
    <n v="811347.49"/>
  </r>
  <r>
    <s v="2025-12-23"/>
    <x v="5"/>
    <x v="2"/>
    <s v="Protective Coatings"/>
    <s v="Nakuru Depot"/>
    <s v="Nakuru Depot"/>
    <s v="TRK-016"/>
    <s v="A. Hassan"/>
    <n v="1803"/>
    <n v="806.26"/>
    <n v="1453686.78"/>
    <n v="708"/>
    <s v="2025-12-26"/>
    <s v="2025-12-25"/>
    <s v="On Time"/>
    <n v="36860.53"/>
    <n v="1490547.31"/>
  </r>
  <r>
    <s v="2025-06-06"/>
    <x v="7"/>
    <x v="0"/>
    <s v="Construction Additives"/>
    <s v="Nairobi Depot"/>
    <s v="Nairobi Depot"/>
    <s v="TRK-025"/>
    <s v="B. Kiprono"/>
    <n v="1807"/>
    <n v="453.02"/>
    <n v="818607.14"/>
    <n v="202"/>
    <s v="2025-06-07"/>
    <s v="2025-06-07"/>
    <s v="On Time"/>
    <n v="12028.36"/>
    <n v="830635.5"/>
  </r>
  <r>
    <s v="2025-04-17"/>
    <x v="1"/>
    <x v="5"/>
    <s v="WATER TREATMENT CHEMICALS"/>
    <s v="Eldoret Depot"/>
    <s v="Eldoret Depot"/>
    <s v="TRK-016"/>
    <s v="E. Achieng"/>
    <n v="924"/>
    <n v="195.23"/>
    <n v="180392.52"/>
    <n v="565"/>
    <s v="2025-04-19"/>
    <s v="2025-04-18"/>
    <s v="On Time"/>
    <n v="28391.67"/>
    <n v="208784.19"/>
  </r>
  <r>
    <s v="2025-03-25"/>
    <x v="6"/>
    <x v="2"/>
    <s v="Protective Coatings"/>
    <s v="Nakuru Depot"/>
    <s v="Nakuru Depot"/>
    <s v="TRK-013"/>
    <s v="A. Hassan"/>
    <n v="1368"/>
    <n v="193.08"/>
    <n v="264133.44"/>
    <n v="384"/>
    <s v="2025-03-27"/>
    <s v="2025-03-30"/>
    <s v="Late"/>
    <n v="17188.759999999998"/>
    <n v="281322.2"/>
  </r>
  <r>
    <s v="2025-09-14"/>
    <x v="5"/>
    <x v="5"/>
    <s v="WATER TREATMENT CHEMICALS"/>
    <s v="Eldoret Depot"/>
    <s v="Eldoret Depot"/>
    <s v="TRK-011"/>
    <s v="K. Barasa"/>
    <n v="659"/>
    <n v="858.29"/>
    <n v="565613.11"/>
    <n v="222"/>
    <s v="2025-09-15"/>
    <s v="2025-09-18"/>
    <s v="Late"/>
    <n v="8949.3700000000008"/>
    <n v="574562.48"/>
  </r>
  <r>
    <s v="2025-10-04"/>
    <x v="6"/>
    <x v="4"/>
    <s v="Maintenance Parts"/>
    <s v="Nairobi Depot"/>
    <s v="Nairobi Depot"/>
    <s v="TRK-013"/>
    <s v="B. Kiprono"/>
    <n v="1976"/>
    <n v="647.91"/>
    <n v="1280270.1599999999"/>
    <n v="456"/>
    <s v="2025-10-06"/>
    <s v="2025-10-06"/>
    <s v="On Time"/>
    <n v="25396.53"/>
    <n v="1305666.69"/>
  </r>
  <r>
    <s v="2025-12-30"/>
    <x v="3"/>
    <x v="3"/>
    <s v="Packaging Materials"/>
    <s v="Nakuru Depot"/>
    <s v="Nakuru Depot"/>
    <s v="TRK-020"/>
    <s v="J. Mutua"/>
    <n v="826"/>
    <n v="582.96"/>
    <n v="481524.96"/>
    <n v="150"/>
    <s v="2025-12-31"/>
    <s v="2025-12-30"/>
    <s v="On Time"/>
    <n v="5483.94"/>
    <n v="487008.9"/>
  </r>
  <r>
    <s v="2025-12-07"/>
    <x v="1"/>
    <x v="2"/>
    <s v="Protective Coatings"/>
    <s v="Nakuru Depot"/>
    <s v="Nakuru Depot"/>
    <s v="TRK-008"/>
    <s v="J. Mutua"/>
    <n v="363"/>
    <n v="265.29000000000002"/>
    <n v="96300.27"/>
    <n v="553"/>
    <s v="2025-12-09"/>
    <s v="2025-12-12"/>
    <s v="Late"/>
    <n v="31871.83"/>
    <n v="128172.1"/>
  </r>
  <r>
    <s v="2025-11-13"/>
    <x v="5"/>
    <x v="2"/>
    <s v="Protective Coatings"/>
    <s v="Nakuru Depot"/>
    <s v="Nakuru Depot"/>
    <s v="TRK-012"/>
    <s v="A. Hassan"/>
    <n v="1851"/>
    <n v="379.63"/>
    <n v="702695.13"/>
    <n v="642"/>
    <s v="2025-11-15"/>
    <s v="2025-11-17"/>
    <s v="Late"/>
    <n v="38097.89"/>
    <n v="740793.02"/>
  </r>
  <r>
    <s v="2025-07-08"/>
    <x v="5"/>
    <x v="0"/>
    <s v="Construction Additives"/>
    <s v="Nairobi Depot"/>
    <s v="Nairobi Depot"/>
    <s v="TRK-014"/>
    <s v="S. Chebet"/>
    <n v="1517"/>
    <n v="496.93"/>
    <n v="753842.81"/>
    <n v="17"/>
    <s v="2025-07-09"/>
    <s v="2025-07-12"/>
    <s v="Late"/>
    <n v="619.72"/>
    <n v="754462.53"/>
  </r>
  <r>
    <s v="2025-04-03"/>
    <x v="4"/>
    <x v="0"/>
    <s v="Construction Additives"/>
    <s v="Nakuru Depot"/>
    <s v="Nakuru Depot"/>
    <s v="TRK-015"/>
    <s v="A. Hassan"/>
    <n v="53"/>
    <n v="496.69"/>
    <n v="26324.57"/>
    <n v="394"/>
    <s v="2025-04-05"/>
    <s v="2025-04-04"/>
    <s v="On Time"/>
    <n v="21429.68"/>
    <n v="47754.25"/>
  </r>
  <r>
    <s v="2025-10-01"/>
    <x v="1"/>
    <x v="2"/>
    <s v="Protective Coatings"/>
    <s v="Nairobi Depot"/>
    <s v="Nairobi Depot"/>
    <s v="TRK-027"/>
    <s v="M. Otieno"/>
    <n v="646"/>
    <n v="872.26"/>
    <n v="563479.96"/>
    <n v="373"/>
    <s v="2025-10-03"/>
    <s v="2025-10-02"/>
    <s v="On Time"/>
    <n v="18628.02"/>
    <n v="582107.98"/>
  </r>
  <r>
    <s v="2025-07-06"/>
    <x v="7"/>
    <x v="1"/>
    <s v="Industrial Cleaning Supplies"/>
    <s v="Eldoret Depot"/>
    <s v="Eldoret Depot"/>
    <s v="TRK-028"/>
    <s v="P. Maina"/>
    <n v="2468"/>
    <n v="882.71"/>
    <n v="2178528.2799999998"/>
    <n v="584"/>
    <s v="2025-07-08"/>
    <s v="2025-07-07"/>
    <s v="On Time"/>
    <n v="28673.68"/>
    <n v="2207201.96"/>
  </r>
  <r>
    <s v="2025-04-10"/>
    <x v="2"/>
    <x v="1"/>
    <s v="Industrial Cleaning Supplies"/>
    <s v="Nairobi Depot"/>
    <s v="Nairobi Depot"/>
    <s v="TRK-016"/>
    <s v="K. Barasa"/>
    <n v="1519"/>
    <n v="259.66000000000003"/>
    <n v="394423.54"/>
    <n v="483"/>
    <s v="2025-04-12"/>
    <s v="2025-04-11"/>
    <s v="On Time"/>
    <n v="19890.53"/>
    <n v="414314.06999999995"/>
  </r>
  <r>
    <s v="2025-04-08"/>
    <x v="1"/>
    <x v="0"/>
    <s v="Construction Additives"/>
    <s v="Eldoret Depot"/>
    <s v="Eldoret Depot"/>
    <s v="TRK-005"/>
    <s v="E. Achieng"/>
    <n v="564"/>
    <n v="150.91999999999999"/>
    <n v="85118.88"/>
    <n v="389"/>
    <s v="2025-04-10"/>
    <s v="2025-04-09"/>
    <s v="On Time"/>
    <n v="21371.8"/>
    <n v="106490.68000000001"/>
  </r>
  <r>
    <s v="2025-04-06"/>
    <x v="4"/>
    <x v="0"/>
    <s v="Construction Additives"/>
    <s v="Nakuru Depot"/>
    <s v="Nakuru Depot"/>
    <s v="TRK-009"/>
    <s v="E. Achieng"/>
    <n v="2224"/>
    <n v="837.23"/>
    <n v="1861999.52"/>
    <n v="94"/>
    <s v="2025-04-07"/>
    <s v="2025-04-06"/>
    <s v="On Time"/>
    <n v="3878.88"/>
    <n v="1865878.4"/>
  </r>
  <r>
    <s v="2025-02-06"/>
    <x v="6"/>
    <x v="0"/>
    <s v="Construction Additives"/>
    <s v="Mombasa Depot"/>
    <s v="Mombasa Depot"/>
    <s v="TRK-023"/>
    <s v="A. Hassan"/>
    <n v="2407"/>
    <n v="867.81"/>
    <n v="2088818.67"/>
    <n v="123"/>
    <s v="2025-02-07"/>
    <s v="2025-02-08"/>
    <s v="Late"/>
    <n v="5273.7"/>
    <n v="2094092.3699999999"/>
  </r>
  <r>
    <s v="2025-12-24"/>
    <x v="6"/>
    <x v="1"/>
    <s v="Industrial Cleaning Supplies"/>
    <s v="Nakuru Depot"/>
    <s v="Nakuru Depot"/>
    <s v="TRK-016"/>
    <s v="M. Otieno"/>
    <n v="2451"/>
    <n v="234.14"/>
    <n v="573877.14"/>
    <n v="390"/>
    <s v="2025-12-26"/>
    <s v="2025-12-26"/>
    <s v="On Time"/>
    <n v="17681.150000000001"/>
    <n v="591558.29"/>
  </r>
  <r>
    <s v="2025-04-26"/>
    <x v="5"/>
    <x v="4"/>
    <s v="Maintenance Parts"/>
    <s v="Nakuru Depot"/>
    <s v="Nakuru Depot"/>
    <s v="TRK-009"/>
    <s v="S. Chebet"/>
    <n v="2149"/>
    <n v="165.01"/>
    <n v="354606.49"/>
    <n v="680"/>
    <s v="2025-04-28"/>
    <s v="2025-04-28"/>
    <s v="On Time"/>
    <n v="24026.49"/>
    <n v="378632.98"/>
  </r>
  <r>
    <s v="2025-01-26"/>
    <x v="4"/>
    <x v="2"/>
    <s v="Protective Coatings"/>
    <s v="Nakuru Depot"/>
    <s v="Nakuru Depot"/>
    <s v="TRK-012"/>
    <s v="K. Barasa"/>
    <n v="719"/>
    <n v="97.86"/>
    <n v="70361.34"/>
    <n v="285"/>
    <s v="2025-01-27"/>
    <s v="2025-01-29"/>
    <s v="Late"/>
    <n v="17265.12"/>
    <n v="87626.459999999992"/>
  </r>
  <r>
    <s v="2025-05-08"/>
    <x v="0"/>
    <x v="5"/>
    <s v="WATER TREATMENT CHEMICALS"/>
    <s v="Nakuru Depot"/>
    <s v="Nakuru Depot"/>
    <s v="TRK-028"/>
    <s v="B. Kiprono"/>
    <n v="1096"/>
    <n v="650.16999999999996"/>
    <n v="712586.32"/>
    <n v="80"/>
    <s v="2025-05-09"/>
    <s v="2025-05-09"/>
    <s v="On Time"/>
    <n v="3944.43"/>
    <n v="716530.75"/>
  </r>
  <r>
    <s v="2025-04-02"/>
    <x v="2"/>
    <x v="2"/>
    <s v="Protective Coatings"/>
    <s v="Nairobi Depot"/>
    <s v="Nairobi Depot"/>
    <s v="TRK-025"/>
    <s v="J. Mutua"/>
    <n v="2002"/>
    <n v="439.85"/>
    <n v="880579.7"/>
    <n v="589"/>
    <s v="2025-04-04"/>
    <s v="2025-04-03"/>
    <s v="On Time"/>
    <n v="35816.5"/>
    <n v="916396.2"/>
  </r>
  <r>
    <s v="2025-10-05"/>
    <x v="4"/>
    <x v="3"/>
    <s v="Packaging Materials"/>
    <s v="Eldoret Depot"/>
    <s v="Eldoret Depot"/>
    <s v="TRK-025"/>
    <s v="D. Said"/>
    <n v="2032"/>
    <n v="762.25"/>
    <n v="1548892"/>
    <n v="292"/>
    <s v="2025-10-06"/>
    <s v="2025-10-08"/>
    <s v="Late"/>
    <n v="16186.22"/>
    <n v="1565078.22"/>
  </r>
  <r>
    <s v="2025-03-03"/>
    <x v="3"/>
    <x v="0"/>
    <s v="Construction Additives"/>
    <s v="Nakuru Depot"/>
    <s v="Nakuru Depot"/>
    <s v="TRK-015"/>
    <s v="A. Hassan"/>
    <n v="1877"/>
    <n v="277.19"/>
    <n v="520285.63"/>
    <n v="97"/>
    <s v="2025-03-04"/>
    <s v="2025-03-04"/>
    <s v="On Time"/>
    <n v="4897.7299999999996"/>
    <n v="525183.36"/>
  </r>
  <r>
    <s v="2025-07-15"/>
    <x v="1"/>
    <x v="4"/>
    <s v="Maintenance Parts"/>
    <s v="Nakuru Depot"/>
    <s v="Nakuru Depot"/>
    <s v="TRK-014"/>
    <s v="B. Kiprono"/>
    <n v="2101"/>
    <n v="702.52"/>
    <n v="1475994.52"/>
    <n v="657"/>
    <s v="2025-07-17"/>
    <s v="2025-07-17"/>
    <s v="On Time"/>
    <n v="28945.3"/>
    <n v="1504939.82"/>
  </r>
  <r>
    <s v="2025-01-29"/>
    <x v="0"/>
    <x v="5"/>
    <s v="WATER TREATMENT CHEMICALS"/>
    <s v="Mombasa Depot"/>
    <s v="Mombasa Depot"/>
    <s v="TRK-006"/>
    <s v="S. Chebet"/>
    <n v="625"/>
    <n v="53.76"/>
    <n v="33600"/>
    <n v="604"/>
    <s v="2025-01-31"/>
    <s v="2025-02-01"/>
    <s v="Late"/>
    <n v="22156.02"/>
    <n v="55756.020000000004"/>
  </r>
  <r>
    <s v="2025-10-19"/>
    <x v="2"/>
    <x v="3"/>
    <s v="Packaging Materials"/>
    <s v="Nakuru Depot"/>
    <s v="Nakuru Depot"/>
    <s v="TRK-021"/>
    <s v="Not Found"/>
    <n v="713"/>
    <n v="83.28"/>
    <n v="59378.64"/>
    <n v="687"/>
    <s v="2025-10-21"/>
    <s v="2025-10-21"/>
    <s v="On Time"/>
    <n v="26777.91"/>
    <n v="86156.55"/>
  </r>
  <r>
    <s v="2025-12-06"/>
    <x v="7"/>
    <x v="2"/>
    <s v="Protective Coatings"/>
    <s v="Eldoret Depot"/>
    <s v="Eldoret Depot"/>
    <s v="TRK-009"/>
    <s v="D. Said"/>
    <n v="2397"/>
    <n v="544.66"/>
    <n v="1305550.02"/>
    <n v="510"/>
    <s v="2025-12-08"/>
    <s v="2025-12-11"/>
    <s v="Late"/>
    <n v="30193.15"/>
    <n v="1335743.17"/>
  </r>
  <r>
    <s v="2025-08-02"/>
    <x v="4"/>
    <x v="4"/>
    <s v="Maintenance Parts"/>
    <s v="Eldoret Depot"/>
    <s v="Eldoret Depot"/>
    <s v="TRK-014"/>
    <s v="A. Hassan"/>
    <n v="988"/>
    <n v="634.97"/>
    <n v="627350.36"/>
    <n v="639"/>
    <s v="2025-08-04"/>
    <s v="2025-08-04"/>
    <s v="On Time"/>
    <n v="22482"/>
    <n v="649832.36"/>
  </r>
  <r>
    <s v="2025-04-17"/>
    <x v="1"/>
    <x v="5"/>
    <s v="WATER TREATMENT CHEMICALS"/>
    <s v="Nairobi Depot"/>
    <s v="Nairobi Depot"/>
    <s v="TRK-024"/>
    <s v="L. Wekesa"/>
    <n v="2391"/>
    <n v="787.52"/>
    <n v="1882960.32"/>
    <n v="168"/>
    <s v="2025-04-18"/>
    <s v="2025-04-18"/>
    <s v="On Time"/>
    <n v="7961.32"/>
    <n v="1890921.6400000001"/>
  </r>
  <r>
    <s v="2025-11-05"/>
    <x v="7"/>
    <x v="4"/>
    <s v="Maintenance Parts"/>
    <s v="Mombasa Depot"/>
    <s v="Mombasa Depot"/>
    <s v="TRK-007"/>
    <s v="A. Hassan"/>
    <n v="2136"/>
    <n v="305.43"/>
    <n v="652398.48"/>
    <n v="702"/>
    <s v="2025-11-08"/>
    <s v="2025-11-08"/>
    <s v="On Time"/>
    <n v="32575.23"/>
    <n v="684973.71"/>
  </r>
  <r>
    <s v="2025-01-10"/>
    <x v="0"/>
    <x v="5"/>
    <s v="WATER TREATMENT CHEMICALS"/>
    <s v="Mombasa Depot"/>
    <s v="Mombasa Depot"/>
    <s v="TRK-003"/>
    <s v="D. Said"/>
    <n v="808"/>
    <n v="623.64"/>
    <n v="503901.12"/>
    <n v="414"/>
    <s v="2025-01-12"/>
    <s v="2025-01-14"/>
    <s v="Late"/>
    <n v="16236.28"/>
    <n v="520137.4"/>
  </r>
  <r>
    <s v="2025-08-08"/>
    <x v="6"/>
    <x v="5"/>
    <s v="WATER TREATMENT CHEMICALS"/>
    <s v="Eldoret Depot"/>
    <s v="Eldoret Depot"/>
    <s v="TRK-017"/>
    <s v="M. Otieno"/>
    <n v="1084"/>
    <n v="654.51"/>
    <n v="709488.84"/>
    <n v="190"/>
    <s v="2025-08-09"/>
    <s v="2025-08-12"/>
    <s v="Late"/>
    <n v="10363.98"/>
    <n v="719852.82"/>
  </r>
  <r>
    <s v="2025-02-23"/>
    <x v="3"/>
    <x v="3"/>
    <s v="Packaging Materials"/>
    <s v="Nairobi Depot"/>
    <s v="Nairobi Depot"/>
    <s v="TRK-003"/>
    <s v="P. Maina"/>
    <n v="881"/>
    <n v="698.05"/>
    <n v="614982.05000000005"/>
    <n v="263"/>
    <s v="2025-02-24"/>
    <s v="2025-02-25"/>
    <s v="Late"/>
    <n v="14422.13"/>
    <n v="629404.18000000005"/>
  </r>
  <r>
    <s v="2025-01-11"/>
    <x v="7"/>
    <x v="1"/>
    <s v="Industrial Cleaning Supplies"/>
    <s v="Nairobi Depot"/>
    <s v="Nairobi Depot"/>
    <s v="TRK-024"/>
    <s v="J. Mutua"/>
    <n v="2499"/>
    <n v="539.66"/>
    <n v="1348610.34"/>
    <n v="656"/>
    <s v="2025-01-13"/>
    <s v="2025-01-16"/>
    <s v="Late"/>
    <n v="39866.54"/>
    <n v="1388476.8800000001"/>
  </r>
  <r>
    <s v="2025-06-14"/>
    <x v="5"/>
    <x v="4"/>
    <s v="Maintenance Parts"/>
    <s v="Nairobi Depot"/>
    <s v="Nairobi Depot"/>
    <s v="TRK-005"/>
    <s v="E. Achieng"/>
    <n v="523"/>
    <n v="186.47"/>
    <n v="97523.81"/>
    <n v="714"/>
    <s v="2025-06-17"/>
    <s v="2025-06-18"/>
    <s v="Late"/>
    <n v="40374.67"/>
    <n v="137898.47999999998"/>
  </r>
  <r>
    <s v="2025-01-08"/>
    <x v="1"/>
    <x v="5"/>
    <s v="WATER TREATMENT CHEMICALS"/>
    <s v="Mombasa Depot"/>
    <s v="Mombasa Depot"/>
    <s v="TRK-022"/>
    <s v="S. Chebet"/>
    <n v="2333"/>
    <n v="401.89"/>
    <n v="937609.37"/>
    <n v="255"/>
    <s v="2025-01-09"/>
    <s v="2025-01-10"/>
    <s v="Late"/>
    <n v="9075.1299999999992"/>
    <n v="946684.5"/>
  </r>
  <r>
    <s v="2025-03-07"/>
    <x v="4"/>
    <x v="0"/>
    <s v="Construction Additives"/>
    <s v="Eldoret Depot"/>
    <s v="Eldoret Depot"/>
    <s v="TRK-028"/>
    <s v="E. Achieng"/>
    <n v="1284"/>
    <n v="511.26"/>
    <n v="656457.84"/>
    <n v="130"/>
    <s v="2025-03-08"/>
    <s v="2025-03-08"/>
    <s v="On Time"/>
    <n v="4570.12"/>
    <n v="661027.96"/>
  </r>
  <r>
    <s v="2025-05-12"/>
    <x v="7"/>
    <x v="2"/>
    <s v="Protective Coatings"/>
    <s v="Eldoret Depot"/>
    <s v="Eldoret Depot"/>
    <s v="TRK-005"/>
    <s v="E. Achieng"/>
    <n v="333"/>
    <n v="876.97"/>
    <n v="292031.01"/>
    <n v="706"/>
    <s v="2025-05-15"/>
    <s v="2025-05-15"/>
    <s v="On Time"/>
    <n v="33028.97"/>
    <n v="325059.98"/>
  </r>
  <r>
    <s v="2025-05-21"/>
    <x v="1"/>
    <x v="2"/>
    <s v="Protective Coatings"/>
    <s v="Eldoret Depot"/>
    <s v="Eldoret Depot"/>
    <s v="TRK-021"/>
    <s v="B. Kiprono"/>
    <n v="1741"/>
    <n v="350.09"/>
    <n v="609506.68999999994"/>
    <n v="175"/>
    <s v="2025-05-22"/>
    <s v="2025-05-22"/>
    <s v="On Time"/>
    <n v="7660.29"/>
    <n v="617166.98"/>
  </r>
  <r>
    <s v="2025-04-21"/>
    <x v="0"/>
    <x v="2"/>
    <s v="Protective Coatings"/>
    <s v="Nakuru Depot"/>
    <s v="Nakuru Depot"/>
    <s v="TRK-030"/>
    <s v="S. Chebet"/>
    <n v="449"/>
    <n v="608.30999999999995"/>
    <n v="273131.19"/>
    <n v="261"/>
    <s v="2025-04-22"/>
    <s v="2025-04-23"/>
    <s v="Late"/>
    <n v="12607.11"/>
    <n v="285738.3"/>
  </r>
  <r>
    <s v="2025-05-23"/>
    <x v="5"/>
    <x v="2"/>
    <s v="Protective Coatings"/>
    <s v="Nairobi Depot"/>
    <s v="Nairobi Depot"/>
    <s v="TRK-026"/>
    <s v="M. Otieno"/>
    <n v="2000"/>
    <n v="862.37"/>
    <n v="1724740"/>
    <n v="448"/>
    <s v="2025-05-25"/>
    <s v="2025-05-27"/>
    <s v="Late"/>
    <n v="24057.13"/>
    <n v="1748797.13"/>
  </r>
  <r>
    <s v="2025-02-02"/>
    <x v="5"/>
    <x v="3"/>
    <s v="Packaging Materials"/>
    <s v="Nakuru Depot"/>
    <s v="Nakuru Depot"/>
    <s v="TRK-014"/>
    <s v="J. Mutua"/>
    <n v="967"/>
    <n v="339.04"/>
    <n v="327851.68"/>
    <n v="634"/>
    <s v="2025-02-04"/>
    <s v="2025-02-05"/>
    <s v="Late"/>
    <n v="29077.06"/>
    <n v="356928.74"/>
  </r>
  <r>
    <s v="2025-08-12"/>
    <x v="1"/>
    <x v="3"/>
    <s v="Packaging Materials"/>
    <s v="Mombasa Depot"/>
    <s v="Mombasa Depot"/>
    <s v="TRK-001"/>
    <s v="E. Achieng"/>
    <n v="1382"/>
    <n v="79.650000000000006"/>
    <n v="110076.3"/>
    <n v="647"/>
    <s v="2025-08-14"/>
    <s v="2025-08-15"/>
    <s v="Late"/>
    <n v="36394.410000000003"/>
    <n v="146470.71000000002"/>
  </r>
  <r>
    <s v="2025-12-10"/>
    <x v="1"/>
    <x v="3"/>
    <s v="Packaging Materials"/>
    <s v="Nakuru Depot"/>
    <s v="Nakuru Depot"/>
    <s v="TRK-016"/>
    <s v="E. Achieng"/>
    <n v="1664"/>
    <n v="559.23"/>
    <n v="930558.72"/>
    <n v="396"/>
    <s v="2025-12-12"/>
    <s v="2025-12-14"/>
    <s v="Late"/>
    <n v="21511.1"/>
    <n v="952069.82"/>
  </r>
  <r>
    <s v="2025-12-05"/>
    <x v="6"/>
    <x v="4"/>
    <s v="Maintenance Parts"/>
    <s v="Eldoret Depot"/>
    <s v="Eldoret Depot"/>
    <s v="TRK-025"/>
    <s v="D. Said"/>
    <n v="724"/>
    <n v="212.28"/>
    <n v="153690.72"/>
    <n v="192"/>
    <s v="2025-12-06"/>
    <s v="2025-12-07"/>
    <s v="Late"/>
    <n v="7423.09"/>
    <n v="161113.81"/>
  </r>
  <r>
    <s v="2025-07-06"/>
    <x v="7"/>
    <x v="5"/>
    <s v="WATER TREATMENT CHEMICALS"/>
    <s v="Eldoret Depot"/>
    <s v="Eldoret Depot"/>
    <s v="TRK-026"/>
    <s v="J. Mutua"/>
    <n v="1665"/>
    <n v="134.84"/>
    <n v="224508.6"/>
    <n v="532"/>
    <s v="2025-07-08"/>
    <s v="2025-07-08"/>
    <s v="On Time"/>
    <n v="32821.14"/>
    <n v="257329.74"/>
  </r>
  <r>
    <s v="2025-12-17"/>
    <x v="2"/>
    <x v="5"/>
    <s v="WATER TREATMENT CHEMICALS"/>
    <s v="Nakuru Depot"/>
    <s v="Nakuru Depot"/>
    <s v="TRK-007"/>
    <s v="P. Maina"/>
    <n v="792"/>
    <n v="234.86"/>
    <n v="186009.12"/>
    <n v="557"/>
    <s v="2025-12-19"/>
    <s v="2025-12-20"/>
    <s v="Late"/>
    <n v="31254.67"/>
    <n v="217263.78999999998"/>
  </r>
  <r>
    <s v="2025-12-15"/>
    <x v="0"/>
    <x v="0"/>
    <s v="Construction Additives"/>
    <s v="Nairobi Depot"/>
    <s v="Nairobi Depot"/>
    <s v="TRK-006"/>
    <s v="P. Maina"/>
    <n v="943"/>
    <n v="580.21"/>
    <n v="547138.03"/>
    <n v="595"/>
    <s v="2025-12-17"/>
    <s v="2025-12-18"/>
    <s v="Late"/>
    <n v="25482.11"/>
    <n v="572620.14"/>
  </r>
  <r>
    <s v="2025-06-18"/>
    <x v="0"/>
    <x v="1"/>
    <s v="Industrial Cleaning Supplies"/>
    <s v="Nakuru Depot"/>
    <s v="Nakuru Depot"/>
    <s v="TRK-003"/>
    <s v="P. Maina"/>
    <n v="1774"/>
    <n v="746.16"/>
    <n v="1323687.8400000001"/>
    <n v="36"/>
    <s v="2025-06-19"/>
    <s v="2025-06-23"/>
    <s v="Late"/>
    <n v="1451.44"/>
    <n v="1325139.28"/>
  </r>
  <r>
    <s v="2025-11-06"/>
    <x v="2"/>
    <x v="2"/>
    <s v="Protective Coatings"/>
    <s v="Nakuru Depot"/>
    <s v="Nakuru Depot"/>
    <s v="TRK-010"/>
    <s v="E. Achieng"/>
    <n v="1978"/>
    <n v="558.80999999999995"/>
    <n v="1105326.18"/>
    <n v="449"/>
    <s v="2025-11-08"/>
    <s v="2025-11-11"/>
    <s v="Late"/>
    <n v="23120.61"/>
    <n v="1128446.79"/>
  </r>
  <r>
    <s v="2025-09-02"/>
    <x v="7"/>
    <x v="0"/>
    <s v="Construction Additives"/>
    <s v="Nairobi Depot"/>
    <s v="Nairobi Depot"/>
    <s v="TRK-028"/>
    <s v="M. Otieno"/>
    <n v="1367"/>
    <n v="86.78"/>
    <n v="118628.26"/>
    <n v="237"/>
    <s v="2025-09-03"/>
    <s v="2025-09-05"/>
    <s v="Late"/>
    <n v="8621.0499999999993"/>
    <n v="127249.31"/>
  </r>
  <r>
    <s v="2025-10-03"/>
    <x v="1"/>
    <x v="1"/>
    <s v="Industrial Cleaning Supplies"/>
    <s v="Nakuru Depot"/>
    <s v="Nakuru Depot"/>
    <s v="TRK-004"/>
    <s v="D. Said"/>
    <n v="2216"/>
    <n v="751.8"/>
    <n v="1665988.8"/>
    <n v="671"/>
    <s v="2025-10-05"/>
    <s v="2025-10-06"/>
    <s v="Late"/>
    <n v="24473.99"/>
    <n v="1690462.79"/>
  </r>
  <r>
    <s v="2025-12-20"/>
    <x v="5"/>
    <x v="3"/>
    <s v="Packaging Materials"/>
    <s v="Eldoret Depot"/>
    <s v="Eldoret Depot"/>
    <s v="TRK-007"/>
    <s v="S. Chebet"/>
    <n v="835"/>
    <n v="582.72"/>
    <n v="486571.2"/>
    <n v="271"/>
    <s v="2025-12-21"/>
    <s v="2025-12-24"/>
    <s v="Late"/>
    <n v="16204.65"/>
    <n v="502775.85000000003"/>
  </r>
  <r>
    <s v="2025-05-06"/>
    <x v="6"/>
    <x v="1"/>
    <s v="Industrial Cleaning Supplies"/>
    <s v="Mombasa Depot"/>
    <s v="Mombasa Depot"/>
    <s v="TRK-018"/>
    <s v="K. Barasa"/>
    <n v="101"/>
    <n v="249.71"/>
    <n v="25220.71"/>
    <n v="611"/>
    <s v="2025-05-08"/>
    <s v="2025-05-08"/>
    <s v="On Time"/>
    <n v="32219.48"/>
    <n v="57440.19"/>
  </r>
  <r>
    <s v="2025-07-15"/>
    <x v="1"/>
    <x v="5"/>
    <s v="WATER TREATMENT CHEMICALS"/>
    <s v="Nakuru Depot"/>
    <s v="Nakuru Depot"/>
    <s v="TRK-009"/>
    <s v="A. Hassan"/>
    <n v="1550"/>
    <n v="677.51"/>
    <n v="1050140.5"/>
    <n v="127"/>
    <s v="2025-07-16"/>
    <s v="2025-07-16"/>
    <s v="On Time"/>
    <n v="4900.12"/>
    <n v="1055040.6200000001"/>
  </r>
  <r>
    <s v="2025-02-23"/>
    <x v="5"/>
    <x v="4"/>
    <s v="Maintenance Parts"/>
    <s v="Mombasa Depot"/>
    <s v="Mombasa Depot"/>
    <s v="TRK-008"/>
    <s v="M. Otieno"/>
    <n v="2335"/>
    <n v="826.08"/>
    <n v="1928896.8"/>
    <n v="260"/>
    <s v="2025-02-24"/>
    <s v="2025-02-25"/>
    <s v="Late"/>
    <n v="10414.36"/>
    <n v="1939311.1600000001"/>
  </r>
  <r>
    <s v="2025-03-10"/>
    <x v="1"/>
    <x v="5"/>
    <s v="WATER TREATMENT CHEMICALS"/>
    <s v="Eldoret Depot"/>
    <s v="Eldoret Depot"/>
    <s v="TRK-007"/>
    <s v="S. Chebet"/>
    <n v="952"/>
    <n v="273.36"/>
    <n v="260238.72"/>
    <n v="106"/>
    <s v="2025-03-11"/>
    <s v="2025-03-13"/>
    <s v="Late"/>
    <n v="6525.91"/>
    <n v="266764.63"/>
  </r>
  <r>
    <s v="2025-08-23"/>
    <x v="0"/>
    <x v="3"/>
    <s v="Packaging Materials"/>
    <s v="Eldoret Depot"/>
    <s v="Eldoret Depot"/>
    <s v="TRK-012"/>
    <s v="D. Said"/>
    <n v="1733"/>
    <n v="112.74"/>
    <n v="195378.42"/>
    <n v="451"/>
    <s v="2025-08-25"/>
    <s v="2025-08-25"/>
    <s v="On Time"/>
    <n v="23818.080000000002"/>
    <n v="219196.5"/>
  </r>
  <r>
    <s v="2025-02-11"/>
    <x v="6"/>
    <x v="3"/>
    <s v="Packaging Materials"/>
    <s v="Mombasa Depot"/>
    <s v="Mombasa Depot"/>
    <s v="TRK-027"/>
    <s v="A. Hassan"/>
    <n v="2204"/>
    <n v="452.94"/>
    <n v="998279.76"/>
    <n v="255"/>
    <s v="2025-02-12"/>
    <s v="2025-02-11"/>
    <s v="On Time"/>
    <n v="14343.98"/>
    <n v="1012623.74"/>
  </r>
  <r>
    <s v="2025-10-09"/>
    <x v="6"/>
    <x v="3"/>
    <s v="Packaging Materials"/>
    <s v="Eldoret Depot"/>
    <s v="Eldoret Depot"/>
    <s v="TRK-003"/>
    <s v="E. Achieng"/>
    <n v="359"/>
    <n v="382.36"/>
    <n v="137267.24"/>
    <n v="177"/>
    <s v="2025-10-10"/>
    <s v="2025-10-10"/>
    <s v="On Time"/>
    <n v="9148.4699999999993"/>
    <n v="146415.71"/>
  </r>
  <r>
    <s v="2025-04-28"/>
    <x v="5"/>
    <x v="1"/>
    <s v="Industrial Cleaning Supplies"/>
    <s v="Nairobi Depot"/>
    <s v="Nairobi Depot"/>
    <s v="TRK-029"/>
    <s v="J. Mutua"/>
    <n v="813"/>
    <n v="192.5"/>
    <n v="156502.5"/>
    <n v="602"/>
    <s v="2025-04-30"/>
    <s v="2025-04-30"/>
    <s v="On Time"/>
    <n v="26385.38"/>
    <n v="182887.88"/>
  </r>
  <r>
    <s v="2025-03-16"/>
    <x v="0"/>
    <x v="5"/>
    <s v="WATER TREATMENT CHEMICALS"/>
    <s v="Mombasa Depot"/>
    <s v="Mombasa Depot"/>
    <s v="TRK-025"/>
    <s v="L. Wekesa"/>
    <n v="166"/>
    <n v="76.510000000000005"/>
    <n v="12700.66"/>
    <n v="356"/>
    <s v="2025-03-18"/>
    <s v="2025-03-20"/>
    <s v="Late"/>
    <n v="15817.18"/>
    <n v="28517.84"/>
  </r>
  <r>
    <s v="2025-03-02"/>
    <x v="0"/>
    <x v="0"/>
    <s v="Construction Additives"/>
    <s v="Nairobi Depot"/>
    <s v="Nairobi Depot"/>
    <s v="TRK-024"/>
    <s v="K. Barasa"/>
    <n v="2422"/>
    <n v="411.59"/>
    <n v="996870.98"/>
    <n v="114"/>
    <s v="2025-03-03"/>
    <s v="2025-03-03"/>
    <s v="On Time"/>
    <n v="6716"/>
    <n v="1003586.98"/>
  </r>
  <r>
    <s v="2025-06-07"/>
    <x v="2"/>
    <x v="0"/>
    <s v="Construction Additives"/>
    <s v="Mombasa Depot"/>
    <s v="Mombasa Depot"/>
    <s v="TRK-017"/>
    <s v="L. Wekesa"/>
    <n v="935"/>
    <n v="607.55999999999995"/>
    <n v="568068.6"/>
    <n v="411"/>
    <s v="2025-06-09"/>
    <s v="2025-06-11"/>
    <s v="Late"/>
    <n v="19803.13"/>
    <n v="587871.73"/>
  </r>
  <r>
    <s v="2025-01-12"/>
    <x v="5"/>
    <x v="0"/>
    <s v="Construction Additives"/>
    <s v="Nakuru Depot"/>
    <s v="Nakuru Depot"/>
    <s v="TRK-030"/>
    <s v="S. Chebet"/>
    <n v="373"/>
    <n v="816.14"/>
    <n v="304420.21999999997"/>
    <n v="105"/>
    <s v="2025-01-13"/>
    <s v="2025-01-17"/>
    <s v="Late"/>
    <n v="3829.34"/>
    <n v="308249.56"/>
  </r>
  <r>
    <s v="2025-05-12"/>
    <x v="1"/>
    <x v="4"/>
    <s v="Maintenance Parts"/>
    <s v="Mombasa Depot"/>
    <s v="Mombasa Depot"/>
    <s v="TRK-024"/>
    <s v="E. Achieng"/>
    <n v="819"/>
    <n v="503.99"/>
    <n v="412767.81"/>
    <n v="27"/>
    <s v="2025-05-13"/>
    <s v="2025-05-13"/>
    <s v="On Time"/>
    <n v="1039.83"/>
    <n v="413807.64"/>
  </r>
  <r>
    <s v="2025-01-30"/>
    <x v="3"/>
    <x v="3"/>
    <s v="Packaging Materials"/>
    <s v="Eldoret Depot"/>
    <s v="Eldoret Depot"/>
    <s v="TRK-021"/>
    <s v="J. Mutua"/>
    <n v="140"/>
    <n v="179.79"/>
    <n v="25170.6"/>
    <n v="419"/>
    <s v="2025-02-01"/>
    <s v="2025-02-01"/>
    <s v="On Time"/>
    <n v="19012.86"/>
    <n v="44183.46"/>
  </r>
  <r>
    <s v="2025-10-29"/>
    <x v="2"/>
    <x v="3"/>
    <s v="Packaging Materials"/>
    <s v="Mombasa Depot"/>
    <s v="Mombasa Depot"/>
    <s v="TRK-028"/>
    <s v="L. Wekesa"/>
    <n v="1786"/>
    <n v="165.78"/>
    <n v="296083.08"/>
    <n v="26"/>
    <s v="2025-10-30"/>
    <s v="2025-10-30"/>
    <s v="On Time"/>
    <n v="1450.6"/>
    <n v="297533.68"/>
  </r>
  <r>
    <s v="2025-09-18"/>
    <x v="3"/>
    <x v="1"/>
    <s v="Industrial Cleaning Supplies"/>
    <s v="Eldoret Depot"/>
    <s v="Eldoret Depot"/>
    <s v="TRK-011"/>
    <s v="K. Barasa"/>
    <n v="2248"/>
    <n v="748.98"/>
    <n v="1683707.04"/>
    <n v="311"/>
    <s v="2025-09-19"/>
    <s v="2025-09-19"/>
    <s v="On Time"/>
    <n v="17464.310000000001"/>
    <n v="1701171.35"/>
  </r>
  <r>
    <s v="2025-06-10"/>
    <x v="1"/>
    <x v="3"/>
    <s v="Packaging Materials"/>
    <s v="Mombasa Depot"/>
    <s v="Mombasa Depot"/>
    <s v="TRK-013"/>
    <s v="L. Wekesa"/>
    <n v="2289"/>
    <n v="836.26"/>
    <n v="1914199.14"/>
    <n v="365"/>
    <s v="2025-06-12"/>
    <s v="2025-06-13"/>
    <s v="Late"/>
    <n v="20883.61"/>
    <n v="1935082.75"/>
  </r>
  <r>
    <s v="2025-04-19"/>
    <x v="6"/>
    <x v="5"/>
    <s v="WATER TREATMENT CHEMICALS"/>
    <s v="Eldoret Depot"/>
    <s v="Eldoret Depot"/>
    <s v="TRK-023"/>
    <s v="Not Found"/>
    <n v="1394"/>
    <n v="169.74"/>
    <n v="236617.56"/>
    <n v="59"/>
    <s v="2025-04-20"/>
    <s v="2025-04-20"/>
    <s v="On Time"/>
    <n v="2623.38"/>
    <n v="239240.94"/>
  </r>
  <r>
    <s v="2025-07-18"/>
    <x v="1"/>
    <x v="3"/>
    <s v="Packaging Materials"/>
    <s v="Mombasa Depot"/>
    <s v="Mombasa Depot"/>
    <s v="TRK-008"/>
    <s v="A. Hassan"/>
    <n v="923"/>
    <n v="368.99"/>
    <n v="340577.77"/>
    <n v="459"/>
    <s v="2025-07-20"/>
    <s v="2025-07-19"/>
    <s v="On Time"/>
    <n v="25851.15"/>
    <n v="366428.92000000004"/>
  </r>
  <r>
    <s v="2025-06-02"/>
    <x v="5"/>
    <x v="5"/>
    <s v="WATER TREATMENT CHEMICALS"/>
    <s v="Nakuru Depot"/>
    <s v="Nakuru Depot"/>
    <s v="TRK-030"/>
    <s v="K. Barasa"/>
    <n v="1396"/>
    <n v="154.9"/>
    <n v="216240.4"/>
    <n v="352"/>
    <s v="2025-06-04"/>
    <s v="2025-06-04"/>
    <s v="On Time"/>
    <n v="12455.08"/>
    <n v="228695.47999999998"/>
  </r>
  <r>
    <s v="2025-02-18"/>
    <x v="6"/>
    <x v="3"/>
    <s v="Packaging Materials"/>
    <s v="Nairobi Depot"/>
    <s v="Nairobi Depot"/>
    <s v="TRK-023"/>
    <s v="E. Achieng"/>
    <n v="579"/>
    <n v="676.26"/>
    <n v="391554.54"/>
    <n v="640"/>
    <s v="2025-02-20"/>
    <s v="2025-02-20"/>
    <s v="On Time"/>
    <n v="27919.47"/>
    <n v="419474.01"/>
  </r>
  <r>
    <s v="2025-08-09"/>
    <x v="3"/>
    <x v="1"/>
    <s v="Industrial Cleaning Supplies"/>
    <s v="Eldoret Depot"/>
    <s v="Eldoret Depot"/>
    <s v="TRK-008"/>
    <s v="S. Chebet"/>
    <n v="2500"/>
    <n v="702.79"/>
    <n v="1756975"/>
    <n v="674"/>
    <s v="2025-08-11"/>
    <s v="2025-08-11"/>
    <s v="On Time"/>
    <n v="32968.6"/>
    <n v="1789943.6"/>
  </r>
  <r>
    <s v="2025-03-22"/>
    <x v="4"/>
    <x v="0"/>
    <s v="Construction Additives"/>
    <s v="Nairobi Depot"/>
    <s v="Nairobi Depot"/>
    <s v="TRK-001"/>
    <s v="P. Maina"/>
    <n v="1378"/>
    <n v="56.7"/>
    <n v="78132.600000000006"/>
    <n v="29"/>
    <s v="2025-03-23"/>
    <s v="2025-03-24"/>
    <s v="Late"/>
    <n v="1180.58"/>
    <n v="79313.180000000008"/>
  </r>
  <r>
    <s v="2025-10-23"/>
    <x v="4"/>
    <x v="4"/>
    <s v="Maintenance Parts"/>
    <s v="Nairobi Depot"/>
    <s v="Nairobi Depot"/>
    <s v="TRK-009"/>
    <s v="K. Barasa"/>
    <n v="1924"/>
    <n v="675.36"/>
    <n v="1299392.6399999999"/>
    <n v="527"/>
    <s v="2025-10-25"/>
    <s v="2025-10-27"/>
    <s v="Late"/>
    <n v="30334.3"/>
    <n v="1329726.94"/>
  </r>
  <r>
    <s v="2025-06-12"/>
    <x v="5"/>
    <x v="4"/>
    <s v="Maintenance Parts"/>
    <s v="Eldoret Depot"/>
    <s v="Eldoret Depot"/>
    <s v="TRK-018"/>
    <s v="J. Mutua"/>
    <n v="555"/>
    <n v="795.38"/>
    <n v="441435.9"/>
    <n v="513"/>
    <s v="2025-06-14"/>
    <s v="2025-06-13"/>
    <s v="On Time"/>
    <n v="20694.79"/>
    <n v="462130.69"/>
  </r>
  <r>
    <s v="2025-02-16"/>
    <x v="5"/>
    <x v="1"/>
    <s v="Industrial Cleaning Supplies"/>
    <s v="Nairobi Depot"/>
    <s v="Nairobi Depot"/>
    <s v="TRK-018"/>
    <s v="S. Chebet"/>
    <n v="743"/>
    <n v="469.43"/>
    <n v="348786.49"/>
    <n v="123"/>
    <s v="2025-02-17"/>
    <s v="2025-02-21"/>
    <s v="Late"/>
    <n v="4841.41"/>
    <n v="353627.89999999997"/>
  </r>
  <r>
    <s v="2025-04-23"/>
    <x v="4"/>
    <x v="4"/>
    <s v="Maintenance Parts"/>
    <s v="Eldoret Depot"/>
    <s v="Eldoret Depot"/>
    <s v="TRK-009"/>
    <s v="B. Kiprono"/>
    <n v="1519"/>
    <n v="839.24"/>
    <n v="1274805.56"/>
    <n v="672"/>
    <s v="2025-04-25"/>
    <s v="2025-04-27"/>
    <s v="Late"/>
    <n v="25955.03"/>
    <n v="1300760.5900000001"/>
  </r>
  <r>
    <s v="2025-11-18"/>
    <x v="1"/>
    <x v="5"/>
    <s v="WATER TREATMENT CHEMICALS"/>
    <s v="Nairobi Depot"/>
    <s v="Nairobi Depot"/>
    <s v="TRK-015"/>
    <s v="J. Mutua"/>
    <n v="73"/>
    <n v="416.2"/>
    <n v="30382.6"/>
    <n v="717"/>
    <s v="2025-11-21"/>
    <s v="2025-11-21"/>
    <s v="On Time"/>
    <n v="42834.559999999998"/>
    <n v="73217.16"/>
  </r>
  <r>
    <s v="2025-05-22"/>
    <x v="7"/>
    <x v="2"/>
    <s v="Protective Coatings"/>
    <s v="Nakuru Depot"/>
    <s v="Nakuru Depot"/>
    <s v="TRK-015"/>
    <s v="K. Barasa"/>
    <n v="2207"/>
    <n v="745.2"/>
    <n v="1644656.4"/>
    <n v="616"/>
    <s v="2025-05-24"/>
    <s v="2025-05-23"/>
    <s v="On Time"/>
    <n v="0"/>
    <n v="1644656.4"/>
  </r>
  <r>
    <s v="2025-10-04"/>
    <x v="0"/>
    <x v="4"/>
    <s v="Maintenance Parts"/>
    <s v="Nairobi Depot"/>
    <s v="Nairobi Depot"/>
    <s v="TRK-029"/>
    <s v="K. Barasa"/>
    <n v="1624"/>
    <n v="360.86"/>
    <n v="586036.64"/>
    <n v="435"/>
    <s v="2025-10-06"/>
    <s v="2025-10-06"/>
    <s v="On Time"/>
    <n v="18914.89"/>
    <n v="604951.53"/>
  </r>
  <r>
    <s v="2025-04-08"/>
    <x v="4"/>
    <x v="2"/>
    <s v="Protective Coatings"/>
    <s v="Nairobi Depot"/>
    <s v="Nairobi Depot"/>
    <s v="TRK-011"/>
    <s v="M. Otieno"/>
    <n v="1075"/>
    <n v="560.72"/>
    <n v="602774"/>
    <n v="532"/>
    <s v="2025-04-10"/>
    <s v="2025-04-12"/>
    <s v="Late"/>
    <n v="30211.759999999998"/>
    <n v="632985.76"/>
  </r>
  <r>
    <s v="2025-11-07"/>
    <x v="0"/>
    <x v="1"/>
    <s v="Industrial Cleaning Supplies"/>
    <s v="Eldoret Depot"/>
    <s v="Eldoret Depot"/>
    <s v="TRK-025"/>
    <s v="E. Achieng"/>
    <n v="328"/>
    <n v="603.41999999999996"/>
    <n v="197921.76"/>
    <n v="398"/>
    <s v="2025-11-09"/>
    <s v="2025-11-08"/>
    <s v="On Time"/>
    <n v="23668.19"/>
    <n v="221589.95"/>
  </r>
  <r>
    <s v="2025-07-29"/>
    <x v="1"/>
    <x v="2"/>
    <s v="Protective Coatings"/>
    <s v="Nakuru Depot"/>
    <s v="Nakuru Depot"/>
    <s v="TRK-011"/>
    <s v="P. Maina"/>
    <n v="2385"/>
    <n v="47.98"/>
    <n v="114432.3"/>
    <n v="495"/>
    <s v="2025-07-31"/>
    <s v="2025-08-03"/>
    <s v="Late"/>
    <n v="25318.34"/>
    <n v="139750.64000000001"/>
  </r>
  <r>
    <s v="2025-05-04"/>
    <x v="4"/>
    <x v="5"/>
    <s v="WATER TREATMENT CHEMICALS"/>
    <s v="Mombasa Depot"/>
    <s v="Mombasa Depot"/>
    <s v="TRK-017"/>
    <s v="M. Otieno"/>
    <n v="484"/>
    <n v="740.95"/>
    <n v="358619.8"/>
    <n v="271"/>
    <s v="2025-05-05"/>
    <s v="2025-05-05"/>
    <s v="On Time"/>
    <n v="13299.94"/>
    <n v="371919.74"/>
  </r>
  <r>
    <s v="2025-01-15"/>
    <x v="6"/>
    <x v="1"/>
    <s v="Industrial Cleaning Supplies"/>
    <s v="Nairobi Depot"/>
    <s v="Nairobi Depot"/>
    <s v="TRK-028"/>
    <s v="K. Barasa"/>
    <n v="1226"/>
    <n v="279.77"/>
    <n v="342998.02"/>
    <n v="265"/>
    <s v="2025-01-16"/>
    <s v="2025-01-17"/>
    <s v="Late"/>
    <n v="15831.74"/>
    <n v="358829.76"/>
  </r>
  <r>
    <s v="2025-01-09"/>
    <x v="2"/>
    <x v="5"/>
    <s v="WATER TREATMENT CHEMICALS"/>
    <s v="Eldoret Depot"/>
    <s v="Eldoret Depot"/>
    <s v="TRK-007"/>
    <s v="M. Otieno"/>
    <n v="1398"/>
    <n v="702.34"/>
    <n v="981871.32"/>
    <n v="281"/>
    <s v="2025-01-10"/>
    <s v="2025-01-10"/>
    <s v="On Time"/>
    <n v="9983.33"/>
    <n v="991854.64999999991"/>
  </r>
  <r>
    <s v="2025-06-21"/>
    <x v="6"/>
    <x v="2"/>
    <s v="Protective Coatings"/>
    <s v="Eldoret Depot"/>
    <s v="Eldoret Depot"/>
    <s v="TRK-022"/>
    <s v="Not Found"/>
    <n v="443"/>
    <n v="63.51"/>
    <n v="28134.93"/>
    <n v="146"/>
    <s v="2025-06-22"/>
    <s v="2025-06-25"/>
    <s v="Late"/>
    <n v="5536.24"/>
    <n v="33671.17"/>
  </r>
  <r>
    <s v="2025-01-06"/>
    <x v="7"/>
    <x v="5"/>
    <s v="WATER TREATMENT CHEMICALS"/>
    <s v="Nakuru Depot"/>
    <s v="Nakuru Depot"/>
    <s v="TRK-008"/>
    <s v="B. Kiprono"/>
    <n v="2253"/>
    <n v="680.93"/>
    <n v="1534135.29"/>
    <n v="668"/>
    <s v="2025-01-08"/>
    <s v="2025-01-10"/>
    <s v="Late"/>
    <n v="23813.77"/>
    <n v="1557949.06"/>
  </r>
  <r>
    <s v="2025-01-28"/>
    <x v="3"/>
    <x v="5"/>
    <s v="WATER TREATMENT CHEMICALS"/>
    <s v="Nairobi Depot"/>
    <s v="Nairobi Depot"/>
    <s v="TRK-021"/>
    <s v="D. Said"/>
    <n v="1279"/>
    <n v="671.2"/>
    <n v="858464.8"/>
    <n v="418"/>
    <s v="2025-01-30"/>
    <s v="2025-01-31"/>
    <s v="Late"/>
    <n v="22931.59"/>
    <n v="881396.39"/>
  </r>
  <r>
    <s v="2025-05-13"/>
    <x v="3"/>
    <x v="0"/>
    <s v="Construction Additives"/>
    <s v="Mombasa Depot"/>
    <s v="Mombasa Depot"/>
    <s v="TRK-012"/>
    <s v="E. Achieng"/>
    <n v="2413"/>
    <n v="770.28"/>
    <n v="1858685.64"/>
    <n v="543"/>
    <s v="2025-05-15"/>
    <s v="2025-05-16"/>
    <s v="Late"/>
    <n v="26997.86"/>
    <n v="1885683.5"/>
  </r>
  <r>
    <s v="2025-04-23"/>
    <x v="0"/>
    <x v="3"/>
    <s v="Packaging Materials"/>
    <s v="Mombasa Depot"/>
    <s v="Mombasa Depot"/>
    <s v="TRK-027"/>
    <s v="B. Kiprono"/>
    <n v="195"/>
    <n v="642.04"/>
    <n v="125197.8"/>
    <n v="351"/>
    <s v="2025-04-25"/>
    <s v="2025-04-28"/>
    <s v="Late"/>
    <n v="18657.68"/>
    <n v="143855.48000000001"/>
  </r>
  <r>
    <s v="2025-11-29"/>
    <x v="7"/>
    <x v="2"/>
    <s v="Protective Coatings"/>
    <s v="Mombasa Depot"/>
    <s v="Mombasa Depot"/>
    <s v="TRK-024"/>
    <s v="M. Otieno"/>
    <n v="938"/>
    <n v="61.84"/>
    <n v="58005.919999999998"/>
    <n v="638"/>
    <s v="2025-12-01"/>
    <s v="2025-12-01"/>
    <s v="On Time"/>
    <n v="25204.52"/>
    <n v="83210.44"/>
  </r>
  <r>
    <s v="2025-04-17"/>
    <x v="7"/>
    <x v="5"/>
    <s v="WATER TREATMENT CHEMICALS"/>
    <s v="Nairobi Depot"/>
    <s v="Nairobi Depot"/>
    <s v="TRK-017"/>
    <s v="M. Otieno"/>
    <n v="514"/>
    <n v="241.83"/>
    <n v="124300.62"/>
    <n v="418"/>
    <s v="2025-04-19"/>
    <s v="2025-04-19"/>
    <s v="On Time"/>
    <n v="16575.3"/>
    <n v="140875.91999999998"/>
  </r>
  <r>
    <s v="2025-09-13"/>
    <x v="3"/>
    <x v="4"/>
    <s v="Maintenance Parts"/>
    <s v="Nairobi Depot"/>
    <s v="Nairobi Depot"/>
    <s v="TRK-018"/>
    <s v="P. Maina"/>
    <n v="321"/>
    <n v="119.5"/>
    <n v="38359.5"/>
    <n v="167"/>
    <s v="2025-09-14"/>
    <s v="2025-09-14"/>
    <s v="On Time"/>
    <n v="10180.549999999999"/>
    <n v="48540.05"/>
  </r>
  <r>
    <s v="2025-08-13"/>
    <x v="2"/>
    <x v="1"/>
    <s v="Industrial Cleaning Supplies"/>
    <s v="Nairobi Depot"/>
    <s v="Nairobi Depot"/>
    <s v="TRK-019"/>
    <s v="A. Hassan"/>
    <n v="1293"/>
    <n v="748.36"/>
    <n v="967629.48"/>
    <n v="90"/>
    <s v="2025-08-14"/>
    <s v="2025-08-18"/>
    <s v="Late"/>
    <n v="4082.03"/>
    <n v="971711.51"/>
  </r>
  <r>
    <s v="2025-03-19"/>
    <x v="0"/>
    <x v="4"/>
    <s v="Maintenance Parts"/>
    <s v="Mombasa Depot"/>
    <s v="Mombasa Depot"/>
    <s v="TRK-025"/>
    <s v="B. Kiprono"/>
    <n v="1639"/>
    <n v="879.59"/>
    <n v="1441648.01"/>
    <n v="351"/>
    <s v="2025-03-21"/>
    <s v="2025-03-22"/>
    <s v="Late"/>
    <n v="12802.8"/>
    <n v="1454450.81"/>
  </r>
  <r>
    <s v="2025-04-14"/>
    <x v="4"/>
    <x v="4"/>
    <s v="Maintenance Parts"/>
    <s v="Eldoret Depot"/>
    <s v="Eldoret Depot"/>
    <s v="TRK-023"/>
    <s v="P. Maina"/>
    <n v="325"/>
    <n v="51.13"/>
    <n v="16617.25"/>
    <n v="238"/>
    <s v="2025-04-15"/>
    <s v="2025-04-15"/>
    <s v="On Time"/>
    <n v="9751.18"/>
    <n v="26368.43"/>
  </r>
  <r>
    <s v="2025-08-20"/>
    <x v="3"/>
    <x v="1"/>
    <s v="Industrial Cleaning Supplies"/>
    <s v="Nairobi Depot"/>
    <s v="Nairobi Depot"/>
    <s v="TRK-018"/>
    <s v="P. Maina"/>
    <n v="1724"/>
    <n v="831.2"/>
    <n v="1432988.8"/>
    <n v="31"/>
    <s v="2025-08-21"/>
    <s v="2025-08-24"/>
    <s v="Late"/>
    <n v="1832.76"/>
    <n v="1434821.56"/>
  </r>
  <r>
    <s v="2025-11-18"/>
    <x v="4"/>
    <x v="4"/>
    <s v="Maintenance Parts"/>
    <s v="Nairobi Depot"/>
    <s v="Nairobi Depot"/>
    <s v="TRK-018"/>
    <s v="B. Kiprono"/>
    <n v="2290"/>
    <n v="295.64999999999998"/>
    <n v="677038.5"/>
    <n v="102"/>
    <s v="2025-11-19"/>
    <s v="2025-11-19"/>
    <s v="On Time"/>
    <n v="6004.17"/>
    <n v="683042.67"/>
  </r>
  <r>
    <s v="2025-12-09"/>
    <x v="5"/>
    <x v="3"/>
    <s v="Packaging Materials"/>
    <s v="Nakuru Depot"/>
    <s v="Nakuru Depot"/>
    <s v="TRK-018"/>
    <s v="S. Chebet"/>
    <n v="139"/>
    <n v="586.97"/>
    <n v="81588.83"/>
    <n v="108"/>
    <s v="2025-12-10"/>
    <s v="2025-12-12"/>
    <s v="Late"/>
    <n v="6549.98"/>
    <n v="88138.81"/>
  </r>
  <r>
    <s v="2025-08-10"/>
    <x v="4"/>
    <x v="0"/>
    <s v="Construction Additives"/>
    <s v="Eldoret Depot"/>
    <s v="Eldoret Depot"/>
    <s v="TRK-027"/>
    <s v="S. Chebet"/>
    <n v="235"/>
    <n v="352.18"/>
    <n v="82762.3"/>
    <n v="24"/>
    <s v="2025-08-11"/>
    <s v="2025-08-15"/>
    <s v="Late"/>
    <n v="858.18"/>
    <n v="83620.479999999996"/>
  </r>
  <r>
    <s v="2025-09-18"/>
    <x v="2"/>
    <x v="2"/>
    <s v="Protective Coatings"/>
    <s v="Nairobi Depot"/>
    <s v="Nairobi Depot"/>
    <s v="TRK-013"/>
    <s v="E. Achieng"/>
    <n v="94"/>
    <n v="358.76"/>
    <n v="33723.440000000002"/>
    <n v="114"/>
    <s v="2025-09-19"/>
    <s v="2025-09-19"/>
    <s v="On Time"/>
    <n v="6423.62"/>
    <n v="40147.060000000005"/>
  </r>
  <r>
    <s v="2025-05-30"/>
    <x v="7"/>
    <x v="3"/>
    <s v="Packaging Materials"/>
    <s v="Eldoret Depot"/>
    <s v="Eldoret Depot"/>
    <s v="TRK-015"/>
    <s v="P. Maina"/>
    <n v="1408"/>
    <n v="367.67"/>
    <n v="517679.35999999999"/>
    <n v="33"/>
    <s v="2025-05-31"/>
    <s v="2025-06-01"/>
    <s v="Late"/>
    <n v="1546.49"/>
    <n v="519225.85"/>
  </r>
  <r>
    <s v="2025-01-15"/>
    <x v="6"/>
    <x v="4"/>
    <s v="Maintenance Parts"/>
    <s v="Mombasa Depot"/>
    <s v="Mombasa Depot"/>
    <s v="TRK-010"/>
    <s v="B. Kiprono"/>
    <n v="959"/>
    <n v="819.4"/>
    <n v="785804.6"/>
    <n v="665"/>
    <s v="2025-01-17"/>
    <s v="2025-01-18"/>
    <s v="Late"/>
    <n v="39218.26"/>
    <n v="825022.86"/>
  </r>
  <r>
    <s v="2025-08-31"/>
    <x v="6"/>
    <x v="2"/>
    <s v="Protective Coatings"/>
    <s v="Nairobi Depot"/>
    <s v="Nairobi Depot"/>
    <s v="TRK-029"/>
    <s v="J. Mutua"/>
    <n v="783"/>
    <n v="646.66999999999996"/>
    <n v="506342.61"/>
    <n v="377"/>
    <s v="2025-09-02"/>
    <s v="2025-09-06"/>
    <s v="Late"/>
    <n v="23216.48"/>
    <n v="529559.09"/>
  </r>
  <r>
    <s v="2025-01-13"/>
    <x v="6"/>
    <x v="3"/>
    <s v="Packaging Materials"/>
    <s v="Nairobi Depot"/>
    <s v="Nairobi Depot"/>
    <s v="TRK-007"/>
    <s v="S. Chebet"/>
    <n v="1306"/>
    <n v="535.65"/>
    <n v="699558.9"/>
    <n v="320"/>
    <s v="2025-01-14"/>
    <s v="2025-01-17"/>
    <s v="Late"/>
    <n v="11763.19"/>
    <n v="711322.09"/>
  </r>
  <r>
    <s v="2025-05-25"/>
    <x v="6"/>
    <x v="4"/>
    <s v="Maintenance Parts"/>
    <s v="Nakuru Depot"/>
    <s v="Nakuru Depot"/>
    <s v="TRK-030"/>
    <s v="E. Achieng"/>
    <n v="840"/>
    <n v="811.56"/>
    <n v="681710.4"/>
    <n v="316"/>
    <s v="2025-05-26"/>
    <s v="2025-05-28"/>
    <s v="Late"/>
    <n v="14603.03"/>
    <n v="696313.43"/>
  </r>
  <r>
    <s v="2025-04-11"/>
    <x v="1"/>
    <x v="5"/>
    <s v="WATER TREATMENT CHEMICALS"/>
    <s v="Mombasa Depot"/>
    <s v="Mombasa Depot"/>
    <s v="TRK-015"/>
    <s v="S. Chebet"/>
    <n v="1038"/>
    <n v="736.64"/>
    <n v="764632.32"/>
    <n v="254"/>
    <s v="2025-04-12"/>
    <s v="2025-04-14"/>
    <s v="Late"/>
    <n v="14681.96"/>
    <n v="779314.27999999991"/>
  </r>
  <r>
    <s v="2025-07-20"/>
    <x v="1"/>
    <x v="1"/>
    <s v="Industrial Cleaning Supplies"/>
    <s v="Nakuru Depot"/>
    <s v="Nakuru Depot"/>
    <s v="TRK-012"/>
    <s v="B. Kiprono"/>
    <n v="834"/>
    <n v="679.32"/>
    <n v="566552.88"/>
    <n v="335"/>
    <s v="2025-07-21"/>
    <s v="2025-07-21"/>
    <s v="On Time"/>
    <n v="12224.52"/>
    <n v="578777.4"/>
  </r>
  <r>
    <s v="2025-03-03"/>
    <x v="2"/>
    <x v="1"/>
    <s v="Industrial Cleaning Supplies"/>
    <s v="Nakuru Depot"/>
    <s v="Nakuru Depot"/>
    <s v="TRK-026"/>
    <s v="J. Mutua"/>
    <n v="2372"/>
    <n v="816.12"/>
    <n v="1935836.64"/>
    <n v="688"/>
    <s v="2025-03-05"/>
    <s v="2025-03-06"/>
    <s v="Late"/>
    <n v="37119.660000000003"/>
    <n v="1972956.2999999998"/>
  </r>
  <r>
    <s v="2025-12-09"/>
    <x v="3"/>
    <x v="2"/>
    <s v="Protective Coatings"/>
    <s v="Eldoret Depot"/>
    <s v="Eldoret Depot"/>
    <s v="TRK-019"/>
    <s v="L. Wekesa"/>
    <n v="2223"/>
    <n v="538.30999999999995"/>
    <n v="1196663.1299999999"/>
    <n v="269"/>
    <s v="2025-12-10"/>
    <s v="2025-12-10"/>
    <s v="On Time"/>
    <n v="16309.27"/>
    <n v="1212972.3999999999"/>
  </r>
  <r>
    <s v="2025-07-21"/>
    <x v="3"/>
    <x v="4"/>
    <s v="Maintenance Parts"/>
    <s v="Nakuru Depot"/>
    <s v="Nakuru Depot"/>
    <s v="TRK-026"/>
    <s v="D. Said"/>
    <n v="1453"/>
    <n v="363.86"/>
    <n v="528688.57999999996"/>
    <n v="77"/>
    <s v="2025-07-22"/>
    <s v="2025-07-22"/>
    <s v="On Time"/>
    <n v="4160.2299999999996"/>
    <n v="532848.80999999994"/>
  </r>
  <r>
    <s v="2025-09-26"/>
    <x v="1"/>
    <x v="0"/>
    <s v="Construction Additives"/>
    <s v="Mombasa Depot"/>
    <s v="Mombasa Depot"/>
    <s v="TRK-020"/>
    <s v="J. Mutua"/>
    <n v="1751"/>
    <n v="262.07"/>
    <n v="458884.57"/>
    <n v="345"/>
    <s v="2025-09-27"/>
    <s v="2025-09-27"/>
    <s v="On Time"/>
    <n v="18597.89"/>
    <n v="477482.46"/>
  </r>
  <r>
    <s v="2025-09-10"/>
    <x v="6"/>
    <x v="4"/>
    <s v="Maintenance Parts"/>
    <s v="Eldoret Depot"/>
    <s v="Eldoret Depot"/>
    <s v="TRK-003"/>
    <s v="K. Barasa"/>
    <n v="2059"/>
    <n v="235.19"/>
    <n v="484256.21"/>
    <n v="311"/>
    <s v="2025-09-11"/>
    <s v="2025-09-11"/>
    <s v="On Time"/>
    <n v="17281.509999999998"/>
    <n v="501537.72000000003"/>
  </r>
  <r>
    <s v="2025-03-15"/>
    <x v="4"/>
    <x v="3"/>
    <s v="Packaging Materials"/>
    <s v="Eldoret Depot"/>
    <s v="Eldoret Depot"/>
    <s v="TRK-014"/>
    <s v="M. Otieno"/>
    <n v="1994"/>
    <n v="708.83"/>
    <n v="1413407.02"/>
    <n v="134"/>
    <s v="2025-03-16"/>
    <s v="2025-03-16"/>
    <s v="On Time"/>
    <n v="8277.2000000000007"/>
    <n v="1421684.22"/>
  </r>
  <r>
    <s v="2025-11-27"/>
    <x v="2"/>
    <x v="4"/>
    <s v="Maintenance Parts"/>
    <s v="Mombasa Depot"/>
    <s v="Mombasa Depot"/>
    <s v="TRK-021"/>
    <s v="P. Maina"/>
    <n v="1653"/>
    <n v="844.6"/>
    <n v="1396123.8"/>
    <n v="349"/>
    <s v="2025-11-28"/>
    <s v="2025-12-01"/>
    <s v="Late"/>
    <n v="15681.32"/>
    <n v="1411805.12"/>
  </r>
  <r>
    <s v="2025-06-04"/>
    <x v="6"/>
    <x v="3"/>
    <s v="Packaging Materials"/>
    <s v="Mombasa Depot"/>
    <s v="Mombasa Depot"/>
    <s v="TRK-011"/>
    <s v="Not Found"/>
    <n v="1600"/>
    <n v="482.51"/>
    <n v="772016"/>
    <n v="389"/>
    <s v="2025-06-06"/>
    <s v="2025-06-10"/>
    <s v="Late"/>
    <n v="17832.7"/>
    <n v="789848.7"/>
  </r>
  <r>
    <s v="2025-05-08"/>
    <x v="1"/>
    <x v="3"/>
    <s v="Packaging Materials"/>
    <s v="Nairobi Depot"/>
    <s v="Nairobi Depot"/>
    <s v="TRK-005"/>
    <s v="K. Barasa"/>
    <n v="1197"/>
    <n v="496.95"/>
    <n v="594849.15"/>
    <n v="205"/>
    <s v="2025-05-09"/>
    <s v="2025-05-13"/>
    <s v="Late"/>
    <n v="12560.03"/>
    <n v="607409.18000000005"/>
  </r>
  <r>
    <s v="2025-05-20"/>
    <x v="0"/>
    <x v="0"/>
    <s v="Construction Additives"/>
    <s v="Mombasa Depot"/>
    <s v="Mombasa Depot"/>
    <s v="TRK-008"/>
    <s v="P. Maina"/>
    <n v="2493"/>
    <n v="617.67999999999995"/>
    <n v="1539876.24"/>
    <n v="412"/>
    <s v="2025-05-22"/>
    <s v="2025-05-21"/>
    <s v="On Time"/>
    <n v="23701.91"/>
    <n v="1563578.15"/>
  </r>
  <r>
    <s v="2025-09-29"/>
    <x v="7"/>
    <x v="0"/>
    <s v="Construction Additives"/>
    <s v="Nairobi Depot"/>
    <s v="Nairobi Depot"/>
    <s v="TRK-005"/>
    <s v="S. Chebet"/>
    <n v="1268"/>
    <n v="620.6"/>
    <n v="786920.8"/>
    <n v="482"/>
    <s v="2025-10-01"/>
    <s v="2025-09-30"/>
    <s v="On Time"/>
    <n v="22385.200000000001"/>
    <n v="809306"/>
  </r>
  <r>
    <s v="2025-07-06"/>
    <x v="3"/>
    <x v="0"/>
    <s v="Construction Additives"/>
    <s v="Mombasa Depot"/>
    <s v="Mombasa Depot"/>
    <s v="TRK-018"/>
    <s v="P. Maina"/>
    <n v="1050"/>
    <n v="237.2"/>
    <n v="249060"/>
    <n v="292"/>
    <s v="2025-07-07"/>
    <s v="2025-07-07"/>
    <s v="On Time"/>
    <n v="16765.71"/>
    <n v="265825.71000000002"/>
  </r>
  <r>
    <s v="2025-03-19"/>
    <x v="7"/>
    <x v="5"/>
    <s v="WATER TREATMENT CHEMICALS"/>
    <s v="Eldoret Depot"/>
    <s v="Eldoret Depot"/>
    <s v="TRK-017"/>
    <s v="P. Maina"/>
    <n v="323"/>
    <n v="538.89"/>
    <n v="174061.47"/>
    <n v="691"/>
    <s v="2025-03-21"/>
    <s v="2025-03-22"/>
    <s v="Late"/>
    <n v="36168.35"/>
    <n v="210229.82"/>
  </r>
  <r>
    <s v="2025-01-12"/>
    <x v="1"/>
    <x v="1"/>
    <s v="Industrial Cleaning Supplies"/>
    <s v="Eldoret Depot"/>
    <s v="Eldoret Depot"/>
    <s v="TRK-018"/>
    <s v="L. Wekesa"/>
    <n v="1097"/>
    <n v="480.6"/>
    <n v="527218.19999999995"/>
    <n v="152"/>
    <s v="2025-01-13"/>
    <s v="2025-01-13"/>
    <s v="On Time"/>
    <n v="8053.8"/>
    <n v="535272"/>
  </r>
  <r>
    <s v="2025-01-03"/>
    <x v="5"/>
    <x v="0"/>
    <s v="Construction Additives"/>
    <s v="Nairobi Depot"/>
    <s v="Nairobi Depot"/>
    <s v="TRK-018"/>
    <s v="B. Kiprono"/>
    <n v="1115"/>
    <n v="711.34"/>
    <n v="793144.1"/>
    <n v="528"/>
    <s v="2025-01-05"/>
    <s v="2025-01-05"/>
    <s v="On Time"/>
    <n v="19125.59"/>
    <n v="812269.69"/>
  </r>
  <r>
    <s v="2025-01-10"/>
    <x v="2"/>
    <x v="1"/>
    <s v="Industrial Cleaning Supplies"/>
    <s v="Mombasa Depot"/>
    <s v="Mombasa Depot"/>
    <s v="TRK-009"/>
    <s v="P. Maina"/>
    <n v="1373"/>
    <n v="755.4"/>
    <n v="1037164.2"/>
    <n v="545"/>
    <s v="2025-01-12"/>
    <s v="2025-01-12"/>
    <s v="On Time"/>
    <n v="31781.17"/>
    <n v="1068945.3699999999"/>
  </r>
  <r>
    <s v="2025-04-04"/>
    <x v="4"/>
    <x v="4"/>
    <s v="Maintenance Parts"/>
    <s v="Mombasa Depot"/>
    <s v="Mombasa Depot"/>
    <s v="TRK-004"/>
    <s v="P. Maina"/>
    <n v="189"/>
    <n v="386.34"/>
    <n v="73018.259999999995"/>
    <n v="577"/>
    <s v="2025-04-06"/>
    <s v="2025-04-05"/>
    <s v="On Time"/>
    <n v="24338.23"/>
    <n v="97356.489999999991"/>
  </r>
  <r>
    <s v="2025-12-03"/>
    <x v="0"/>
    <x v="3"/>
    <s v="Packaging Materials"/>
    <s v="Nakuru Depot"/>
    <s v="Nakuru Depot"/>
    <s v="TRK-007"/>
    <s v="S. Chebet"/>
    <n v="1520"/>
    <n v="174.99"/>
    <n v="265984.8"/>
    <n v="567"/>
    <s v="2025-12-05"/>
    <s v="2025-12-05"/>
    <s v="On Time"/>
    <n v="23533.33"/>
    <n v="289518.13"/>
  </r>
  <r>
    <s v="2025-01-26"/>
    <x v="4"/>
    <x v="2"/>
    <s v="Protective Coatings"/>
    <s v="Mombasa Depot"/>
    <s v="Mombasa Depot"/>
    <s v="TRK-025"/>
    <s v="J. Mutua"/>
    <n v="2067"/>
    <n v="384.16"/>
    <n v="794058.72"/>
    <n v="404"/>
    <s v="2025-01-28"/>
    <s v="2025-01-27"/>
    <s v="On Time"/>
    <n v="18945.04"/>
    <n v="813003.76"/>
  </r>
  <r>
    <s v="2025-07-18"/>
    <x v="1"/>
    <x v="3"/>
    <s v="Packaging Materials"/>
    <s v="Eldoret Depot"/>
    <s v="Eldoret Depot"/>
    <s v="TRK-020"/>
    <s v="A. Hassan"/>
    <n v="1294"/>
    <n v="436.46"/>
    <n v="564779.24"/>
    <n v="430"/>
    <s v="2025-07-20"/>
    <s v="2025-07-23"/>
    <s v="Late"/>
    <n v="21816.1"/>
    <n v="586595.34"/>
  </r>
  <r>
    <s v="2025-01-02"/>
    <x v="5"/>
    <x v="5"/>
    <s v="WATER TREATMENT CHEMICALS"/>
    <s v="Nairobi Depot"/>
    <s v="Nairobi Depot"/>
    <s v="TRK-007"/>
    <s v="S. Chebet"/>
    <n v="1377"/>
    <n v="596.15"/>
    <n v="820898.55"/>
    <n v="18"/>
    <s v="2025-01-03"/>
    <s v="2025-01-06"/>
    <s v="Late"/>
    <n v="759.87"/>
    <n v="821658.42"/>
  </r>
  <r>
    <s v="2025-03-13"/>
    <x v="1"/>
    <x v="4"/>
    <s v="Maintenance Parts"/>
    <s v="Mombasa Depot"/>
    <s v="Mombasa Depot"/>
    <s v="TRK-004"/>
    <s v="K. Barasa"/>
    <n v="2262"/>
    <n v="770.67"/>
    <n v="1743255.54"/>
    <n v="665"/>
    <s v="2025-03-15"/>
    <s v="2025-03-14"/>
    <s v="On Time"/>
    <n v="23777.5"/>
    <n v="1767033.04"/>
  </r>
  <r>
    <s v="2025-04-16"/>
    <x v="2"/>
    <x v="2"/>
    <s v="Protective Coatings"/>
    <s v="Nairobi Depot"/>
    <s v="Nairobi Depot"/>
    <s v="TRK-028"/>
    <s v="J. Mutua"/>
    <n v="902"/>
    <n v="528.45000000000005"/>
    <n v="476661.9"/>
    <n v="606"/>
    <s v="2025-04-18"/>
    <s v="2025-04-18"/>
    <s v="On Time"/>
    <n v="25811.21"/>
    <n v="502473.11000000004"/>
  </r>
  <r>
    <s v="2025-06-24"/>
    <x v="6"/>
    <x v="3"/>
    <s v="Packaging Materials"/>
    <s v="Mombasa Depot"/>
    <s v="Mombasa Depot"/>
    <s v="TRK-010"/>
    <s v="D. Said"/>
    <n v="1605"/>
    <n v="48.3"/>
    <n v="77521.5"/>
    <n v="605"/>
    <s v="2025-06-26"/>
    <s v="2025-06-30"/>
    <s v="Late"/>
    <n v="32469.31"/>
    <n v="109990.81"/>
  </r>
  <r>
    <s v="2025-06-10"/>
    <x v="5"/>
    <x v="5"/>
    <s v="WATER TREATMENT CHEMICALS"/>
    <s v="Nakuru Depot"/>
    <s v="Nakuru Depot"/>
    <s v="TRK-007"/>
    <s v="E. Achieng"/>
    <n v="177"/>
    <n v="124.2"/>
    <n v="21983.4"/>
    <n v="571"/>
    <s v="2025-06-12"/>
    <s v="2025-06-14"/>
    <s v="Late"/>
    <n v="26577.4"/>
    <n v="48560.800000000003"/>
  </r>
  <r>
    <s v="2025-06-13"/>
    <x v="2"/>
    <x v="1"/>
    <s v="Industrial Cleaning Supplies"/>
    <s v="Nakuru Depot"/>
    <s v="Nakuru Depot"/>
    <s v="TRK-018"/>
    <s v="D. Said"/>
    <n v="541"/>
    <n v="791.96"/>
    <n v="428450.36"/>
    <n v="482"/>
    <s v="2025-06-15"/>
    <s v="2025-06-18"/>
    <s v="Late"/>
    <n v="20704.650000000001"/>
    <n v="449155.01"/>
  </r>
  <r>
    <s v="2025-06-01"/>
    <x v="1"/>
    <x v="4"/>
    <s v="Maintenance Parts"/>
    <s v="Mombasa Depot"/>
    <s v="Mombasa Depot"/>
    <s v="TRK-013"/>
    <s v="B. Kiprono"/>
    <n v="1287"/>
    <n v="235.66"/>
    <n v="303294.42"/>
    <n v="195"/>
    <s v="2025-06-02"/>
    <s v="2025-06-04"/>
    <s v="Late"/>
    <n v="11282.42"/>
    <n v="314576.83999999997"/>
  </r>
  <r>
    <s v="2025-09-06"/>
    <x v="6"/>
    <x v="3"/>
    <s v="Packaging Materials"/>
    <s v="Nairobi Depot"/>
    <s v="Nairobi Depot"/>
    <s v="TRK-002"/>
    <s v="J. Mutua"/>
    <n v="1375"/>
    <n v="249.38"/>
    <n v="342897.5"/>
    <n v="270"/>
    <s v="2025-09-07"/>
    <s v="2025-09-07"/>
    <s v="On Time"/>
    <n v="12456.61"/>
    <n v="355354.11"/>
  </r>
  <r>
    <s v="2025-11-11"/>
    <x v="2"/>
    <x v="4"/>
    <s v="Maintenance Parts"/>
    <s v="Nakuru Depot"/>
    <s v="Nakuru Depot"/>
    <s v="TRK-002"/>
    <s v="D. Said"/>
    <n v="1605"/>
    <n v="673.71"/>
    <n v="1081304.55"/>
    <n v="54"/>
    <s v="2025-11-12"/>
    <s v="2025-11-12"/>
    <s v="On Time"/>
    <n v="0"/>
    <n v="1081304.55"/>
  </r>
  <r>
    <s v="2025-12-20"/>
    <x v="6"/>
    <x v="5"/>
    <s v="WATER TREATMENT CHEMICALS"/>
    <s v="Eldoret Depot"/>
    <s v="Eldoret Depot"/>
    <s v="TRK-022"/>
    <s v="J. Mutua"/>
    <n v="528"/>
    <n v="732.57"/>
    <n v="386796.96"/>
    <n v="636"/>
    <s v="2025-12-22"/>
    <s v="2025-12-22"/>
    <s v="On Time"/>
    <n v="34041.56"/>
    <n v="420838.52"/>
  </r>
  <r>
    <s v="2025-07-10"/>
    <x v="4"/>
    <x v="5"/>
    <s v="WATER TREATMENT CHEMICALS"/>
    <s v="Mombasa Depot"/>
    <s v="Mombasa Depot"/>
    <s v="TRK-010"/>
    <s v="P. Maina"/>
    <n v="1964"/>
    <n v="335.21"/>
    <n v="658352.43999999994"/>
    <n v="222"/>
    <s v="2025-07-11"/>
    <s v="2025-07-11"/>
    <s v="On Time"/>
    <n v="11299.19"/>
    <n v="669651.62999999989"/>
  </r>
  <r>
    <s v="2025-09-09"/>
    <x v="2"/>
    <x v="0"/>
    <s v="Construction Additives"/>
    <s v="Mombasa Depot"/>
    <s v="Mombasa Depot"/>
    <s v="TRK-029"/>
    <s v="S. Chebet"/>
    <n v="1769"/>
    <n v="259.33"/>
    <n v="458754.77"/>
    <n v="584"/>
    <s v="2025-09-11"/>
    <s v="2025-09-12"/>
    <s v="Late"/>
    <n v="30836.28"/>
    <n v="489591.05000000005"/>
  </r>
  <r>
    <s v="2025-05-14"/>
    <x v="5"/>
    <x v="2"/>
    <s v="Protective Coatings"/>
    <s v="Mombasa Depot"/>
    <s v="Mombasa Depot"/>
    <s v="TRK-006"/>
    <s v="L. Wekesa"/>
    <n v="2434"/>
    <n v="434.62"/>
    <n v="1057865.08"/>
    <n v="514"/>
    <s v="2025-05-16"/>
    <s v="2025-05-16"/>
    <s v="On Time"/>
    <n v="21502.02"/>
    <n v="1079367.1000000001"/>
  </r>
  <r>
    <s v="2025-07-27"/>
    <x v="5"/>
    <x v="2"/>
    <s v="Protective Coatings"/>
    <s v="Mombasa Depot"/>
    <s v="Mombasa Depot"/>
    <s v="TRK-002"/>
    <s v="L. Wekesa"/>
    <n v="2471"/>
    <n v="221.86"/>
    <n v="548216.06000000006"/>
    <n v="664"/>
    <s v="2025-07-29"/>
    <s v="2025-08-01"/>
    <s v="Late"/>
    <n v="26569.74"/>
    <n v="574785.80000000005"/>
  </r>
  <r>
    <s v="2025-02-27"/>
    <x v="7"/>
    <x v="3"/>
    <s v="Packaging Materials"/>
    <s v="Eldoret Depot"/>
    <s v="Eldoret Depot"/>
    <s v="TRK-013"/>
    <s v="A. Hassan"/>
    <n v="2420"/>
    <n v="631.52"/>
    <n v="1528278.4"/>
    <n v="269"/>
    <s v="2025-02-28"/>
    <s v="2025-03-01"/>
    <s v="Late"/>
    <n v="11866.6"/>
    <n v="1540145"/>
  </r>
  <r>
    <s v="2025-04-04"/>
    <x v="6"/>
    <x v="3"/>
    <s v="Packaging Materials"/>
    <s v="Nakuru Depot"/>
    <s v="Nakuru Depot"/>
    <s v="TRK-012"/>
    <s v="J. Mutua"/>
    <n v="689"/>
    <n v="659.54"/>
    <n v="454423.06"/>
    <n v="252"/>
    <s v="2025-04-05"/>
    <s v="2025-04-09"/>
    <s v="Late"/>
    <n v="10649.1"/>
    <n v="465072.16"/>
  </r>
  <r>
    <s v="2025-09-19"/>
    <x v="2"/>
    <x v="2"/>
    <s v="Protective Coatings"/>
    <s v="Nakuru Depot"/>
    <s v="Nakuru Depot"/>
    <s v="TRK-026"/>
    <s v="K. Barasa"/>
    <n v="221"/>
    <n v="557.89"/>
    <n v="123293.69"/>
    <n v="491"/>
    <s v="2025-09-21"/>
    <s v="2025-09-22"/>
    <s v="Late"/>
    <n v="20981.27"/>
    <n v="144274.96"/>
  </r>
  <r>
    <s v="2025-06-15"/>
    <x v="7"/>
    <x v="0"/>
    <s v="Construction Additives"/>
    <s v="Mombasa Depot"/>
    <s v="Mombasa Depot"/>
    <s v="TRK-018"/>
    <s v="J. Mutua"/>
    <n v="576"/>
    <n v="646.22"/>
    <n v="372222.71999999997"/>
    <n v="195"/>
    <s v="2025-06-16"/>
    <s v="2025-06-17"/>
    <s v="Late"/>
    <n v="9370.35"/>
    <n v="381593.06999999995"/>
  </r>
  <r>
    <s v="2025-01-15"/>
    <x v="2"/>
    <x v="1"/>
    <s v="Industrial Cleaning Supplies"/>
    <s v="Nakuru Depot"/>
    <s v="Nakuru Depot"/>
    <s v="TRK-029"/>
    <s v="P. Maina"/>
    <n v="690"/>
    <n v="722.22"/>
    <n v="498331.8"/>
    <n v="236"/>
    <s v="2025-01-16"/>
    <s v="2025-01-19"/>
    <s v="Late"/>
    <n v="12982.88"/>
    <n v="511314.68"/>
  </r>
  <r>
    <s v="2025-10-02"/>
    <x v="1"/>
    <x v="5"/>
    <s v="WATER TREATMENT CHEMICALS"/>
    <s v="Eldoret Depot"/>
    <s v="Eldoret Depot"/>
    <s v="TRK-017"/>
    <s v="B. Kiprono"/>
    <n v="1552"/>
    <n v="78.28"/>
    <n v="121490.56"/>
    <n v="508"/>
    <s v="2025-10-04"/>
    <s v="2025-10-06"/>
    <s v="Late"/>
    <n v="24145.61"/>
    <n v="145636.16999999998"/>
  </r>
  <r>
    <s v="2025-04-24"/>
    <x v="2"/>
    <x v="0"/>
    <s v="Construction Additives"/>
    <s v="Nairobi Depot"/>
    <s v="Nairobi Depot"/>
    <s v="TRK-019"/>
    <s v="A. Hassan"/>
    <n v="92"/>
    <n v="202.55"/>
    <n v="18634.599999999999"/>
    <n v="609"/>
    <s v="2025-04-26"/>
    <s v="2025-04-25"/>
    <s v="On Time"/>
    <n v="22027.5"/>
    <n v="40662.1"/>
  </r>
  <r>
    <s v="2025-12-31"/>
    <x v="0"/>
    <x v="3"/>
    <s v="Packaging Materials"/>
    <s v="Nakuru Depot"/>
    <s v="Nakuru Depot"/>
    <s v="TRK-015"/>
    <s v="E. Achieng"/>
    <n v="690"/>
    <n v="116.39"/>
    <n v="80309.100000000006"/>
    <n v="339"/>
    <s v="2026-01-01"/>
    <s v="2026-01-03"/>
    <s v="Late"/>
    <n v="18978.939999999999"/>
    <n v="99288.040000000008"/>
  </r>
  <r>
    <s v="2025-01-14"/>
    <x v="1"/>
    <x v="1"/>
    <s v="Industrial Cleaning Supplies"/>
    <s v="Nairobi Depot"/>
    <s v="Nairobi Depot"/>
    <s v="TRK-019"/>
    <s v="E. Achieng"/>
    <n v="2428"/>
    <n v="855.89"/>
    <n v="2078100.92"/>
    <n v="104"/>
    <s v="2025-01-15"/>
    <s v="2025-01-15"/>
    <s v="On Time"/>
    <n v="5629.41"/>
    <n v="2083730.3299999998"/>
  </r>
  <r>
    <s v="2025-02-01"/>
    <x v="2"/>
    <x v="1"/>
    <s v="Industrial Cleaning Supplies"/>
    <s v="Nakuru Depot"/>
    <s v="Nakuru Depot"/>
    <s v="TRK-023"/>
    <s v="E. Achieng"/>
    <n v="196"/>
    <n v="352.55"/>
    <n v="69099.8"/>
    <n v="573"/>
    <s v="2025-02-03"/>
    <s v="2025-02-05"/>
    <s v="Late"/>
    <n v="30251.89"/>
    <n v="99351.69"/>
  </r>
  <r>
    <s v="2025-01-29"/>
    <x v="1"/>
    <x v="0"/>
    <s v="Construction Additives"/>
    <s v="Nairobi Depot"/>
    <s v="Nairobi Depot"/>
    <s v="TRK-021"/>
    <s v="B. Kiprono"/>
    <n v="1362"/>
    <n v="823.71"/>
    <n v="1121893.02"/>
    <n v="313"/>
    <s v="2025-01-30"/>
    <s v="2025-01-30"/>
    <s v="On Time"/>
    <n v="16497.86"/>
    <n v="1138390.8800000001"/>
  </r>
  <r>
    <s v="2025-06-19"/>
    <x v="1"/>
    <x v="3"/>
    <s v="Packaging Materials"/>
    <s v="Mombasa Depot"/>
    <s v="Mombasa Depot"/>
    <s v="TRK-018"/>
    <s v="E. Achieng"/>
    <n v="1481"/>
    <n v="108.31"/>
    <n v="160407.10999999999"/>
    <n v="555"/>
    <s v="2025-06-21"/>
    <s v="2025-06-21"/>
    <s v="On Time"/>
    <n v="28770.09"/>
    <n v="189177.19999999998"/>
  </r>
  <r>
    <s v="2025-10-18"/>
    <x v="3"/>
    <x v="1"/>
    <s v="Industrial Cleaning Supplies"/>
    <s v="Nakuru Depot"/>
    <s v="Nakuru Depot"/>
    <s v="TRK-027"/>
    <s v="A. Hassan"/>
    <n v="2366"/>
    <n v="611.6"/>
    <n v="1447045.6"/>
    <n v="367"/>
    <s v="2025-10-20"/>
    <s v="2025-10-21"/>
    <s v="Late"/>
    <n v="21058.36"/>
    <n v="1468103.9600000002"/>
  </r>
  <r>
    <s v="2025-01-07"/>
    <x v="6"/>
    <x v="3"/>
    <s v="Packaging Materials"/>
    <s v="Eldoret Depot"/>
    <s v="Eldoret Depot"/>
    <s v="TRK-014"/>
    <s v="J. Mutua"/>
    <n v="1297"/>
    <n v="354.66"/>
    <n v="459994.02"/>
    <n v="680"/>
    <s v="2025-01-09"/>
    <s v="2025-01-09"/>
    <s v="On Time"/>
    <n v="39835.14"/>
    <n v="499829.16000000003"/>
  </r>
  <r>
    <s v="2025-12-03"/>
    <x v="5"/>
    <x v="4"/>
    <s v="Maintenance Parts"/>
    <s v="Nakuru Depot"/>
    <s v="Nakuru Depot"/>
    <s v="TRK-005"/>
    <s v="L. Wekesa"/>
    <n v="2257"/>
    <n v="883.23"/>
    <n v="1993450.11"/>
    <n v="522"/>
    <s v="2025-12-05"/>
    <s v="2025-12-09"/>
    <s v="Late"/>
    <n v="24304.59"/>
    <n v="2017754.7000000002"/>
  </r>
  <r>
    <s v="2025-07-28"/>
    <x v="3"/>
    <x v="1"/>
    <s v="Industrial Cleaning Supplies"/>
    <s v="Nairobi Depot"/>
    <s v="Nairobi Depot"/>
    <s v="TRK-001"/>
    <s v="B. Kiprono"/>
    <n v="1647"/>
    <n v="382.11"/>
    <n v="629335.17000000004"/>
    <n v="617"/>
    <s v="2025-07-30"/>
    <s v="2025-08-02"/>
    <s v="Late"/>
    <n v="24823.040000000001"/>
    <n v="654158.21000000008"/>
  </r>
  <r>
    <s v="2025-04-15"/>
    <x v="7"/>
    <x v="2"/>
    <s v="Protective Coatings"/>
    <s v="Nairobi Depot"/>
    <s v="Nairobi Depot"/>
    <s v="TRK-020"/>
    <s v="L. Wekesa"/>
    <n v="503"/>
    <n v="421.52"/>
    <n v="212024.56"/>
    <n v="169"/>
    <s v="2025-04-16"/>
    <s v="2025-04-16"/>
    <s v="On Time"/>
    <n v="8457.9599999999991"/>
    <n v="220482.52"/>
  </r>
  <r>
    <s v="2025-10-13"/>
    <x v="2"/>
    <x v="4"/>
    <s v="Maintenance Parts"/>
    <s v="Mombasa Depot"/>
    <s v="Mombasa Depot"/>
    <s v="TRK-012"/>
    <s v="M. Otieno"/>
    <n v="221"/>
    <n v="190.9"/>
    <n v="42188.9"/>
    <n v="196"/>
    <s v="2025-10-14"/>
    <s v="2025-10-14"/>
    <s v="On Time"/>
    <n v="8071.06"/>
    <n v="50259.96"/>
  </r>
  <r>
    <s v="2025-01-16"/>
    <x v="5"/>
    <x v="1"/>
    <s v="Industrial Cleaning Supplies"/>
    <s v="Eldoret Depot"/>
    <s v="Eldoret Depot"/>
    <s v="TRK-023"/>
    <s v="S. Chebet"/>
    <n v="576"/>
    <n v="577.54"/>
    <n v="332663.03999999998"/>
    <n v="700"/>
    <s v="2025-01-19"/>
    <s v="2025-01-21"/>
    <s v="Late"/>
    <n v="34208.379999999997"/>
    <n v="366871.42"/>
  </r>
  <r>
    <s v="2025-07-05"/>
    <x v="1"/>
    <x v="0"/>
    <s v="Construction Additives"/>
    <s v="Eldoret Depot"/>
    <s v="Eldoret Depot"/>
    <s v="TRK-016"/>
    <s v="A. Hassan"/>
    <n v="1513"/>
    <n v="259.52999999999997"/>
    <n v="392668.89"/>
    <n v="534"/>
    <s v="2025-07-07"/>
    <s v="2025-07-07"/>
    <s v="On Time"/>
    <n v="31728.57"/>
    <n v="424397.46"/>
  </r>
  <r>
    <s v="2025-12-20"/>
    <x v="1"/>
    <x v="1"/>
    <s v="Industrial Cleaning Supplies"/>
    <s v="Nairobi Depot"/>
    <s v="Nairobi Depot"/>
    <s v="TRK-002"/>
    <s v="P. Maina"/>
    <n v="1656"/>
    <n v="569.91999999999996"/>
    <n v="943787.52000000002"/>
    <n v="214"/>
    <s v="2025-12-21"/>
    <s v="2025-12-24"/>
    <s v="Late"/>
    <n v="11406.7"/>
    <n v="955194.22"/>
  </r>
  <r>
    <s v="2025-05-18"/>
    <x v="6"/>
    <x v="3"/>
    <s v="Packaging Materials"/>
    <s v="Eldoret Depot"/>
    <s v="Eldoret Depot"/>
    <s v="TRK-008"/>
    <s v="L. Wekesa"/>
    <n v="932"/>
    <n v="264.18"/>
    <n v="246215.76"/>
    <n v="310"/>
    <s v="2025-05-19"/>
    <s v="2025-05-19"/>
    <s v="On Time"/>
    <n v="13021.5"/>
    <n v="259237.26"/>
  </r>
  <r>
    <s v="2025-04-13"/>
    <x v="2"/>
    <x v="5"/>
    <s v="WATER TREATMENT CHEMICALS"/>
    <s v="Nairobi Depot"/>
    <s v="Nairobi Depot"/>
    <s v="TRK-030"/>
    <s v="D. Said"/>
    <n v="1743"/>
    <n v="652.17999999999995"/>
    <n v="1136749.74"/>
    <n v="359"/>
    <s v="2025-04-15"/>
    <s v="2025-04-16"/>
    <s v="Late"/>
    <n v="20789.09"/>
    <n v="1157538.83"/>
  </r>
  <r>
    <s v="2025-10-25"/>
    <x v="5"/>
    <x v="4"/>
    <s v="Maintenance Parts"/>
    <s v="Nakuru Depot"/>
    <s v="Nakuru Depot"/>
    <s v="TRK-028"/>
    <s v="D. Said"/>
    <n v="263"/>
    <n v="81.62"/>
    <n v="21466.06"/>
    <n v="286"/>
    <s v="2025-10-26"/>
    <s v="2025-10-27"/>
    <s v="Late"/>
    <n v="10118.950000000001"/>
    <n v="31585.010000000002"/>
  </r>
  <r>
    <s v="2025-04-01"/>
    <x v="2"/>
    <x v="0"/>
    <s v="Construction Additives"/>
    <s v="Eldoret Depot"/>
    <s v="Eldoret Depot"/>
    <s v="TRK-025"/>
    <s v="K. Barasa"/>
    <n v="1961"/>
    <n v="814.1"/>
    <n v="1596450.1"/>
    <n v="589"/>
    <s v="2025-04-03"/>
    <s v="2025-04-07"/>
    <s v="Late"/>
    <n v="27676.22"/>
    <n v="1624126.32"/>
  </r>
  <r>
    <s v="2025-09-08"/>
    <x v="0"/>
    <x v="4"/>
    <s v="Maintenance Parts"/>
    <s v="Nakuru Depot"/>
    <s v="Nakuru Depot"/>
    <s v="TRK-013"/>
    <s v="B. Kiprono"/>
    <n v="1026"/>
    <n v="811.24"/>
    <n v="832332.24"/>
    <n v="334"/>
    <s v="2025-09-09"/>
    <s v="2025-09-12"/>
    <s v="Late"/>
    <n v="13511.54"/>
    <n v="845843.78"/>
  </r>
  <r>
    <s v="2025-10-25"/>
    <x v="6"/>
    <x v="2"/>
    <s v="Protective Coatings"/>
    <s v="Mombasa Depot"/>
    <s v="Mombasa Depot"/>
    <s v="TRK-015"/>
    <s v="D. Said"/>
    <n v="2366"/>
    <n v="854.81"/>
    <n v="2022480.46"/>
    <n v="611"/>
    <s v="2025-10-27"/>
    <s v="2025-10-28"/>
    <s v="Late"/>
    <n v="36960.26"/>
    <n v="2059440.72"/>
  </r>
  <r>
    <s v="2025-04-08"/>
    <x v="6"/>
    <x v="1"/>
    <s v="Industrial Cleaning Supplies"/>
    <s v="Eldoret Depot"/>
    <s v="Eldoret Depot"/>
    <s v="TRK-024"/>
    <s v="K. Barasa"/>
    <n v="280"/>
    <n v="783.69"/>
    <n v="219433.2"/>
    <n v="384"/>
    <s v="2025-04-10"/>
    <s v="2025-04-10"/>
    <s v="On Time"/>
    <n v="18407.669999999998"/>
    <n v="237840.87"/>
  </r>
  <r>
    <s v="2025-03-14"/>
    <x v="0"/>
    <x v="2"/>
    <s v="Protective Coatings"/>
    <s v="Mombasa Depot"/>
    <s v="Mombasa Depot"/>
    <s v="TRK-007"/>
    <s v="J. Mutua"/>
    <n v="619"/>
    <n v="859.02"/>
    <n v="531733.38"/>
    <n v="717"/>
    <s v="2025-03-17"/>
    <s v="2025-03-17"/>
    <s v="On Time"/>
    <n v="25597.9"/>
    <n v="557331.28"/>
  </r>
  <r>
    <s v="2025-10-20"/>
    <x v="5"/>
    <x v="0"/>
    <s v="Construction Additives"/>
    <s v="Nakuru Depot"/>
    <s v="Nakuru Depot"/>
    <s v="TRK-025"/>
    <s v="J. Mutua"/>
    <n v="1951"/>
    <n v="645.53"/>
    <n v="1259429.03"/>
    <n v="305"/>
    <s v="2025-10-21"/>
    <s v="2025-10-24"/>
    <s v="Late"/>
    <n v="15516.38"/>
    <n v="1274945.4099999999"/>
  </r>
  <r>
    <s v="2025-04-24"/>
    <x v="5"/>
    <x v="1"/>
    <s v="Industrial Cleaning Supplies"/>
    <s v="Eldoret Depot"/>
    <s v="Eldoret Depot"/>
    <s v="TRK-010"/>
    <s v="B. Kiprono"/>
    <n v="2417"/>
    <n v="660.35"/>
    <n v="1596065.95"/>
    <n v="75"/>
    <s v="2025-04-25"/>
    <s v="2025-04-24"/>
    <s v="On Time"/>
    <n v="3112.91"/>
    <n v="1599178.8599999999"/>
  </r>
  <r>
    <s v="2025-07-07"/>
    <x v="6"/>
    <x v="4"/>
    <s v="Maintenance Parts"/>
    <s v="Nairobi Depot"/>
    <s v="Nairobi Depot"/>
    <s v="TRK-015"/>
    <s v="D. Said"/>
    <n v="1922"/>
    <n v="651.94000000000005"/>
    <n v="1253028.68"/>
    <n v="224"/>
    <s v="2025-07-08"/>
    <s v="2025-07-08"/>
    <s v="On Time"/>
    <n v="9434.42"/>
    <n v="1262463.0999999999"/>
  </r>
  <r>
    <s v="2025-04-12"/>
    <x v="3"/>
    <x v="4"/>
    <s v="Maintenance Parts"/>
    <s v="Mombasa Depot"/>
    <s v="Mombasa Depot"/>
    <s v="TRK-006"/>
    <s v="B. Kiprono"/>
    <n v="2372"/>
    <n v="398.27"/>
    <n v="944696.44"/>
    <n v="324"/>
    <s v="2025-04-13"/>
    <s v="2025-04-13"/>
    <s v="On Time"/>
    <n v="17721.919999999998"/>
    <n v="962418.36"/>
  </r>
  <r>
    <s v="2025-05-02"/>
    <x v="1"/>
    <x v="0"/>
    <s v="Construction Additives"/>
    <s v="Eldoret Depot"/>
    <s v="Eldoret Depot"/>
    <s v="TRK-011"/>
    <s v="D. Said"/>
    <n v="2408"/>
    <n v="550.94000000000005"/>
    <n v="1326663.52"/>
    <n v="26"/>
    <s v="2025-05-03"/>
    <s v="2025-05-04"/>
    <s v="Late"/>
    <n v="1134.17"/>
    <n v="1327797.69"/>
  </r>
  <r>
    <s v="2025-06-16"/>
    <x v="6"/>
    <x v="1"/>
    <s v="Industrial Cleaning Supplies"/>
    <s v="Eldoret Depot"/>
    <s v="Eldoret Depot"/>
    <s v="TRK-019"/>
    <s v="L. Wekesa"/>
    <n v="52"/>
    <n v="785.51"/>
    <n v="40846.519999999997"/>
    <n v="562"/>
    <s v="2025-06-18"/>
    <s v="2025-06-17"/>
    <s v="On Time"/>
    <n v="32372.31"/>
    <n v="73218.83"/>
  </r>
  <r>
    <s v="2025-07-27"/>
    <x v="5"/>
    <x v="5"/>
    <s v="WATER TREATMENT CHEMICALS"/>
    <s v="Nakuru Depot"/>
    <s v="Nakuru Depot"/>
    <s v="TRK-011"/>
    <s v="A. Hassan"/>
    <n v="467"/>
    <n v="396.08"/>
    <n v="184969.36"/>
    <n v="434"/>
    <s v="2025-07-29"/>
    <s v="2025-08-02"/>
    <s v="Late"/>
    <n v="17642.75"/>
    <n v="202612.11"/>
  </r>
  <r>
    <s v="2025-09-06"/>
    <x v="3"/>
    <x v="5"/>
    <s v="WATER TREATMENT CHEMICALS"/>
    <s v="Mombasa Depot"/>
    <s v="Mombasa Depot"/>
    <s v="TRK-023"/>
    <s v="D. Said"/>
    <n v="1803"/>
    <n v="881.19"/>
    <n v="1588785.57"/>
    <n v="224"/>
    <s v="2025-09-07"/>
    <s v="2025-09-07"/>
    <s v="On Time"/>
    <n v="12384.09"/>
    <n v="1601169.6600000001"/>
  </r>
  <r>
    <s v="2025-12-14"/>
    <x v="4"/>
    <x v="5"/>
    <s v="WATER TREATMENT CHEMICALS"/>
    <s v="Eldoret Depot"/>
    <s v="Eldoret Depot"/>
    <s v="TRK-024"/>
    <s v="E. Achieng"/>
    <n v="2277"/>
    <n v="646.11"/>
    <n v="1471192.47"/>
    <n v="556"/>
    <s v="2025-12-16"/>
    <s v="2025-12-17"/>
    <s v="Late"/>
    <n v="24033.07"/>
    <n v="1495225.54"/>
  </r>
  <r>
    <s v="2025-11-22"/>
    <x v="1"/>
    <x v="0"/>
    <s v="Construction Additives"/>
    <s v="Eldoret Depot"/>
    <s v="Eldoret Depot"/>
    <s v="TRK-002"/>
    <s v="A. Hassan"/>
    <n v="1789"/>
    <n v="799.07"/>
    <n v="1429536.23"/>
    <n v="84"/>
    <s v="2025-11-23"/>
    <s v="2025-11-24"/>
    <s v="Late"/>
    <n v="4654.47"/>
    <n v="1434190.7"/>
  </r>
  <r>
    <s v="2025-06-10"/>
    <x v="4"/>
    <x v="2"/>
    <s v="Protective Coatings"/>
    <s v="Nairobi Depot"/>
    <s v="Nairobi Depot"/>
    <s v="TRK-006"/>
    <s v="A. Hassan"/>
    <n v="2352"/>
    <n v="178.89"/>
    <n v="420749.28"/>
    <n v="40"/>
    <s v="2025-06-11"/>
    <s v="2025-06-11"/>
    <s v="On Time"/>
    <n v="2458.86"/>
    <n v="423208.14"/>
  </r>
  <r>
    <s v="2025-01-11"/>
    <x v="1"/>
    <x v="4"/>
    <s v="Maintenance Parts"/>
    <s v="Mombasa Depot"/>
    <s v="Mombasa Depot"/>
    <s v="TRK-014"/>
    <s v="J. Mutua"/>
    <n v="1089"/>
    <n v="501.24"/>
    <n v="545850.36"/>
    <n v="701"/>
    <s v="2025-01-14"/>
    <s v="2025-01-18"/>
    <s v="Late"/>
    <n v="33784.379999999997"/>
    <n v="579634.74"/>
  </r>
  <r>
    <s v="2025-10-02"/>
    <x v="7"/>
    <x v="4"/>
    <s v="Maintenance Parts"/>
    <s v="Eldoret Depot"/>
    <s v="Eldoret Depot"/>
    <s v="TRK-010"/>
    <s v="A. Hassan"/>
    <n v="71"/>
    <n v="252.36"/>
    <n v="17917.560000000001"/>
    <n v="380"/>
    <s v="2025-10-04"/>
    <s v="2025-10-04"/>
    <s v="On Time"/>
    <n v="19612.61"/>
    <n v="37530.17"/>
  </r>
  <r>
    <s v="2025-04-24"/>
    <x v="3"/>
    <x v="1"/>
    <s v="Industrial Cleaning Supplies"/>
    <s v="Nairobi Depot"/>
    <s v="Nairobi Depot"/>
    <s v="TRK-001"/>
    <s v="B. Kiprono"/>
    <n v="238"/>
    <n v="538.71"/>
    <n v="128212.98"/>
    <n v="560"/>
    <s v="2025-04-26"/>
    <s v="2025-04-30"/>
    <s v="Late"/>
    <n v="22215.56"/>
    <n v="150428.54"/>
  </r>
  <r>
    <s v="2025-07-30"/>
    <x v="7"/>
    <x v="5"/>
    <s v="WATER TREATMENT CHEMICALS"/>
    <s v="Eldoret Depot"/>
    <s v="Eldoret Depot"/>
    <s v="TRK-016"/>
    <s v="D. Said"/>
    <n v="1184"/>
    <n v="132.25"/>
    <n v="156584"/>
    <n v="116"/>
    <s v="2025-07-31"/>
    <s v="2025-07-31"/>
    <s v="On Time"/>
    <n v="7161.38"/>
    <n v="163745.38"/>
  </r>
  <r>
    <s v="2025-06-10"/>
    <x v="6"/>
    <x v="2"/>
    <s v="Protective Coatings"/>
    <s v="Eldoret Depot"/>
    <s v="Eldoret Depot"/>
    <s v="TRK-008"/>
    <s v="L. Wekesa"/>
    <n v="159"/>
    <n v="779.42"/>
    <n v="123927.78"/>
    <n v="328"/>
    <s v="2025-06-11"/>
    <s v="2025-06-11"/>
    <s v="On Time"/>
    <n v="19729.849999999999"/>
    <n v="143657.63"/>
  </r>
  <r>
    <s v="2025-10-15"/>
    <x v="5"/>
    <x v="0"/>
    <s v="Construction Additives"/>
    <s v="Eldoret Depot"/>
    <s v="Eldoret Depot"/>
    <s v="TRK-015"/>
    <s v="M. Otieno"/>
    <n v="537"/>
    <n v="198.63"/>
    <n v="106664.31"/>
    <n v="334"/>
    <s v="2025-10-16"/>
    <s v="2025-10-18"/>
    <s v="Late"/>
    <n v="11925.61"/>
    <n v="118589.92"/>
  </r>
  <r>
    <s v="2025-10-06"/>
    <x v="6"/>
    <x v="1"/>
    <s v="Industrial Cleaning Supplies"/>
    <s v="Nakuru Depot"/>
    <s v="Nakuru Depot"/>
    <s v="TRK-020"/>
    <s v="E. Achieng"/>
    <n v="687"/>
    <n v="763.11"/>
    <n v="524256.57"/>
    <n v="150"/>
    <s v="2025-10-07"/>
    <s v="2025-10-07"/>
    <s v="On Time"/>
    <n v="6303.7"/>
    <n v="530560.27"/>
  </r>
  <r>
    <s v="2025-11-28"/>
    <x v="2"/>
    <x v="5"/>
    <s v="WATER TREATMENT CHEMICALS"/>
    <s v="Nairobi Depot"/>
    <s v="Nairobi Depot"/>
    <s v="TRK-005"/>
    <s v="K. Barasa"/>
    <n v="2370"/>
    <n v="667.23"/>
    <n v="1581335.1"/>
    <n v="670"/>
    <s v="2025-11-30"/>
    <s v="2025-12-01"/>
    <s v="Late"/>
    <n v="29480.53"/>
    <n v="1610815.6300000001"/>
  </r>
  <r>
    <s v="2025-03-28"/>
    <x v="4"/>
    <x v="5"/>
    <s v="WATER TREATMENT CHEMICALS"/>
    <s v="Nairobi Depot"/>
    <s v="Nairobi Depot"/>
    <s v="TRK-028"/>
    <s v="K. Barasa"/>
    <n v="1023"/>
    <n v="665.22"/>
    <n v="680520.06"/>
    <n v="276"/>
    <s v="2025-03-29"/>
    <s v="2025-03-31"/>
    <s v="Late"/>
    <n v="11115.93"/>
    <n v="691635.99000000011"/>
  </r>
  <r>
    <s v="2025-12-09"/>
    <x v="7"/>
    <x v="3"/>
    <s v="Packaging Materials"/>
    <s v="Mombasa Depot"/>
    <s v="Mombasa Depot"/>
    <s v="TRK-002"/>
    <s v="M. Otieno"/>
    <n v="2364"/>
    <n v="349.53"/>
    <n v="826288.92"/>
    <n v="306"/>
    <s v="2025-12-10"/>
    <s v="2025-12-11"/>
    <s v="Late"/>
    <n v="14346.27"/>
    <n v="840635.19000000006"/>
  </r>
  <r>
    <s v="2025-12-05"/>
    <x v="0"/>
    <x v="1"/>
    <s v="Industrial Cleaning Supplies"/>
    <s v="Nairobi Depot"/>
    <s v="Nairobi Depot"/>
    <s v="TRK-022"/>
    <s v="J. Mutua"/>
    <n v="1642"/>
    <n v="816.92"/>
    <n v="1341382.6399999999"/>
    <n v="26"/>
    <s v="2025-12-06"/>
    <s v="2025-12-06"/>
    <s v="On Time"/>
    <n v="1204.42"/>
    <n v="1342587.0599999998"/>
  </r>
  <r>
    <s v="2025-04-21"/>
    <x v="1"/>
    <x v="0"/>
    <s v="Construction Additives"/>
    <s v="Nakuru Depot"/>
    <s v="Nakuru Depot"/>
    <s v="TRK-030"/>
    <s v="K. Barasa"/>
    <n v="1407"/>
    <n v="82.78"/>
    <n v="116471.46"/>
    <n v="323"/>
    <s v="2025-04-22"/>
    <s v="2025-04-22"/>
    <s v="On Time"/>
    <n v="13566.29"/>
    <n v="130037.75"/>
  </r>
  <r>
    <s v="2025-05-06"/>
    <x v="3"/>
    <x v="3"/>
    <s v="Packaging Materials"/>
    <s v="Nakuru Depot"/>
    <s v="Nakuru Depot"/>
    <s v="TRK-012"/>
    <s v="P. Maina"/>
    <n v="744"/>
    <n v="334"/>
    <n v="248496"/>
    <n v="547"/>
    <s v="2025-05-08"/>
    <s v="2025-05-08"/>
    <s v="On Time"/>
    <n v="22193.68"/>
    <n v="270689.68"/>
  </r>
  <r>
    <s v="2025-02-20"/>
    <x v="3"/>
    <x v="0"/>
    <s v="Construction Additives"/>
    <s v="Mombasa Depot"/>
    <s v="Mombasa Depot"/>
    <s v="TRK-010"/>
    <s v="D. Said"/>
    <n v="2075"/>
    <n v="124.28"/>
    <n v="257881"/>
    <n v="437"/>
    <s v="2025-02-22"/>
    <s v="2025-02-23"/>
    <s v="Late"/>
    <n v="25744.79"/>
    <n v="283625.78999999998"/>
  </r>
  <r>
    <s v="2025-03-24"/>
    <x v="1"/>
    <x v="5"/>
    <s v="WATER TREATMENT CHEMICALS"/>
    <s v="Nakuru Depot"/>
    <s v="Nakuru Depot"/>
    <s v="TRK-011"/>
    <s v="E. Achieng"/>
    <n v="1579"/>
    <n v="877.46"/>
    <n v="1385509.34"/>
    <n v="192"/>
    <s v="2025-03-25"/>
    <s v="2025-03-25"/>
    <s v="On Time"/>
    <n v="8507.31"/>
    <n v="1394016.6500000001"/>
  </r>
  <r>
    <s v="2025-09-06"/>
    <x v="0"/>
    <x v="2"/>
    <s v="Protective Coatings"/>
    <s v="Nairobi Depot"/>
    <s v="Nairobi Depot"/>
    <s v="TRK-023"/>
    <s v="L. Wekesa"/>
    <n v="1009"/>
    <n v="517.80999999999995"/>
    <n v="522470.29"/>
    <n v="153"/>
    <s v="2025-09-07"/>
    <s v="2025-09-07"/>
    <s v="On Time"/>
    <n v="8131.13"/>
    <n v="530601.41999999993"/>
  </r>
  <r>
    <s v="2025-10-15"/>
    <x v="6"/>
    <x v="5"/>
    <s v="WATER TREATMENT CHEMICALS"/>
    <s v="Mombasa Depot"/>
    <s v="Mombasa Depot"/>
    <s v="TRK-016"/>
    <s v="B. Kiprono"/>
    <n v="1736"/>
    <n v="879.58"/>
    <n v="1526950.88"/>
    <n v="649"/>
    <s v="2025-10-17"/>
    <s v="2025-10-21"/>
    <s v="Late"/>
    <n v="0"/>
    <n v="1526950.88"/>
  </r>
  <r>
    <s v="2025-03-27"/>
    <x v="7"/>
    <x v="0"/>
    <s v="Construction Additives"/>
    <s v="Nakuru Depot"/>
    <s v="Nakuru Depot"/>
    <s v="TRK-009"/>
    <s v="E. Achieng"/>
    <n v="1501"/>
    <n v="506.4"/>
    <n v="760106.4"/>
    <n v="151"/>
    <s v="2025-03-28"/>
    <s v="2025-03-30"/>
    <s v="Late"/>
    <n v="7615.69"/>
    <n v="767722.09"/>
  </r>
  <r>
    <s v="2025-10-01"/>
    <x v="4"/>
    <x v="1"/>
    <s v="Industrial Cleaning Supplies"/>
    <s v="Eldoret Depot"/>
    <s v="Eldoret Depot"/>
    <s v="TRK-017"/>
    <s v="D. Said"/>
    <n v="1372"/>
    <n v="380.09"/>
    <n v="521483.48"/>
    <n v="607"/>
    <s v="2025-10-03"/>
    <s v="2025-10-04"/>
    <s v="Late"/>
    <n v="21801.23"/>
    <n v="543284.71"/>
  </r>
  <r>
    <s v="2025-07-15"/>
    <x v="5"/>
    <x v="1"/>
    <s v="Industrial Cleaning Supplies"/>
    <s v="Nairobi Depot"/>
    <s v="Nairobi Depot"/>
    <s v="TRK-023"/>
    <s v="J. Mutua"/>
    <n v="1028"/>
    <n v="838.96"/>
    <n v="862450.88"/>
    <n v="699"/>
    <s v="2025-07-17"/>
    <s v="2025-07-18"/>
    <s v="Late"/>
    <n v="39595.01"/>
    <n v="902045.89"/>
  </r>
  <r>
    <s v="2025-03-11"/>
    <x v="2"/>
    <x v="5"/>
    <s v="WATER TREATMENT CHEMICALS"/>
    <s v="Mombasa Depot"/>
    <s v="Mombasa Depot"/>
    <s v="TRK-001"/>
    <s v="D. Said"/>
    <n v="1688"/>
    <n v="771.8"/>
    <n v="1302798.3999999999"/>
    <n v="47"/>
    <s v="2025-03-12"/>
    <s v="2025-03-16"/>
    <s v="Late"/>
    <n v="2303.8000000000002"/>
    <n v="1305102.2"/>
  </r>
  <r>
    <s v="2025-09-22"/>
    <x v="3"/>
    <x v="4"/>
    <s v="Maintenance Parts"/>
    <s v="Nairobi Depot"/>
    <s v="Nairobi Depot"/>
    <s v="TRK-026"/>
    <s v="B. Kiprono"/>
    <n v="1581"/>
    <n v="226.96"/>
    <n v="358823.76"/>
    <n v="337"/>
    <s v="2025-09-23"/>
    <s v="2025-09-22"/>
    <s v="On Time"/>
    <n v="20720.240000000002"/>
    <n v="379544"/>
  </r>
  <r>
    <s v="2025-11-06"/>
    <x v="0"/>
    <x v="0"/>
    <s v="Construction Additives"/>
    <s v="Mombasa Depot"/>
    <s v="Mombasa Depot"/>
    <s v="TRK-011"/>
    <s v="S. Chebet"/>
    <n v="685"/>
    <n v="552.11"/>
    <n v="378195.35"/>
    <n v="654"/>
    <s v="2025-11-08"/>
    <s v="2025-11-08"/>
    <s v="On Time"/>
    <n v="28806.26"/>
    <n v="407001.61"/>
  </r>
  <r>
    <s v="2025-11-04"/>
    <x v="2"/>
    <x v="5"/>
    <s v="WATER TREATMENT CHEMICALS"/>
    <s v="Nairobi Depot"/>
    <s v="Nairobi Depot"/>
    <s v="TRK-023"/>
    <s v="J. Mutua"/>
    <n v="1612"/>
    <n v="866.6"/>
    <n v="1396959.2"/>
    <n v="514"/>
    <s v="2025-11-06"/>
    <s v="2025-11-08"/>
    <s v="Late"/>
    <n v="26415.84"/>
    <n v="1423375.04"/>
  </r>
  <r>
    <s v="2025-03-26"/>
    <x v="7"/>
    <x v="5"/>
    <s v="WATER TREATMENT CHEMICALS"/>
    <s v="Nakuru Depot"/>
    <s v="Nakuru Depot"/>
    <s v="TRK-010"/>
    <s v="E. Achieng"/>
    <n v="631"/>
    <n v="98.8"/>
    <n v="62342.8"/>
    <n v="528"/>
    <s v="2025-03-28"/>
    <s v="2025-03-28"/>
    <s v="On Time"/>
    <n v="30055.41"/>
    <n v="92398.21"/>
  </r>
  <r>
    <s v="2025-12-13"/>
    <x v="4"/>
    <x v="5"/>
    <s v="WATER TREATMENT CHEMICALS"/>
    <s v="Mombasa Depot"/>
    <s v="Mombasa Depot"/>
    <s v="TRK-022"/>
    <s v="S. Chebet"/>
    <n v="811"/>
    <n v="714.99"/>
    <n v="579856.89"/>
    <n v="253"/>
    <s v="2025-12-14"/>
    <s v="2025-12-14"/>
    <s v="On Time"/>
    <n v="9794.6299999999992"/>
    <n v="589651.52"/>
  </r>
  <r>
    <s v="2025-10-22"/>
    <x v="4"/>
    <x v="0"/>
    <s v="Construction Additives"/>
    <s v="Mombasa Depot"/>
    <s v="Mombasa Depot"/>
    <s v="TRK-027"/>
    <s v="A. Hassan"/>
    <n v="1761"/>
    <n v="184.23"/>
    <n v="324429.03000000003"/>
    <n v="30"/>
    <s v="2025-10-23"/>
    <s v="2025-10-23"/>
    <s v="On Time"/>
    <n v="1219.1400000000001"/>
    <n v="325648.17000000004"/>
  </r>
  <r>
    <s v="2025-08-12"/>
    <x v="2"/>
    <x v="3"/>
    <s v="Packaging Materials"/>
    <s v="Nakuru Depot"/>
    <s v="Nakuru Depot"/>
    <s v="TRK-030"/>
    <s v="D. Said"/>
    <n v="2314"/>
    <n v="564.72"/>
    <n v="1306762.08"/>
    <n v="660"/>
    <s v="2025-08-14"/>
    <s v="2025-08-18"/>
    <s v="Late"/>
    <n v="32367.279999999999"/>
    <n v="1339129.3600000001"/>
  </r>
  <r>
    <s v="2025-07-29"/>
    <x v="5"/>
    <x v="5"/>
    <s v="WATER TREATMENT CHEMICALS"/>
    <s v="Nairobi Depot"/>
    <s v="Nairobi Depot"/>
    <s v="TRK-016"/>
    <s v="A. Hassan"/>
    <n v="1688"/>
    <n v="363.81"/>
    <n v="614111.28"/>
    <n v="642"/>
    <s v="2025-07-31"/>
    <s v="2025-08-04"/>
    <s v="Late"/>
    <n v="28789.06"/>
    <n v="642900.34000000008"/>
  </r>
  <r>
    <s v="2025-01-11"/>
    <x v="5"/>
    <x v="2"/>
    <s v="Protective Coatings"/>
    <s v="Nakuru Depot"/>
    <s v="Nakuru Depot"/>
    <s v="TRK-015"/>
    <s v="P. Maina"/>
    <n v="2363"/>
    <n v="188.41"/>
    <n v="445212.83"/>
    <n v="355"/>
    <s v="2025-01-13"/>
    <s v="2025-01-13"/>
    <s v="On Time"/>
    <n v="12926.32"/>
    <n v="458139.15"/>
  </r>
  <r>
    <s v="2025-07-09"/>
    <x v="6"/>
    <x v="2"/>
    <s v="Protective Coatings"/>
    <s v="Nakuru Depot"/>
    <s v="Nakuru Depot"/>
    <s v="TRK-019"/>
    <s v="S. Chebet"/>
    <n v="1017"/>
    <n v="163.32"/>
    <n v="166096.44"/>
    <n v="582"/>
    <s v="2025-07-11"/>
    <s v="2025-07-13"/>
    <s v="Late"/>
    <n v="23520.57"/>
    <n v="189617.01"/>
  </r>
  <r>
    <s v="2025-07-15"/>
    <x v="6"/>
    <x v="1"/>
    <s v="Industrial Cleaning Supplies"/>
    <s v="Nakuru Depot"/>
    <s v="Nakuru Depot"/>
    <s v="TRK-026"/>
    <s v="S. Chebet"/>
    <n v="1929"/>
    <n v="258.32"/>
    <n v="498299.28"/>
    <n v="483"/>
    <s v="2025-07-17"/>
    <s v="2025-07-17"/>
    <s v="On Time"/>
    <n v="17993.82"/>
    <n v="516293.10000000003"/>
  </r>
  <r>
    <s v="2025-10-01"/>
    <x v="3"/>
    <x v="1"/>
    <s v="Industrial Cleaning Supplies"/>
    <s v="Nakuru Depot"/>
    <s v="Nakuru Depot"/>
    <s v="TRK-027"/>
    <s v="K. Barasa"/>
    <n v="2078"/>
    <n v="848.4"/>
    <n v="1762975.2"/>
    <n v="669"/>
    <s v="2025-10-03"/>
    <s v="2025-10-07"/>
    <s v="Late"/>
    <n v="26930.21"/>
    <n v="1789905.41"/>
  </r>
  <r>
    <s v="2025-08-30"/>
    <x v="4"/>
    <x v="0"/>
    <s v="Construction Additives"/>
    <s v="Nairobi Depot"/>
    <s v="Nairobi Depot"/>
    <s v="TRK-019"/>
    <s v="B. Kiprono"/>
    <n v="1842"/>
    <n v="343.66"/>
    <n v="633021.72"/>
    <n v="622"/>
    <s v="2025-09-01"/>
    <s v="2025-09-05"/>
    <s v="Late"/>
    <n v="33964.75"/>
    <n v="666986.47"/>
  </r>
  <r>
    <s v="2025-11-23"/>
    <x v="0"/>
    <x v="1"/>
    <s v="Industrial Cleaning Supplies"/>
    <s v="Mombasa Depot"/>
    <s v="Mombasa Depot"/>
    <s v="TRK-028"/>
    <s v="J. Mutua"/>
    <n v="704"/>
    <n v="362.61"/>
    <n v="255277.44"/>
    <n v="612"/>
    <s v="2025-11-25"/>
    <s v="2025-11-29"/>
    <s v="Late"/>
    <n v="26731.48"/>
    <n v="282008.92"/>
  </r>
  <r>
    <s v="2025-07-10"/>
    <x v="4"/>
    <x v="4"/>
    <s v="Maintenance Parts"/>
    <s v="Mombasa Depot"/>
    <s v="Mombasa Depot"/>
    <s v="TRK-009"/>
    <s v="P. Maina"/>
    <n v="1208"/>
    <n v="552.19000000000005"/>
    <n v="667045.52"/>
    <n v="323"/>
    <s v="2025-07-11"/>
    <s v="2025-07-10"/>
    <s v="On Time"/>
    <n v="12767.29"/>
    <n v="679812.81"/>
  </r>
  <r>
    <s v="2025-02-22"/>
    <x v="3"/>
    <x v="0"/>
    <s v="Construction Additives"/>
    <s v="Nairobi Depot"/>
    <s v="Nairobi Depot"/>
    <s v="TRK-012"/>
    <s v="D. Said"/>
    <n v="1033"/>
    <n v="827.27"/>
    <n v="854569.91"/>
    <n v="62"/>
    <s v="2025-02-23"/>
    <s v="2025-02-25"/>
    <s v="Late"/>
    <n v="3758.84"/>
    <n v="858328.75"/>
  </r>
  <r>
    <s v="2025-02-09"/>
    <x v="7"/>
    <x v="1"/>
    <s v="Industrial Cleaning Supplies"/>
    <s v="Nakuru Depot"/>
    <s v="Nakuru Depot"/>
    <s v="TRK-006"/>
    <s v="M. Otieno"/>
    <n v="1175"/>
    <n v="52.36"/>
    <n v="61523"/>
    <n v="333"/>
    <s v="2025-02-10"/>
    <s v="2025-02-12"/>
    <s v="Late"/>
    <n v="14151.95"/>
    <n v="75674.95"/>
  </r>
  <r>
    <s v="2025-12-09"/>
    <x v="4"/>
    <x v="5"/>
    <s v="WATER TREATMENT CHEMICALS"/>
    <s v="Nairobi Depot"/>
    <s v="Nairobi Depot"/>
    <s v="TRK-030"/>
    <s v="M. Otieno"/>
    <n v="55"/>
    <n v="339.54"/>
    <n v="18674.7"/>
    <n v="715"/>
    <s v="2025-12-12"/>
    <s v="2025-12-12"/>
    <s v="On Time"/>
    <n v="33982.65"/>
    <n v="52657.350000000006"/>
  </r>
  <r>
    <s v="2025-10-05"/>
    <x v="5"/>
    <x v="2"/>
    <s v="Protective Coatings"/>
    <s v="Mombasa Depot"/>
    <s v="Mombasa Depot"/>
    <s v="TRK-026"/>
    <s v="D. Said"/>
    <n v="1894"/>
    <n v="147.12"/>
    <n v="278645.28000000003"/>
    <n v="334"/>
    <s v="2025-10-06"/>
    <s v="2025-10-06"/>
    <s v="On Time"/>
    <n v="20440.490000000002"/>
    <n v="299085.77"/>
  </r>
  <r>
    <s v="2025-10-29"/>
    <x v="1"/>
    <x v="1"/>
    <s v="Industrial Cleaning Supplies"/>
    <s v="Nakuru Depot"/>
    <s v="Nakuru Depot"/>
    <s v="TRK-030"/>
    <s v="D. Said"/>
    <n v="2242"/>
    <n v="315.32"/>
    <n v="706947.44"/>
    <n v="243"/>
    <s v="2025-10-30"/>
    <s v="2025-10-30"/>
    <s v="On Time"/>
    <n v="12095.52"/>
    <n v="719042.96"/>
  </r>
  <r>
    <s v="2025-05-12"/>
    <x v="7"/>
    <x v="3"/>
    <s v="Packaging Materials"/>
    <s v="Nairobi Depot"/>
    <s v="Nairobi Depot"/>
    <s v="TRK-025"/>
    <s v="M. Otieno"/>
    <n v="2301"/>
    <n v="789.14"/>
    <n v="1815811.14"/>
    <n v="539"/>
    <s v="2025-05-14"/>
    <s v="2025-05-13"/>
    <s v="On Time"/>
    <n v="26784.21"/>
    <n v="1842595.3499999999"/>
  </r>
  <r>
    <s v="2025-12-06"/>
    <x v="1"/>
    <x v="1"/>
    <s v="Industrial Cleaning Supplies"/>
    <s v="Mombasa Depot"/>
    <s v="Mombasa Depot"/>
    <s v="TRK-015"/>
    <s v="P. Maina"/>
    <n v="205"/>
    <n v="847.51"/>
    <n v="173739.55"/>
    <n v="357"/>
    <s v="2025-12-08"/>
    <s v="2025-12-10"/>
    <s v="Late"/>
    <n v="17970.150000000001"/>
    <n v="191709.69999999998"/>
  </r>
  <r>
    <s v="2025-08-27"/>
    <x v="3"/>
    <x v="5"/>
    <s v="WATER TREATMENT CHEMICALS"/>
    <s v="Nakuru Depot"/>
    <s v="Nakuru Depot"/>
    <s v="TRK-030"/>
    <s v="K. Barasa"/>
    <n v="2014"/>
    <n v="451.68"/>
    <n v="909683.52"/>
    <n v="225"/>
    <s v="2025-08-28"/>
    <s v="2025-08-27"/>
    <s v="On Time"/>
    <n v="11426.37"/>
    <n v="921109.89"/>
  </r>
  <r>
    <s v="2025-03-04"/>
    <x v="3"/>
    <x v="3"/>
    <s v="Packaging Materials"/>
    <s v="Eldoret Depot"/>
    <s v="Eldoret Depot"/>
    <s v="TRK-029"/>
    <s v="K. Barasa"/>
    <n v="571"/>
    <n v="630.62"/>
    <n v="360084.02"/>
    <n v="225"/>
    <s v="2025-03-05"/>
    <s v="2025-03-05"/>
    <s v="On Time"/>
    <n v="12331.14"/>
    <n v="372415.16000000003"/>
  </r>
  <r>
    <s v="2025-06-24"/>
    <x v="3"/>
    <x v="2"/>
    <s v="Protective Coatings"/>
    <s v="Nakuru Depot"/>
    <s v="Nakuru Depot"/>
    <s v="TRK-001"/>
    <s v="B. Kiprono"/>
    <n v="451"/>
    <n v="529.38"/>
    <n v="238750.38"/>
    <n v="250"/>
    <s v="2025-06-25"/>
    <s v="2025-06-28"/>
    <s v="Late"/>
    <n v="12196.94"/>
    <n v="250947.32"/>
  </r>
  <r>
    <s v="2025-04-22"/>
    <x v="7"/>
    <x v="4"/>
    <s v="Maintenance Parts"/>
    <s v="Nairobi Depot"/>
    <s v="Nairobi Depot"/>
    <s v="TRK-011"/>
    <s v="L. Wekesa"/>
    <n v="1586"/>
    <n v="165.45"/>
    <n v="262403.7"/>
    <n v="147"/>
    <s v="2025-04-23"/>
    <s v="2025-04-27"/>
    <s v="Late"/>
    <n v="8648.2099999999991"/>
    <n v="271051.91000000003"/>
  </r>
  <r>
    <s v="2025-09-24"/>
    <x v="2"/>
    <x v="3"/>
    <s v="Packaging Materials"/>
    <s v="Nakuru Depot"/>
    <s v="Nakuru Depot"/>
    <s v="TRK-018"/>
    <s v="S. Chebet"/>
    <n v="2029"/>
    <n v="215.67"/>
    <n v="437594.43"/>
    <n v="383"/>
    <s v="2025-09-26"/>
    <s v="2025-09-28"/>
    <s v="Late"/>
    <n v="14599.6"/>
    <n v="452194.02999999997"/>
  </r>
  <r>
    <s v="2025-06-01"/>
    <x v="5"/>
    <x v="4"/>
    <s v="Maintenance Parts"/>
    <s v="Mombasa Depot"/>
    <s v="Mombasa Depot"/>
    <s v="TRK-009"/>
    <s v="A. Hassan"/>
    <n v="2244"/>
    <n v="182.38"/>
    <n v="409260.72"/>
    <n v="581"/>
    <s v="2025-06-03"/>
    <s v="2025-06-03"/>
    <s v="On Time"/>
    <n v="26184.55"/>
    <n v="435445.26999999996"/>
  </r>
  <r>
    <s v="2025-05-19"/>
    <x v="1"/>
    <x v="3"/>
    <s v="Packaging Materials"/>
    <s v="Mombasa Depot"/>
    <s v="Mombasa Depot"/>
    <s v="TRK-001"/>
    <s v="B. Kiprono"/>
    <n v="1407"/>
    <n v="884.09"/>
    <n v="1243914.6299999999"/>
    <n v="625"/>
    <s v="2025-05-21"/>
    <s v="2025-05-21"/>
    <s v="On Time"/>
    <n v="23850.21"/>
    <n v="1267764.8399999999"/>
  </r>
  <r>
    <s v="2025-05-02"/>
    <x v="3"/>
    <x v="1"/>
    <s v="Industrial Cleaning Supplies"/>
    <s v="Nakuru Depot"/>
    <s v="Nakuru Depot"/>
    <s v="TRK-018"/>
    <s v="S. Chebet"/>
    <n v="1084"/>
    <n v="514.17999999999995"/>
    <n v="557371.12"/>
    <n v="207"/>
    <s v="2025-05-03"/>
    <s v="2025-05-05"/>
    <s v="Late"/>
    <n v="10466.77"/>
    <n v="567837.89"/>
  </r>
  <r>
    <s v="2025-03-22"/>
    <x v="7"/>
    <x v="1"/>
    <s v="Industrial Cleaning Supplies"/>
    <s v="Nakuru Depot"/>
    <s v="Nakuru Depot"/>
    <s v="TRK-019"/>
    <s v="L. Wekesa"/>
    <n v="1822"/>
    <n v="760.13"/>
    <n v="1384956.86"/>
    <n v="313"/>
    <s v="2025-03-23"/>
    <s v="2025-03-23"/>
    <s v="On Time"/>
    <n v="15741.25"/>
    <n v="1400698.11"/>
  </r>
  <r>
    <s v="2025-04-08"/>
    <x v="1"/>
    <x v="5"/>
    <s v="WATER TREATMENT CHEMICALS"/>
    <s v="Nakuru Depot"/>
    <s v="Nakuru Depot"/>
    <s v="TRK-020"/>
    <s v="S. Chebet"/>
    <n v="315"/>
    <n v="312.3"/>
    <n v="98374.5"/>
    <n v="434"/>
    <s v="2025-04-10"/>
    <s v="2025-04-14"/>
    <s v="Late"/>
    <n v="22018.44"/>
    <n v="120392.94"/>
  </r>
  <r>
    <s v="2025-07-26"/>
    <x v="5"/>
    <x v="5"/>
    <s v="WATER TREATMENT CHEMICALS"/>
    <s v="Nairobi Depot"/>
    <s v="Nairobi Depot"/>
    <s v="TRK-001"/>
    <s v="D. Said"/>
    <n v="1102"/>
    <n v="528.88"/>
    <n v="582825.76"/>
    <n v="71"/>
    <s v="2025-07-27"/>
    <s v="2025-07-27"/>
    <s v="On Time"/>
    <n v="3829.59"/>
    <n v="586655.35"/>
  </r>
  <r>
    <s v="2025-06-02"/>
    <x v="6"/>
    <x v="5"/>
    <s v="WATER TREATMENT CHEMICALS"/>
    <s v="Eldoret Depot"/>
    <s v="Eldoret Depot"/>
    <s v="TRK-002"/>
    <s v="M. Otieno"/>
    <n v="199"/>
    <n v="506.77"/>
    <n v="100847.23"/>
    <n v="484"/>
    <s v="2025-06-04"/>
    <s v="2025-06-08"/>
    <s v="Late"/>
    <n v="27338.92"/>
    <n v="128186.15"/>
  </r>
  <r>
    <s v="2025-06-07"/>
    <x v="0"/>
    <x v="0"/>
    <s v="Construction Additives"/>
    <s v="Nairobi Depot"/>
    <s v="Nairobi Depot"/>
    <s v="TRK-023"/>
    <s v="B. Kiprono"/>
    <n v="1284"/>
    <n v="189.88"/>
    <n v="243805.92"/>
    <n v="492"/>
    <s v="2025-06-09"/>
    <s v="2025-06-13"/>
    <s v="Late"/>
    <n v="28183.42"/>
    <n v="271989.34000000003"/>
  </r>
  <r>
    <s v="2025-04-19"/>
    <x v="5"/>
    <x v="2"/>
    <s v="Protective Coatings"/>
    <s v="Nakuru Depot"/>
    <s v="Nakuru Depot"/>
    <s v="TRK-010"/>
    <s v="S. Chebet"/>
    <n v="513"/>
    <n v="654.25"/>
    <n v="335630.25"/>
    <n v="624"/>
    <s v="2025-04-21"/>
    <s v="2025-04-23"/>
    <s v="Late"/>
    <n v="30266.73"/>
    <n v="365896.98"/>
  </r>
  <r>
    <s v="2025-05-11"/>
    <x v="2"/>
    <x v="4"/>
    <s v="Maintenance Parts"/>
    <s v="Mombasa Depot"/>
    <s v="Mombasa Depot"/>
    <s v="TRK-030"/>
    <s v="D. Said"/>
    <n v="1611"/>
    <n v="296.7"/>
    <n v="477983.7"/>
    <n v="226"/>
    <s v="2025-05-12"/>
    <s v="2025-05-16"/>
    <s v="Late"/>
    <n v="13138.33"/>
    <n v="491122.03"/>
  </r>
  <r>
    <s v="2025-03-07"/>
    <x v="1"/>
    <x v="5"/>
    <s v="WATER TREATMENT CHEMICALS"/>
    <s v="Eldoret Depot"/>
    <s v="Eldoret Depot"/>
    <s v="TRK-004"/>
    <s v="D. Said"/>
    <n v="868"/>
    <n v="124.97"/>
    <n v="108473.96"/>
    <n v="177"/>
    <s v="2025-03-08"/>
    <s v="2025-03-10"/>
    <s v="Late"/>
    <n v="10814.83"/>
    <n v="119288.79000000001"/>
  </r>
  <r>
    <s v="2025-02-23"/>
    <x v="7"/>
    <x v="4"/>
    <s v="Maintenance Parts"/>
    <s v="Eldoret Depot"/>
    <s v="Eldoret Depot"/>
    <s v="TRK-016"/>
    <s v="L. Wekesa"/>
    <n v="889"/>
    <n v="516.51"/>
    <n v="459177.39"/>
    <n v="385"/>
    <s v="2025-02-25"/>
    <s v="2025-03-01"/>
    <s v="Late"/>
    <n v="19632.97"/>
    <n v="478810.36"/>
  </r>
  <r>
    <s v="2025-03-06"/>
    <x v="2"/>
    <x v="1"/>
    <s v="Industrial Cleaning Supplies"/>
    <s v="Nakuru Depot"/>
    <s v="Nakuru Depot"/>
    <s v="TRK-030"/>
    <s v="S. Chebet"/>
    <n v="69"/>
    <n v="66.510000000000005"/>
    <n v="4589.1899999999996"/>
    <n v="333"/>
    <s v="2025-03-07"/>
    <s v="2025-03-10"/>
    <s v="Late"/>
    <n v="18704.09"/>
    <n v="23293.279999999999"/>
  </r>
  <r>
    <s v="2025-04-13"/>
    <x v="0"/>
    <x v="1"/>
    <s v="Industrial Cleaning Supplies"/>
    <s v="Nakuru Depot"/>
    <s v="Nakuru Depot"/>
    <s v="TRK-026"/>
    <s v="S. Chebet"/>
    <n v="1080"/>
    <n v="727.81"/>
    <n v="786034.8"/>
    <n v="303"/>
    <s v="2025-04-14"/>
    <s v="2025-04-17"/>
    <s v="Late"/>
    <n v="13123.05"/>
    <n v="799157.85000000009"/>
  </r>
  <r>
    <s v="2025-01-04"/>
    <x v="5"/>
    <x v="0"/>
    <s v="Construction Additives"/>
    <s v="Mombasa Depot"/>
    <s v="Mombasa Depot"/>
    <s v="TRK-003"/>
    <s v="D. Said"/>
    <n v="837"/>
    <n v="397.91"/>
    <n v="333050.67"/>
    <n v="665"/>
    <s v="2025-01-06"/>
    <s v="2025-01-06"/>
    <s v="On Time"/>
    <n v="35485.26"/>
    <n v="368535.93"/>
  </r>
  <r>
    <s v="2025-04-19"/>
    <x v="3"/>
    <x v="3"/>
    <s v="Packaging Materials"/>
    <s v="Eldoret Depot"/>
    <s v="Eldoret Depot"/>
    <s v="TRK-015"/>
    <s v="A. Hassan"/>
    <n v="320"/>
    <n v="722.38"/>
    <n v="231161.60000000001"/>
    <n v="710"/>
    <s v="2025-04-22"/>
    <s v="2025-04-22"/>
    <s v="On Time"/>
    <n v="43523.44"/>
    <n v="274685.04000000004"/>
  </r>
  <r>
    <s v="2025-07-03"/>
    <x v="7"/>
    <x v="3"/>
    <s v="Packaging Materials"/>
    <s v="Nairobi Depot"/>
    <s v="Nairobi Depot"/>
    <s v="TRK-017"/>
    <s v="M. Otieno"/>
    <n v="534"/>
    <n v="112.49"/>
    <n v="60069.66"/>
    <n v="237"/>
    <s v="2025-07-04"/>
    <s v="2025-07-06"/>
    <s v="Late"/>
    <n v="11823.61"/>
    <n v="71893.27"/>
  </r>
  <r>
    <s v="2025-01-13"/>
    <x v="0"/>
    <x v="4"/>
    <s v="Maintenance Parts"/>
    <s v="Mombasa Depot"/>
    <s v="Mombasa Depot"/>
    <s v="TRK-011"/>
    <s v="E. Achieng"/>
    <n v="2303"/>
    <n v="605.47"/>
    <n v="1394397.41"/>
    <n v="405"/>
    <s v="2025-01-15"/>
    <s v="2025-01-17"/>
    <s v="Late"/>
    <n v="19682.71"/>
    <n v="1414080.1199999999"/>
  </r>
  <r>
    <s v="2025-01-09"/>
    <x v="3"/>
    <x v="3"/>
    <s v="Packaging Materials"/>
    <s v="Eldoret Depot"/>
    <s v="Eldoret Depot"/>
    <s v="TRK-013"/>
    <s v="B. Kiprono"/>
    <n v="1005"/>
    <n v="475.18"/>
    <n v="477555.9"/>
    <n v="499"/>
    <s v="2025-01-11"/>
    <s v="2025-01-11"/>
    <s v="On Time"/>
    <n v="28268.62"/>
    <n v="505824.52"/>
  </r>
  <r>
    <s v="2025-10-23"/>
    <x v="0"/>
    <x v="1"/>
    <s v="Industrial Cleaning Supplies"/>
    <s v="Nairobi Depot"/>
    <s v="Nairobi Depot"/>
    <s v="TRK-018"/>
    <s v="A. Hassan"/>
    <n v="1070"/>
    <n v="66.849999999999994"/>
    <n v="71529.5"/>
    <n v="124"/>
    <s v="2025-10-24"/>
    <s v="2025-10-27"/>
    <s v="Late"/>
    <n v="5844.23"/>
    <n v="77373.73"/>
  </r>
  <r>
    <s v="2025-01-22"/>
    <x v="5"/>
    <x v="0"/>
    <s v="Construction Additives"/>
    <s v="Mombasa Depot"/>
    <s v="Mombasa Depot"/>
    <s v="TRK-011"/>
    <s v="L. Wekesa"/>
    <n v="737"/>
    <n v="738.15"/>
    <n v="544016.55000000005"/>
    <n v="88"/>
    <s v="2025-01-23"/>
    <s v="2025-01-26"/>
    <s v="Late"/>
    <n v="4388.3500000000004"/>
    <n v="548404.9"/>
  </r>
  <r>
    <s v="2025-05-18"/>
    <x v="0"/>
    <x v="0"/>
    <s v="Construction Additives"/>
    <s v="Nakuru Depot"/>
    <s v="Nakuru Depot"/>
    <s v="TRK-018"/>
    <s v="L. Wekesa"/>
    <n v="1946"/>
    <n v="761.64"/>
    <n v="1482151.44"/>
    <n v="377"/>
    <s v="2025-05-20"/>
    <s v="2025-05-23"/>
    <s v="Late"/>
    <n v="20409.53"/>
    <n v="1502560.97"/>
  </r>
  <r>
    <s v="2025-05-05"/>
    <x v="1"/>
    <x v="4"/>
    <s v="Maintenance Parts"/>
    <s v="Mombasa Depot"/>
    <s v="Mombasa Depot"/>
    <s v="TRK-024"/>
    <s v="B. Kiprono"/>
    <n v="557"/>
    <n v="841.61"/>
    <n v="468776.77"/>
    <n v="647"/>
    <s v="2025-05-07"/>
    <s v="2025-05-08"/>
    <s v="Late"/>
    <n v="31846.76"/>
    <n v="500623.53"/>
  </r>
  <r>
    <s v="2025-01-05"/>
    <x v="5"/>
    <x v="5"/>
    <s v="WATER TREATMENT CHEMICALS"/>
    <s v="Eldoret Depot"/>
    <s v="Eldoret Depot"/>
    <s v="TRK-011"/>
    <s v="E. Achieng"/>
    <n v="440"/>
    <n v="826.75"/>
    <n v="363770"/>
    <n v="50"/>
    <s v="2025-01-06"/>
    <s v="2025-01-05"/>
    <s v="On Time"/>
    <n v="2799.8"/>
    <n v="366569.8"/>
  </r>
  <r>
    <s v="2025-10-17"/>
    <x v="3"/>
    <x v="0"/>
    <s v="Construction Additives"/>
    <s v="Nairobi Depot"/>
    <s v="Nairobi Depot"/>
    <s v="TRK-010"/>
    <s v="P. Maina"/>
    <n v="446"/>
    <n v="556.91999999999996"/>
    <n v="248386.32"/>
    <n v="298"/>
    <s v="2025-10-18"/>
    <s v="2025-10-19"/>
    <s v="Late"/>
    <n v="12363.12"/>
    <n v="260749.44"/>
  </r>
  <r>
    <s v="2025-03-31"/>
    <x v="3"/>
    <x v="2"/>
    <s v="Protective Coatings"/>
    <s v="Mombasa Depot"/>
    <s v="Mombasa Depot"/>
    <s v="TRK-022"/>
    <s v="B. Kiprono"/>
    <n v="2369"/>
    <n v="780.45"/>
    <n v="1848886.05"/>
    <n v="247"/>
    <s v="2025-04-01"/>
    <s v="2025-04-02"/>
    <s v="Late"/>
    <n v="15047.4"/>
    <n v="1863933.45"/>
  </r>
  <r>
    <s v="2025-07-28"/>
    <x v="0"/>
    <x v="3"/>
    <s v="Packaging Materials"/>
    <s v="Eldoret Depot"/>
    <s v="Eldoret Depot"/>
    <s v="TRK-021"/>
    <s v="K. Barasa"/>
    <n v="1015"/>
    <n v="525.70000000000005"/>
    <n v="533585.5"/>
    <n v="452"/>
    <s v="2025-07-30"/>
    <s v="2025-07-31"/>
    <s v="Late"/>
    <n v="17109.63"/>
    <n v="550695.13"/>
  </r>
  <r>
    <s v="2025-06-23"/>
    <x v="3"/>
    <x v="1"/>
    <s v="Industrial Cleaning Supplies"/>
    <s v="Nairobi Depot"/>
    <s v="Nairobi Depot"/>
    <s v="TRK-029"/>
    <s v="B. Kiprono"/>
    <n v="1563"/>
    <n v="357.66"/>
    <n v="559022.57999999996"/>
    <n v="534"/>
    <s v="2025-06-25"/>
    <s v="2025-06-25"/>
    <s v="On Time"/>
    <n v="30714.61"/>
    <n v="589737.18999999994"/>
  </r>
  <r>
    <s v="2025-01-14"/>
    <x v="6"/>
    <x v="1"/>
    <s v="Industrial Cleaning Supplies"/>
    <s v="Nairobi Depot"/>
    <s v="Nairobi Depot"/>
    <s v="TRK-015"/>
    <s v="E. Achieng"/>
    <n v="2061"/>
    <n v="639.1"/>
    <n v="1317185.1000000001"/>
    <n v="685"/>
    <s v="2025-01-16"/>
    <s v="2025-01-18"/>
    <s v="Late"/>
    <n v="24678.18"/>
    <n v="1341863.28"/>
  </r>
  <r>
    <s v="2025-11-30"/>
    <x v="7"/>
    <x v="0"/>
    <s v="Construction Additives"/>
    <s v="Eldoret Depot"/>
    <s v="Eldoret Depot"/>
    <s v="TRK-007"/>
    <s v="L. Wekesa"/>
    <n v="532"/>
    <n v="842.1"/>
    <n v="447997.2"/>
    <n v="28"/>
    <s v="2025-12-01"/>
    <s v="2025-11-30"/>
    <s v="On Time"/>
    <n v="1697.38"/>
    <n v="449694.58"/>
  </r>
  <r>
    <s v="2025-09-29"/>
    <x v="4"/>
    <x v="3"/>
    <s v="Packaging Materials"/>
    <s v="Nakuru Depot"/>
    <s v="Nakuru Depot"/>
    <s v="TRK-030"/>
    <s v="P. Maina"/>
    <n v="324"/>
    <n v="264.79000000000002"/>
    <n v="85791.96"/>
    <n v="64"/>
    <s v="2025-09-30"/>
    <s v="2025-09-30"/>
    <s v="On Time"/>
    <n v="3923.38"/>
    <n v="89715.340000000011"/>
  </r>
  <r>
    <s v="2025-11-05"/>
    <x v="4"/>
    <x v="5"/>
    <s v="WATER TREATMENT CHEMICALS"/>
    <s v="Mombasa Depot"/>
    <s v="Mombasa Depot"/>
    <s v="TRK-020"/>
    <s v="E. Achieng"/>
    <n v="888"/>
    <n v="476.18"/>
    <n v="422847.84"/>
    <n v="621"/>
    <s v="2025-11-07"/>
    <s v="2025-11-09"/>
    <s v="Late"/>
    <n v="32828.65"/>
    <n v="455676.49000000005"/>
  </r>
  <r>
    <s v="2025-05-03"/>
    <x v="0"/>
    <x v="1"/>
    <s v="Industrial Cleaning Supplies"/>
    <s v="Nakuru Depot"/>
    <s v="Nakuru Depot"/>
    <s v="TRK-002"/>
    <s v="S. Chebet"/>
    <n v="1541"/>
    <n v="600.45000000000005"/>
    <n v="925293.45"/>
    <n v="194"/>
    <s v="2025-05-04"/>
    <s v="2025-05-07"/>
    <s v="Late"/>
    <n v="7552.64"/>
    <n v="932846.09"/>
  </r>
  <r>
    <s v="2025-05-08"/>
    <x v="6"/>
    <x v="5"/>
    <s v="WATER TREATMENT CHEMICALS"/>
    <s v="Nakuru Depot"/>
    <s v="Nakuru Depot"/>
    <s v="TRK-004"/>
    <s v="J. Mutua"/>
    <n v="1710"/>
    <n v="675.15"/>
    <n v="1154506.5"/>
    <n v="347"/>
    <s v="2025-05-09"/>
    <s v="2025-05-09"/>
    <s v="On Time"/>
    <n v="14429.46"/>
    <n v="1168935.96"/>
  </r>
  <r>
    <s v="2025-12-15"/>
    <x v="6"/>
    <x v="1"/>
    <s v="Industrial Cleaning Supplies"/>
    <s v="Eldoret Depot"/>
    <s v="Eldoret Depot"/>
    <s v="TRK-023"/>
    <s v="B. Kiprono"/>
    <n v="2175"/>
    <n v="256.2"/>
    <n v="557235"/>
    <n v="404"/>
    <s v="2025-12-17"/>
    <s v="2025-12-21"/>
    <s v="Late"/>
    <n v="19105.71"/>
    <n v="576340.71"/>
  </r>
  <r>
    <s v="2025-10-30"/>
    <x v="0"/>
    <x v="4"/>
    <s v="Maintenance Parts"/>
    <s v="Nakuru Depot"/>
    <s v="Nakuru Depot"/>
    <s v="TRK-023"/>
    <s v="P. Maina"/>
    <n v="1751"/>
    <n v="723.9"/>
    <n v="1267548.8999999999"/>
    <n v="262"/>
    <s v="2025-10-31"/>
    <s v="2025-11-03"/>
    <s v="Late"/>
    <n v="12001.06"/>
    <n v="1279549.96"/>
  </r>
  <r>
    <s v="2025-06-11"/>
    <x v="0"/>
    <x v="0"/>
    <s v="Construction Additives"/>
    <s v="Eldoret Depot"/>
    <s v="Eldoret Depot"/>
    <s v="TRK-018"/>
    <s v="L. Wekesa"/>
    <n v="2380"/>
    <n v="493.51"/>
    <n v="1174553.8"/>
    <n v="494"/>
    <s v="2025-06-13"/>
    <s v="2025-06-14"/>
    <s v="Late"/>
    <n v="19381.599999999999"/>
    <n v="1193935.4000000001"/>
  </r>
  <r>
    <s v="2025-06-16"/>
    <x v="1"/>
    <x v="0"/>
    <s v="Construction Additives"/>
    <s v="Nairobi Depot"/>
    <s v="Nairobi Depot"/>
    <s v="TRK-007"/>
    <s v="E. Achieng"/>
    <n v="1481"/>
    <n v="354.17"/>
    <n v="524525.77"/>
    <n v="231"/>
    <s v="2025-06-17"/>
    <s v="2025-06-20"/>
    <s v="Late"/>
    <n v="10342.33"/>
    <n v="534868.1"/>
  </r>
  <r>
    <s v="2025-06-26"/>
    <x v="0"/>
    <x v="3"/>
    <s v="Packaging Materials"/>
    <s v="Eldoret Depot"/>
    <s v="Eldoret Depot"/>
    <s v="TRK-005"/>
    <s v="J. Mutua"/>
    <n v="393"/>
    <n v="419.42"/>
    <n v="164832.06"/>
    <n v="432"/>
    <s v="2025-06-28"/>
    <s v="2025-06-29"/>
    <s v="Late"/>
    <n v="15627.66"/>
    <n v="180459.72"/>
  </r>
  <r>
    <s v="2025-05-21"/>
    <x v="1"/>
    <x v="1"/>
    <s v="Industrial Cleaning Supplies"/>
    <s v="Mombasa Depot"/>
    <s v="Mombasa Depot"/>
    <s v="TRK-003"/>
    <s v="K. Barasa"/>
    <n v="2186"/>
    <n v="435.32"/>
    <n v="951609.52"/>
    <n v="170"/>
    <s v="2025-05-22"/>
    <s v="2025-05-24"/>
    <s v="Late"/>
    <n v="8930.92"/>
    <n v="960540.44000000006"/>
  </r>
  <r>
    <s v="2025-08-29"/>
    <x v="1"/>
    <x v="4"/>
    <s v="Maintenance Parts"/>
    <s v="Eldoret Depot"/>
    <s v="Eldoret Depot"/>
    <s v="TRK-022"/>
    <s v="P. Maina"/>
    <n v="1096"/>
    <n v="395.97"/>
    <n v="433983.12"/>
    <n v="624"/>
    <s v="2025-08-31"/>
    <s v="2025-08-31"/>
    <s v="On Time"/>
    <n v="38484.04"/>
    <n v="472467.16"/>
  </r>
  <r>
    <s v="2025-06-18"/>
    <x v="1"/>
    <x v="5"/>
    <s v="WATER TREATMENT CHEMICALS"/>
    <s v="Nairobi Depot"/>
    <s v="Nairobi Depot"/>
    <s v="TRK-021"/>
    <s v="P. Maina"/>
    <n v="1673"/>
    <n v="403.19"/>
    <n v="674536.87"/>
    <n v="696"/>
    <s v="2025-06-20"/>
    <s v="2025-06-20"/>
    <s v="On Time"/>
    <n v="27411.26"/>
    <n v="701948.13"/>
  </r>
  <r>
    <s v="2025-04-02"/>
    <x v="5"/>
    <x v="4"/>
    <s v="Maintenance Parts"/>
    <s v="Eldoret Depot"/>
    <s v="Eldoret Depot"/>
    <s v="TRK-020"/>
    <s v="A. Hassan"/>
    <n v="428"/>
    <n v="668.52"/>
    <n v="286126.56"/>
    <n v="510"/>
    <s v="2025-04-04"/>
    <s v="2025-04-03"/>
    <s v="On Time"/>
    <n v="26578.07"/>
    <n v="312704.63"/>
  </r>
  <r>
    <s v="2025-10-05"/>
    <x v="5"/>
    <x v="2"/>
    <s v="Protective Coatings"/>
    <s v="Eldoret Depot"/>
    <s v="Eldoret Depot"/>
    <s v="TRK-018"/>
    <s v="D. Said"/>
    <n v="1449"/>
    <n v="631.53"/>
    <n v="915086.97"/>
    <n v="604"/>
    <s v="2025-10-07"/>
    <s v="2025-10-11"/>
    <s v="Late"/>
    <n v="30941.93"/>
    <n v="946028.9"/>
  </r>
  <r>
    <s v="2025-02-17"/>
    <x v="0"/>
    <x v="3"/>
    <s v="Packaging Materials"/>
    <s v="Nairobi Depot"/>
    <s v="Nairobi Depot"/>
    <s v="TRK-006"/>
    <s v="P. Maina"/>
    <n v="530"/>
    <n v="626.01"/>
    <n v="331785.3"/>
    <n v="499"/>
    <s v="2025-02-19"/>
    <s v="2025-02-19"/>
    <s v="On Time"/>
    <n v="29665.95"/>
    <n v="361451.25"/>
  </r>
  <r>
    <s v="2025-04-04"/>
    <x v="6"/>
    <x v="2"/>
    <s v="Protective Coatings"/>
    <s v="Eldoret Depot"/>
    <s v="Eldoret Depot"/>
    <s v="TRK-028"/>
    <s v="L. Wekesa"/>
    <n v="1057"/>
    <n v="784.29"/>
    <n v="828994.53"/>
    <n v="180"/>
    <s v="2025-04-05"/>
    <s v="2025-04-04"/>
    <s v="On Time"/>
    <n v="9396.33"/>
    <n v="838390.86"/>
  </r>
  <r>
    <s v="2025-06-18"/>
    <x v="7"/>
    <x v="0"/>
    <s v="Construction Additives"/>
    <s v="Nakuru Depot"/>
    <s v="Nakuru Depot"/>
    <s v="TRK-002"/>
    <s v="K. Barasa"/>
    <n v="314"/>
    <n v="454.33"/>
    <n v="142659.62"/>
    <n v="472"/>
    <s v="2025-06-20"/>
    <s v="2025-06-21"/>
    <s v="Late"/>
    <n v="16704.330000000002"/>
    <n v="159363.95000000001"/>
  </r>
  <r>
    <s v="2025-02-17"/>
    <x v="5"/>
    <x v="4"/>
    <s v="Maintenance Parts"/>
    <s v="Nakuru Depot"/>
    <s v="Nakuru Depot"/>
    <s v="TRK-004"/>
    <s v="B. Kiprono"/>
    <n v="747"/>
    <n v="891.12"/>
    <n v="665666.64"/>
    <n v="168"/>
    <s v="2025-02-18"/>
    <s v="2025-02-18"/>
    <s v="On Time"/>
    <n v="7600.89"/>
    <n v="673267.53"/>
  </r>
  <r>
    <s v="2025-08-20"/>
    <x v="5"/>
    <x v="4"/>
    <s v="Maintenance Parts"/>
    <s v="Mombasa Depot"/>
    <s v="Mombasa Depot"/>
    <s v="TRK-005"/>
    <s v="E. Achieng"/>
    <n v="1728"/>
    <n v="256.82"/>
    <n v="443784.96000000002"/>
    <n v="308"/>
    <s v="2025-08-21"/>
    <s v="2025-08-21"/>
    <s v="On Time"/>
    <n v="18669.990000000002"/>
    <n v="462454.95"/>
  </r>
  <r>
    <s v="2025-11-12"/>
    <x v="7"/>
    <x v="0"/>
    <s v="Construction Additives"/>
    <s v="Mombasa Depot"/>
    <s v="Mombasa Depot"/>
    <s v="TRK-017"/>
    <s v="B. Kiprono"/>
    <n v="2451"/>
    <n v="147.32"/>
    <n v="361081.32"/>
    <n v="167"/>
    <s v="2025-11-13"/>
    <s v="2025-11-13"/>
    <s v="On Time"/>
    <n v="8058.83"/>
    <n v="369140.15"/>
  </r>
  <r>
    <s v="2025-01-14"/>
    <x v="3"/>
    <x v="1"/>
    <s v="Industrial Cleaning Supplies"/>
    <s v="Eldoret Depot"/>
    <s v="Eldoret Depot"/>
    <s v="TRK-021"/>
    <s v="M. Otieno"/>
    <n v="1431"/>
    <n v="408.93"/>
    <n v="585178.82999999996"/>
    <n v="239"/>
    <s v="2025-01-15"/>
    <s v="2025-01-19"/>
    <s v="Late"/>
    <n v="14325.49"/>
    <n v="599504.31999999995"/>
  </r>
  <r>
    <s v="2025-11-08"/>
    <x v="7"/>
    <x v="2"/>
    <s v="Protective Coatings"/>
    <s v="Mombasa Depot"/>
    <s v="Mombasa Depot"/>
    <s v="TRK-029"/>
    <s v="S. Chebet"/>
    <n v="236"/>
    <n v="606.35"/>
    <n v="143098.6"/>
    <n v="312"/>
    <s v="2025-11-09"/>
    <s v="2025-11-10"/>
    <s v="Late"/>
    <n v="18411.060000000001"/>
    <n v="161509.66"/>
  </r>
  <r>
    <s v="2025-01-31"/>
    <x v="6"/>
    <x v="0"/>
    <s v="Construction Additives"/>
    <s v="Eldoret Depot"/>
    <s v="Eldoret Depot"/>
    <s v="TRK-017"/>
    <s v="D. Said"/>
    <n v="214"/>
    <n v="343.91"/>
    <n v="73596.740000000005"/>
    <n v="442"/>
    <s v="2025-02-02"/>
    <s v="2025-02-02"/>
    <s v="On Time"/>
    <n v="24169.55"/>
    <n v="97766.290000000008"/>
  </r>
  <r>
    <s v="2025-01-13"/>
    <x v="4"/>
    <x v="0"/>
    <s v="Construction Additives"/>
    <s v="Nakuru Depot"/>
    <s v="Nakuru Depot"/>
    <s v="TRK-026"/>
    <s v="J. Mutua"/>
    <n v="1955"/>
    <n v="619.79"/>
    <n v="1211689.45"/>
    <n v="589"/>
    <s v="2025-01-15"/>
    <s v="2025-01-15"/>
    <s v="On Time"/>
    <n v="30287.55"/>
    <n v="1241977"/>
  </r>
  <r>
    <s v="2025-08-14"/>
    <x v="7"/>
    <x v="1"/>
    <s v="Industrial Cleaning Supplies"/>
    <s v="Mombasa Depot"/>
    <s v="Mombasa Depot"/>
    <s v="TRK-023"/>
    <s v="B. Kiprono"/>
    <n v="1954"/>
    <n v="785.02"/>
    <n v="1533929.08"/>
    <n v="331"/>
    <s v="2025-08-15"/>
    <s v="2025-08-18"/>
    <s v="Late"/>
    <n v="13877.77"/>
    <n v="1547806.85"/>
  </r>
  <r>
    <s v="2025-03-02"/>
    <x v="7"/>
    <x v="4"/>
    <s v="Maintenance Parts"/>
    <s v="Nakuru Depot"/>
    <s v="Nakuru Depot"/>
    <s v="TRK-002"/>
    <s v="D. Said"/>
    <n v="128"/>
    <n v="750.56"/>
    <n v="96071.679999999993"/>
    <n v="567"/>
    <s v="2025-03-04"/>
    <s v="2025-03-03"/>
    <s v="On Time"/>
    <n v="20385.830000000002"/>
    <n v="116457.51"/>
  </r>
  <r>
    <s v="2025-02-08"/>
    <x v="1"/>
    <x v="2"/>
    <s v="Protective Coatings"/>
    <s v="Mombasa Depot"/>
    <s v="Mombasa Depot"/>
    <s v="TRK-022"/>
    <s v="J. Mutua"/>
    <n v="1992"/>
    <n v="463.7"/>
    <n v="923690.4"/>
    <n v="168"/>
    <s v="2025-02-09"/>
    <s v="2025-02-09"/>
    <s v="On Time"/>
    <n v="0"/>
    <n v="923690.4"/>
  </r>
  <r>
    <s v="2025-06-04"/>
    <x v="6"/>
    <x v="3"/>
    <s v="Packaging Materials"/>
    <s v="Eldoret Depot"/>
    <s v="Eldoret Depot"/>
    <s v="TRK-003"/>
    <s v="A. Hassan"/>
    <n v="727"/>
    <n v="514.83000000000004"/>
    <n v="374281.41"/>
    <n v="365"/>
    <s v="2025-06-06"/>
    <s v="2025-06-06"/>
    <s v="On Time"/>
    <n v="16914.39"/>
    <n v="391195.8"/>
  </r>
  <r>
    <s v="2025-08-01"/>
    <x v="3"/>
    <x v="3"/>
    <s v="Packaging Materials"/>
    <s v="Nakuru Depot"/>
    <s v="Nakuru Depot"/>
    <s v="TRK-005"/>
    <s v="B. Kiprono"/>
    <n v="365"/>
    <n v="78.23"/>
    <n v="28553.95"/>
    <n v="440"/>
    <s v="2025-08-03"/>
    <s v="2025-08-05"/>
    <s v="Late"/>
    <n v="16959.310000000001"/>
    <n v="45513.26"/>
  </r>
  <r>
    <s v="2025-05-22"/>
    <x v="7"/>
    <x v="3"/>
    <s v="Packaging Materials"/>
    <s v="Nakuru Depot"/>
    <s v="Nakuru Depot"/>
    <s v="TRK-001"/>
    <s v="M. Otieno"/>
    <n v="1978"/>
    <n v="656.9"/>
    <n v="1299348.2"/>
    <n v="286"/>
    <s v="2025-05-23"/>
    <s v="2025-05-23"/>
    <s v="On Time"/>
    <n v="10443.370000000001"/>
    <n v="1309791.57"/>
  </r>
  <r>
    <s v="2025-02-03"/>
    <x v="1"/>
    <x v="2"/>
    <s v="Protective Coatings"/>
    <s v="Nairobi Depot"/>
    <s v="Nairobi Depot"/>
    <s v="TRK-022"/>
    <s v="D. Said"/>
    <n v="1352"/>
    <n v="78.88"/>
    <n v="106645.75999999999"/>
    <n v="339"/>
    <s v="2025-02-04"/>
    <s v="2025-02-06"/>
    <s v="Late"/>
    <n v="18736.18"/>
    <n v="125381.94"/>
  </r>
  <r>
    <s v="2025-09-04"/>
    <x v="4"/>
    <x v="1"/>
    <s v="Industrial Cleaning Supplies"/>
    <s v="Nakuru Depot"/>
    <s v="Nakuru Depot"/>
    <s v="TRK-026"/>
    <s v="L. Wekesa"/>
    <n v="1292"/>
    <n v="836.19"/>
    <n v="1080357.48"/>
    <n v="631"/>
    <s v="2025-09-06"/>
    <s v="2025-09-06"/>
    <s v="On Time"/>
    <n v="28273.49"/>
    <n v="1108630.97"/>
  </r>
  <r>
    <s v="2025-02-10"/>
    <x v="5"/>
    <x v="1"/>
    <s v="Industrial Cleaning Supplies"/>
    <s v="Mombasa Depot"/>
    <s v="Mombasa Depot"/>
    <s v="TRK-011"/>
    <s v="M. Otieno"/>
    <n v="597"/>
    <n v="499.01"/>
    <n v="297908.96999999997"/>
    <n v="431"/>
    <s v="2025-02-12"/>
    <s v="2025-02-15"/>
    <s v="Late"/>
    <n v="18273.78"/>
    <n v="316182.75"/>
  </r>
  <r>
    <s v="2025-10-03"/>
    <x v="1"/>
    <x v="2"/>
    <s v="Protective Coatings"/>
    <s v="Nairobi Depot"/>
    <s v="Nairobi Depot"/>
    <s v="TRK-027"/>
    <s v="D. Said"/>
    <n v="1367"/>
    <n v="331.56"/>
    <n v="453242.52"/>
    <n v="41"/>
    <s v="2025-10-04"/>
    <s v="2025-10-03"/>
    <s v="On Time"/>
    <n v="2165.6799999999998"/>
    <n v="455408.2"/>
  </r>
  <r>
    <s v="2025-09-01"/>
    <x v="0"/>
    <x v="0"/>
    <s v="Construction Additives"/>
    <s v="Nairobi Depot"/>
    <s v="Nairobi Depot"/>
    <s v="TRK-022"/>
    <s v="D. Said"/>
    <n v="467"/>
    <n v="664.43"/>
    <n v="310288.81"/>
    <n v="619"/>
    <s v="2025-09-03"/>
    <s v="2025-09-05"/>
    <s v="Late"/>
    <n v="35981.24"/>
    <n v="346270.05"/>
  </r>
  <r>
    <s v="2025-01-02"/>
    <x v="1"/>
    <x v="1"/>
    <s v="Industrial Cleaning Supplies"/>
    <s v="Nakuru Depot"/>
    <s v="Nakuru Depot"/>
    <s v="TRK-002"/>
    <s v="J. Mutua"/>
    <n v="1958"/>
    <n v="511.3"/>
    <n v="1001125.4"/>
    <n v="381"/>
    <s v="2025-01-04"/>
    <s v="2025-01-07"/>
    <s v="Late"/>
    <n v="21863.46"/>
    <n v="1022988.86"/>
  </r>
  <r>
    <s v="2025-04-30"/>
    <x v="3"/>
    <x v="5"/>
    <s v="WATER TREATMENT CHEMICALS"/>
    <s v="Nairobi Depot"/>
    <s v="Nairobi Depot"/>
    <s v="TRK-015"/>
    <s v="P. Maina"/>
    <n v="386"/>
    <n v="248.52"/>
    <n v="95928.72"/>
    <n v="158"/>
    <s v="2025-05-01"/>
    <s v="2025-05-01"/>
    <s v="On Time"/>
    <n v="6353.48"/>
    <n v="102282.2"/>
  </r>
  <r>
    <s v="2025-11-29"/>
    <x v="5"/>
    <x v="3"/>
    <s v="Packaging Materials"/>
    <s v="Eldoret Depot"/>
    <s v="Eldoret Depot"/>
    <s v="TRK-024"/>
    <s v="E. Achieng"/>
    <n v="1509"/>
    <n v="131.88"/>
    <n v="199006.92"/>
    <n v="588"/>
    <s v="2025-12-01"/>
    <s v="2025-12-01"/>
    <s v="On Time"/>
    <n v="27271.14"/>
    <n v="226278.06"/>
  </r>
  <r>
    <s v="2025-02-09"/>
    <x v="2"/>
    <x v="0"/>
    <s v="Construction Additives"/>
    <s v="Eldoret Depot"/>
    <s v="Eldoret Depot"/>
    <s v="TRK-016"/>
    <s v="J. Mutua"/>
    <n v="2005"/>
    <n v="886.76"/>
    <n v="1777953.8"/>
    <n v="85"/>
    <s v="2025-02-10"/>
    <s v="2025-02-09"/>
    <s v="On Time"/>
    <n v="5197.71"/>
    <n v="1783151.51"/>
  </r>
  <r>
    <s v="2025-07-22"/>
    <x v="1"/>
    <x v="2"/>
    <s v="Protective Coatings"/>
    <s v="Eldoret Depot"/>
    <s v="Eldoret Depot"/>
    <s v="TRK-001"/>
    <s v="J. Mutua"/>
    <n v="1714"/>
    <n v="688.36"/>
    <n v="1179849.04"/>
    <n v="72"/>
    <s v="2025-07-23"/>
    <s v="2025-07-23"/>
    <s v="On Time"/>
    <n v="4071.47"/>
    <n v="1183920.51"/>
  </r>
  <r>
    <s v="2025-04-21"/>
    <x v="5"/>
    <x v="0"/>
    <s v="Construction Additives"/>
    <s v="Nakuru Depot"/>
    <s v="Nakuru Depot"/>
    <s v="TRK-017"/>
    <s v="K. Barasa"/>
    <n v="2173"/>
    <n v="247.92"/>
    <n v="538730.16"/>
    <n v="224"/>
    <s v="2025-04-22"/>
    <s v="2025-04-26"/>
    <s v="Late"/>
    <n v="9365.33"/>
    <n v="548095.49"/>
  </r>
  <r>
    <s v="2025-06-24"/>
    <x v="3"/>
    <x v="2"/>
    <s v="Protective Coatings"/>
    <s v="Nakuru Depot"/>
    <s v="Nakuru Depot"/>
    <s v="TRK-028"/>
    <s v="P. Maina"/>
    <n v="1830"/>
    <n v="242.6"/>
    <n v="443958"/>
    <n v="180"/>
    <s v="2025-06-25"/>
    <s v="2025-06-25"/>
    <s v="On Time"/>
    <n v="10279.530000000001"/>
    <n v="454237.53"/>
  </r>
  <r>
    <s v="2025-10-21"/>
    <x v="7"/>
    <x v="3"/>
    <s v="Packaging Materials"/>
    <s v="Nakuru Depot"/>
    <s v="Nakuru Depot"/>
    <s v="TRK-009"/>
    <s v="M. Otieno"/>
    <n v="2220"/>
    <n v="776.08"/>
    <n v="1722897.6"/>
    <n v="139"/>
    <s v="2025-10-22"/>
    <s v="2025-10-23"/>
    <s v="Late"/>
    <n v="7089.13"/>
    <n v="1729986.73"/>
  </r>
  <r>
    <s v="2025-06-23"/>
    <x v="7"/>
    <x v="4"/>
    <s v="Maintenance Parts"/>
    <s v="Eldoret Depot"/>
    <s v="Eldoret Depot"/>
    <s v="TRK-015"/>
    <s v="L. Wekesa"/>
    <n v="1220"/>
    <n v="558.22"/>
    <n v="681028.4"/>
    <n v="247"/>
    <s v="2025-06-24"/>
    <s v="2025-06-24"/>
    <s v="On Time"/>
    <n v="10513.02"/>
    <n v="691541.42"/>
  </r>
  <r>
    <s v="2025-09-27"/>
    <x v="2"/>
    <x v="2"/>
    <s v="Protective Coatings"/>
    <s v="Nakuru Depot"/>
    <s v="Nakuru Depot"/>
    <s v="TRK-022"/>
    <s v="A. Hassan"/>
    <n v="363"/>
    <n v="226.68"/>
    <n v="82284.84"/>
    <n v="292"/>
    <s v="2025-09-28"/>
    <s v="2025-09-27"/>
    <s v="On Time"/>
    <n v="16436.73"/>
    <n v="98721.569999999992"/>
  </r>
  <r>
    <s v="2025-04-06"/>
    <x v="4"/>
    <x v="2"/>
    <s v="Protective Coatings"/>
    <s v="Mombasa Depot"/>
    <s v="Mombasa Depot"/>
    <s v="TRK-022"/>
    <s v="K. Barasa"/>
    <n v="2279"/>
    <n v="797.77"/>
    <n v="1818117.83"/>
    <n v="717"/>
    <s v="2025-04-09"/>
    <s v="2025-04-10"/>
    <s v="Late"/>
    <n v="43729.73"/>
    <n v="1861847.56"/>
  </r>
  <r>
    <s v="2025-08-05"/>
    <x v="3"/>
    <x v="5"/>
    <s v="WATER TREATMENT CHEMICALS"/>
    <s v="Eldoret Depot"/>
    <s v="Eldoret Depot"/>
    <s v="TRK-004"/>
    <s v="E. Achieng"/>
    <n v="2375"/>
    <n v="312.82"/>
    <n v="742947.5"/>
    <n v="383"/>
    <s v="2025-08-07"/>
    <s v="2025-08-10"/>
    <s v="Late"/>
    <n v="22673.439999999999"/>
    <n v="765620.94"/>
  </r>
  <r>
    <s v="2025-01-22"/>
    <x v="3"/>
    <x v="4"/>
    <s v="Maintenance Parts"/>
    <s v="Eldoret Depot"/>
    <s v="Eldoret Depot"/>
    <s v="TRK-012"/>
    <s v="L. Wekesa"/>
    <n v="991"/>
    <n v="387.05"/>
    <n v="383566.55"/>
    <n v="550"/>
    <s v="2025-01-24"/>
    <s v="2025-01-28"/>
    <s v="Late"/>
    <n v="32256.3"/>
    <n v="415822.85"/>
  </r>
  <r>
    <s v="2025-01-18"/>
    <x v="7"/>
    <x v="3"/>
    <s v="Packaging Materials"/>
    <s v="Nairobi Depot"/>
    <s v="Nairobi Depot"/>
    <s v="TRK-002"/>
    <s v="K. Barasa"/>
    <n v="1818"/>
    <n v="863.14"/>
    <n v="1569188.52"/>
    <n v="370"/>
    <s v="2025-01-20"/>
    <s v="2025-01-19"/>
    <s v="On Time"/>
    <n v="18500.66"/>
    <n v="1587689.18"/>
  </r>
  <r>
    <s v="2025-07-20"/>
    <x v="3"/>
    <x v="5"/>
    <s v="WATER TREATMENT CHEMICALS"/>
    <s v="Nairobi Depot"/>
    <s v="Nairobi Depot"/>
    <s v="TRK-020"/>
    <s v="M. Otieno"/>
    <n v="271"/>
    <n v="530.64"/>
    <n v="143803.44"/>
    <n v="613"/>
    <s v="2025-07-22"/>
    <s v="2025-07-24"/>
    <s v="Late"/>
    <n v="33557.06"/>
    <n v="177360.5"/>
  </r>
  <r>
    <s v="2025-12-09"/>
    <x v="3"/>
    <x v="5"/>
    <s v="WATER TREATMENT CHEMICALS"/>
    <s v="Nairobi Depot"/>
    <s v="Nairobi Depot"/>
    <s v="TRK-013"/>
    <s v="B. Kiprono"/>
    <n v="476"/>
    <n v="638.74"/>
    <n v="304040.24"/>
    <n v="28"/>
    <s v="2025-12-10"/>
    <s v="2025-12-10"/>
    <s v="On Time"/>
    <n v="1432.9"/>
    <n v="305473.14"/>
  </r>
  <r>
    <s v="2025-05-01"/>
    <x v="1"/>
    <x v="5"/>
    <s v="WATER TREATMENT CHEMICALS"/>
    <s v="Nairobi Depot"/>
    <s v="Nairobi Depot"/>
    <s v="TRK-009"/>
    <s v="J. Mutua"/>
    <n v="1958"/>
    <n v="555.34"/>
    <n v="1087355.72"/>
    <n v="496"/>
    <s v="2025-05-03"/>
    <s v="2025-05-06"/>
    <s v="Late"/>
    <n v="30437.59"/>
    <n v="1117793.31"/>
  </r>
  <r>
    <s v="2025-04-10"/>
    <x v="5"/>
    <x v="4"/>
    <s v="Maintenance Parts"/>
    <s v="Mombasa Depot"/>
    <s v="Mombasa Depot"/>
    <s v="TRK-021"/>
    <s v="D. Said"/>
    <n v="1008"/>
    <n v="173.2"/>
    <n v="174585.60000000001"/>
    <n v="195"/>
    <s v="2025-04-11"/>
    <s v="2025-04-12"/>
    <s v="Late"/>
    <n v="7795"/>
    <n v="182380.6"/>
  </r>
  <r>
    <s v="2025-04-19"/>
    <x v="7"/>
    <x v="0"/>
    <s v="Construction Additives"/>
    <s v="Nakuru Depot"/>
    <s v="Nakuru Depot"/>
    <s v="TRK-009"/>
    <s v="A. Hassan"/>
    <n v="2212"/>
    <n v="863.02"/>
    <n v="1909000.24"/>
    <n v="694"/>
    <s v="2025-04-21"/>
    <s v="2025-04-21"/>
    <s v="On Time"/>
    <n v="31549.5"/>
    <n v="1940549.74"/>
  </r>
  <r>
    <s v="2025-12-20"/>
    <x v="3"/>
    <x v="3"/>
    <s v="Packaging Materials"/>
    <s v="Mombasa Depot"/>
    <s v="Mombasa Depot"/>
    <s v="TRK-013"/>
    <s v="P. Maina"/>
    <n v="2141"/>
    <n v="554.54999999999995"/>
    <n v="1187291.55"/>
    <n v="32"/>
    <s v="2025-12-21"/>
    <s v="2025-12-20"/>
    <s v="On Time"/>
    <n v="1470.97"/>
    <n v="1188762.52"/>
  </r>
  <r>
    <s v="2025-06-21"/>
    <x v="4"/>
    <x v="5"/>
    <s v="WATER TREATMENT CHEMICALS"/>
    <s v="Nakuru Depot"/>
    <s v="Nakuru Depot"/>
    <s v="TRK-027"/>
    <s v="J. Mutua"/>
    <n v="1039"/>
    <n v="599.34"/>
    <n v="622714.26"/>
    <n v="553"/>
    <s v="2025-06-23"/>
    <s v="2025-06-22"/>
    <s v="On Time"/>
    <n v="30911.58"/>
    <n v="653625.84"/>
  </r>
  <r>
    <s v="2025-05-22"/>
    <x v="1"/>
    <x v="0"/>
    <s v="Construction Additives"/>
    <s v="Mombasa Depot"/>
    <s v="Mombasa Depot"/>
    <s v="TRK-016"/>
    <s v="L. Wekesa"/>
    <n v="105"/>
    <n v="305.17"/>
    <n v="32042.85"/>
    <n v="704"/>
    <s v="2025-05-25"/>
    <s v="2025-05-25"/>
    <s v="On Time"/>
    <n v="33968.83"/>
    <n v="66011.679999999993"/>
  </r>
  <r>
    <s v="2025-02-23"/>
    <x v="0"/>
    <x v="1"/>
    <s v="Industrial Cleaning Supplies"/>
    <s v="Eldoret Depot"/>
    <s v="Eldoret Depot"/>
    <s v="TRK-004"/>
    <s v="A. Hassan"/>
    <n v="1819"/>
    <n v="846.43"/>
    <n v="1539656.17"/>
    <n v="580"/>
    <s v="2025-02-25"/>
    <s v="2025-02-25"/>
    <s v="On Time"/>
    <n v="22695.38"/>
    <n v="1562351.5499999998"/>
  </r>
  <r>
    <s v="2025-09-16"/>
    <x v="0"/>
    <x v="1"/>
    <s v="Industrial Cleaning Supplies"/>
    <s v="Mombasa Depot"/>
    <s v="Mombasa Depot"/>
    <s v="TRK-030"/>
    <s v="D. Said"/>
    <n v="167"/>
    <n v="556.73"/>
    <n v="92973.91"/>
    <n v="599"/>
    <s v="2025-09-18"/>
    <s v="2025-09-21"/>
    <s v="Late"/>
    <n v="32389.41"/>
    <n v="125363.32"/>
  </r>
  <r>
    <s v="2025-09-14"/>
    <x v="7"/>
    <x v="5"/>
    <s v="WATER TREATMENT CHEMICALS"/>
    <s v="Mombasa Depot"/>
    <s v="Mombasa Depot"/>
    <s v="TRK-003"/>
    <s v="M. Otieno"/>
    <n v="1893"/>
    <n v="254.24"/>
    <n v="481276.32"/>
    <n v="154"/>
    <s v="2025-09-15"/>
    <s v="2025-09-15"/>
    <s v="On Time"/>
    <n v="6649"/>
    <n v="487925.32"/>
  </r>
  <r>
    <s v="2025-12-15"/>
    <x v="7"/>
    <x v="0"/>
    <s v="Construction Additives"/>
    <s v="Mombasa Depot"/>
    <s v="Mombasa Depot"/>
    <s v="TRK-029"/>
    <s v="D. Said"/>
    <n v="832"/>
    <n v="194.66"/>
    <n v="161957.12"/>
    <n v="74"/>
    <s v="2025-12-16"/>
    <s v="2025-12-19"/>
    <s v="Late"/>
    <n v="3278.27"/>
    <n v="165235.38999999998"/>
  </r>
  <r>
    <s v="2025-05-03"/>
    <x v="1"/>
    <x v="4"/>
    <s v="Maintenance Parts"/>
    <s v="Mombasa Depot"/>
    <s v="Mombasa Depot"/>
    <s v="TRK-030"/>
    <s v="K. Barasa"/>
    <n v="2372"/>
    <n v="249.28"/>
    <n v="591292.16000000003"/>
    <n v="657"/>
    <s v="2025-05-05"/>
    <s v="2025-05-05"/>
    <s v="On Time"/>
    <n v="27157.02"/>
    <n v="618449.18000000005"/>
  </r>
  <r>
    <s v="2025-11-07"/>
    <x v="0"/>
    <x v="3"/>
    <s v="Packaging Materials"/>
    <s v="Nairobi Depot"/>
    <s v="Nairobi Depot"/>
    <s v="TRK-023"/>
    <s v="S. Chebet"/>
    <n v="953"/>
    <n v="473.12"/>
    <n v="450883.36"/>
    <n v="203"/>
    <s v="2025-11-08"/>
    <s v="2025-11-08"/>
    <s v="On Time"/>
    <n v="8551.67"/>
    <n v="459435.02999999997"/>
  </r>
  <r>
    <s v="2025-09-15"/>
    <x v="0"/>
    <x v="2"/>
    <s v="Protective Coatings"/>
    <s v="Mombasa Depot"/>
    <s v="Mombasa Depot"/>
    <s v="TRK-017"/>
    <s v="D. Said"/>
    <n v="1362"/>
    <n v="232.64"/>
    <n v="316855.67999999999"/>
    <n v="153"/>
    <s v="2025-09-16"/>
    <s v="2025-09-16"/>
    <s v="On Time"/>
    <n v="8441.7999999999993"/>
    <n v="325297.48"/>
  </r>
  <r>
    <s v="2025-04-11"/>
    <x v="5"/>
    <x v="0"/>
    <s v="Construction Additives"/>
    <s v="Eldoret Depot"/>
    <s v="Eldoret Depot"/>
    <s v="TRK-028"/>
    <s v="M. Otieno"/>
    <n v="67"/>
    <n v="339.54"/>
    <n v="22749.18"/>
    <n v="495"/>
    <s v="2025-04-13"/>
    <s v="2025-04-15"/>
    <s v="Late"/>
    <n v="30192.92"/>
    <n v="52942.1"/>
  </r>
  <r>
    <s v="2025-10-29"/>
    <x v="2"/>
    <x v="5"/>
    <s v="WATER TREATMENT CHEMICALS"/>
    <s v="Eldoret Depot"/>
    <s v="Eldoret Depot"/>
    <s v="TRK-023"/>
    <s v="D. Said"/>
    <n v="981"/>
    <n v="344.76"/>
    <n v="338209.56"/>
    <n v="630"/>
    <s v="2025-10-31"/>
    <s v="2025-10-31"/>
    <s v="On Time"/>
    <n v="38405.81"/>
    <n v="376615.37"/>
  </r>
  <r>
    <s v="2025-08-17"/>
    <x v="3"/>
    <x v="2"/>
    <s v="Protective Coatings"/>
    <s v="Nakuru Depot"/>
    <s v="Nakuru Depot"/>
    <s v="TRK-011"/>
    <s v="J. Mutua"/>
    <n v="2034"/>
    <n v="864.52"/>
    <n v="1758433.68"/>
    <n v="678"/>
    <s v="2025-08-19"/>
    <s v="2025-08-19"/>
    <s v="On Time"/>
    <n v="40820.65"/>
    <n v="1799254.3299999998"/>
  </r>
  <r>
    <s v="2025-08-30"/>
    <x v="0"/>
    <x v="5"/>
    <s v="WATER TREATMENT CHEMICALS"/>
    <s v="Mombasa Depot"/>
    <s v="Mombasa Depot"/>
    <s v="TRK-012"/>
    <s v="E. Achieng"/>
    <n v="389"/>
    <n v="145.19"/>
    <n v="56478.91"/>
    <n v="229"/>
    <s v="2025-08-31"/>
    <s v="2025-09-03"/>
    <s v="Late"/>
    <n v="12314.51"/>
    <n v="68793.42"/>
  </r>
  <r>
    <s v="2025-12-11"/>
    <x v="4"/>
    <x v="5"/>
    <s v="WATER TREATMENT CHEMICALS"/>
    <s v="Eldoret Depot"/>
    <s v="Eldoret Depot"/>
    <s v="TRK-025"/>
    <s v="J. Mutua"/>
    <n v="180"/>
    <n v="663.41"/>
    <n v="119413.8"/>
    <n v="287"/>
    <s v="2025-12-12"/>
    <s v="2025-12-12"/>
    <s v="On Time"/>
    <n v="13928.39"/>
    <n v="133342.19"/>
  </r>
  <r>
    <s v="2025-06-23"/>
    <x v="2"/>
    <x v="1"/>
    <s v="Industrial Cleaning Supplies"/>
    <s v="Mombasa Depot"/>
    <s v="Mombasa Depot"/>
    <s v="TRK-013"/>
    <s v="L. Wekesa"/>
    <n v="857"/>
    <n v="874.14"/>
    <n v="749137.98"/>
    <n v="493"/>
    <s v="2025-06-25"/>
    <s v="2025-06-27"/>
    <s v="Late"/>
    <n v="25914.41"/>
    <n v="775052.39"/>
  </r>
  <r>
    <s v="2025-07-26"/>
    <x v="7"/>
    <x v="4"/>
    <s v="Maintenance Parts"/>
    <s v="Eldoret Depot"/>
    <s v="Eldoret Depot"/>
    <s v="TRK-029"/>
    <s v="M. Otieno"/>
    <n v="55"/>
    <n v="573.79999999999995"/>
    <n v="31559"/>
    <n v="305"/>
    <s v="2025-07-27"/>
    <s v="2025-07-29"/>
    <s v="Late"/>
    <n v="15265.08"/>
    <n v="46824.08"/>
  </r>
  <r>
    <s v="2025-08-25"/>
    <x v="4"/>
    <x v="0"/>
    <s v="Construction Additives"/>
    <s v="Mombasa Depot"/>
    <s v="Mombasa Depot"/>
    <s v="TRK-029"/>
    <s v="D. Said"/>
    <n v="953"/>
    <n v="188.14"/>
    <n v="179297.42"/>
    <n v="677"/>
    <s v="2025-08-27"/>
    <s v="2025-08-31"/>
    <s v="Late"/>
    <n v="33462.32"/>
    <n v="212759.74000000002"/>
  </r>
  <r>
    <s v="2025-06-23"/>
    <x v="2"/>
    <x v="1"/>
    <s v="Industrial Cleaning Supplies"/>
    <s v="Mombasa Depot"/>
    <s v="Mombasa Depot"/>
    <s v="TRK-007"/>
    <s v="K. Barasa"/>
    <n v="2172"/>
    <n v="378.6"/>
    <n v="822319.2"/>
    <n v="694"/>
    <s v="2025-06-25"/>
    <s v="2025-06-25"/>
    <s v="On Time"/>
    <n v="25754.86"/>
    <n v="848074.05999999994"/>
  </r>
  <r>
    <s v="2025-01-31"/>
    <x v="2"/>
    <x v="0"/>
    <s v="Construction Additives"/>
    <s v="Eldoret Depot"/>
    <s v="Eldoret Depot"/>
    <s v="TRK-003"/>
    <s v="E. Achieng"/>
    <n v="127"/>
    <n v="830.63"/>
    <n v="105490.01"/>
    <n v="523"/>
    <s v="2025-02-02"/>
    <s v="2025-02-03"/>
    <s v="Late"/>
    <n v="26347.67"/>
    <n v="131837.68"/>
  </r>
  <r>
    <s v="2025-04-29"/>
    <x v="7"/>
    <x v="0"/>
    <s v="Construction Additives"/>
    <s v="Eldoret Depot"/>
    <s v="Eldoret Depot"/>
    <s v="TRK-001"/>
    <s v="K. Barasa"/>
    <n v="1615"/>
    <n v="751.73"/>
    <n v="1214043.95"/>
    <n v="366"/>
    <s v="2025-05-01"/>
    <s v="2025-05-01"/>
    <s v="On Time"/>
    <n v="22462.36"/>
    <n v="1236506.31"/>
  </r>
  <r>
    <s v="2025-01-26"/>
    <x v="4"/>
    <x v="5"/>
    <s v="WATER TREATMENT CHEMICALS"/>
    <s v="Nakuru Depot"/>
    <s v="Nakuru Depot"/>
    <s v="TRK-026"/>
    <s v="K. Barasa"/>
    <n v="128"/>
    <n v="375.52"/>
    <n v="48066.559999999998"/>
    <n v="127"/>
    <s v="2025-01-27"/>
    <s v="2025-01-27"/>
    <s v="On Time"/>
    <n v="5698.06"/>
    <n v="53764.619999999995"/>
  </r>
  <r>
    <s v="2025-01-15"/>
    <x v="0"/>
    <x v="5"/>
    <s v="WATER TREATMENT CHEMICALS"/>
    <s v="Nairobi Depot"/>
    <s v="Nairobi Depot"/>
    <s v="TRK-026"/>
    <s v="E. Achieng"/>
    <n v="1099"/>
    <n v="843.05"/>
    <n v="926511.95"/>
    <n v="100"/>
    <s v="2025-01-16"/>
    <s v="2025-01-20"/>
    <s v="Late"/>
    <n v="5234.1499999999996"/>
    <n v="931746.1"/>
  </r>
  <r>
    <s v="2025-09-23"/>
    <x v="5"/>
    <x v="4"/>
    <s v="Maintenance Parts"/>
    <s v="Nairobi Depot"/>
    <s v="Nairobi Depot"/>
    <s v="TRK-024"/>
    <s v="B. Kiprono"/>
    <n v="2191"/>
    <n v="255.38"/>
    <n v="559537.57999999996"/>
    <n v="41"/>
    <s v="2025-09-24"/>
    <s v="2025-09-23"/>
    <s v="On Time"/>
    <n v="2215.94"/>
    <n v="561753.5199999999"/>
  </r>
  <r>
    <s v="2025-10-25"/>
    <x v="2"/>
    <x v="5"/>
    <s v="WATER TREATMENT CHEMICALS"/>
    <s v="Mombasa Depot"/>
    <s v="Mombasa Depot"/>
    <s v="TRK-024"/>
    <s v="A. Hassan"/>
    <n v="339"/>
    <n v="513.38"/>
    <n v="174035.82"/>
    <n v="623"/>
    <s v="2025-10-27"/>
    <s v="2025-10-27"/>
    <s v="On Time"/>
    <n v="33313.120000000003"/>
    <n v="207348.94"/>
  </r>
  <r>
    <s v="2025-01-28"/>
    <x v="5"/>
    <x v="4"/>
    <s v="Maintenance Parts"/>
    <s v="Mombasa Depot"/>
    <s v="Mombasa Depot"/>
    <s v="TRK-016"/>
    <s v="B. Kiprono"/>
    <n v="2230"/>
    <n v="300.83999999999997"/>
    <n v="670873.19999999995"/>
    <n v="167"/>
    <s v="2025-01-29"/>
    <s v="2025-01-31"/>
    <s v="Late"/>
    <n v="7612.19"/>
    <n v="678485.3899999999"/>
  </r>
  <r>
    <s v="2025-08-16"/>
    <x v="6"/>
    <x v="1"/>
    <s v="Industrial Cleaning Supplies"/>
    <s v="Nairobi Depot"/>
    <s v="Nairobi Depot"/>
    <s v="TRK-001"/>
    <s v="A. Hassan"/>
    <n v="1792"/>
    <n v="742.85"/>
    <n v="1331187.2"/>
    <n v="380"/>
    <s v="2025-08-18"/>
    <s v="2025-08-22"/>
    <s v="Late"/>
    <n v="18281.240000000002"/>
    <n v="1349468.44"/>
  </r>
  <r>
    <s v="2025-10-29"/>
    <x v="6"/>
    <x v="3"/>
    <s v="Packaging Materials"/>
    <s v="Mombasa Depot"/>
    <s v="Mombasa Depot"/>
    <s v="TRK-015"/>
    <s v="B. Kiprono"/>
    <n v="1821"/>
    <n v="493.03"/>
    <n v="897807.63"/>
    <n v="165"/>
    <s v="2025-10-30"/>
    <s v="2025-10-29"/>
    <s v="On Time"/>
    <n v="6127.53"/>
    <n v="903935.16"/>
  </r>
  <r>
    <s v="2025-05-12"/>
    <x v="1"/>
    <x v="2"/>
    <s v="Protective Coatings"/>
    <s v="Mombasa Depot"/>
    <s v="Mombasa Depot"/>
    <s v="TRK-027"/>
    <s v="M. Otieno"/>
    <n v="874"/>
    <n v="829.56"/>
    <n v="725035.44"/>
    <n v="340"/>
    <s v="2025-05-13"/>
    <s v="2025-05-13"/>
    <s v="On Time"/>
    <n v="14551.67"/>
    <n v="739587.11"/>
  </r>
  <r>
    <s v="2025-07-21"/>
    <x v="3"/>
    <x v="0"/>
    <s v="Construction Additives"/>
    <s v="Nairobi Depot"/>
    <s v="Nairobi Depot"/>
    <s v="TRK-003"/>
    <s v="L. Wekesa"/>
    <n v="2257"/>
    <n v="524.37"/>
    <n v="1183503.0900000001"/>
    <n v="632"/>
    <s v="2025-07-23"/>
    <s v="2025-07-22"/>
    <s v="On Time"/>
    <n v="24497.19"/>
    <n v="1208000.28"/>
  </r>
  <r>
    <s v="2025-09-16"/>
    <x v="0"/>
    <x v="3"/>
    <s v="Packaging Materials"/>
    <s v="Eldoret Depot"/>
    <s v="Eldoret Depot"/>
    <s v="TRK-011"/>
    <s v="M. Otieno"/>
    <n v="944"/>
    <n v="564.27"/>
    <n v="532670.88"/>
    <n v="25"/>
    <s v="2025-09-17"/>
    <s v="2025-09-17"/>
    <s v="On Time"/>
    <n v="1150.8599999999999"/>
    <n v="533821.74"/>
  </r>
  <r>
    <s v="2025-06-14"/>
    <x v="1"/>
    <x v="3"/>
    <s v="Packaging Materials"/>
    <s v="Nairobi Depot"/>
    <s v="Nairobi Depot"/>
    <s v="TRK-025"/>
    <s v="K. Barasa"/>
    <n v="2482"/>
    <n v="381"/>
    <n v="945642"/>
    <n v="348"/>
    <s v="2025-06-15"/>
    <s v="2025-06-19"/>
    <s v="Late"/>
    <n v="19571.79"/>
    <n v="965213.79"/>
  </r>
  <r>
    <s v="2025-04-11"/>
    <x v="1"/>
    <x v="3"/>
    <s v="Packaging Materials"/>
    <s v="Mombasa Depot"/>
    <s v="Mombasa Depot"/>
    <s v="TRK-004"/>
    <s v="J. Mutua"/>
    <n v="2099"/>
    <n v="838.64"/>
    <n v="1760305.36"/>
    <n v="383"/>
    <s v="2025-04-13"/>
    <s v="2025-04-12"/>
    <s v="On Time"/>
    <n v="22038.080000000002"/>
    <n v="1782343.4400000002"/>
  </r>
  <r>
    <s v="2025-12-03"/>
    <x v="1"/>
    <x v="0"/>
    <s v="Construction Additives"/>
    <s v="Nairobi Depot"/>
    <s v="Nairobi Depot"/>
    <s v="TRK-023"/>
    <s v="S. Chebet"/>
    <n v="2150"/>
    <n v="828.78"/>
    <n v="1781877"/>
    <n v="361"/>
    <s v="2025-12-05"/>
    <s v="2025-12-05"/>
    <s v="On Time"/>
    <n v="18513.71"/>
    <n v="1800390.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SHP-00001"/>
    <s v="2025-04-27"/>
    <x v="0"/>
    <x v="0"/>
    <x v="0"/>
    <x v="0"/>
    <s v="TRK-026"/>
    <s v="P. Maina"/>
    <n v="1086"/>
    <n v="742.25"/>
    <n v="806083.5"/>
    <n v="406"/>
    <s v="2025-04-29"/>
    <d v="2025-04-01T00:00:00"/>
    <s v="2025-05-03"/>
    <s v="May 2025"/>
    <x v="0"/>
    <n v="19455.45"/>
    <n v="825538.95"/>
  </r>
  <r>
    <s v="SHP-00002"/>
    <s v="2025-02-16"/>
    <x v="1"/>
    <x v="1"/>
    <x v="1"/>
    <x v="1"/>
    <s v="TRK-013"/>
    <s v="K. Barasa"/>
    <n v="2027"/>
    <n v="782.42"/>
    <n v="1585965.34"/>
    <n v="80"/>
    <s v="2025-02-17"/>
    <d v="2025-02-01T00:00:00"/>
    <s v="2025-02-17"/>
    <s v="February 2025"/>
    <x v="1"/>
    <n v="4650.55"/>
    <n v="1590615.8900000001"/>
  </r>
  <r>
    <s v="SHP-00003"/>
    <s v="2025-11-24"/>
    <x v="2"/>
    <x v="2"/>
    <x v="0"/>
    <x v="1"/>
    <s v="TRK-013"/>
    <s v="K. Barasa"/>
    <n v="758"/>
    <n v="643.51"/>
    <n v="487780.58"/>
    <n v="697"/>
    <s v="2025-11-26"/>
    <d v="2025-11-01T00:00:00"/>
    <s v="2025-11-27"/>
    <s v="November 2025"/>
    <x v="0"/>
    <n v="26836.9"/>
    <n v="514617.48000000004"/>
  </r>
  <r>
    <s v="SHP-00004"/>
    <s v="2025-01-15"/>
    <x v="3"/>
    <x v="2"/>
    <x v="1"/>
    <x v="2"/>
    <s v="TRK-025"/>
    <s v="M. Otieno"/>
    <n v="2247"/>
    <n v="178.61"/>
    <n v="401336.67"/>
    <n v="652"/>
    <s v="2025-01-17"/>
    <d v="2025-01-01T00:00:00"/>
    <s v="2025-01-21"/>
    <s v="January 2025"/>
    <x v="0"/>
    <n v="33466"/>
    <n v="434802.67"/>
  </r>
  <r>
    <s v="SHP-00005"/>
    <s v="2025-03-13"/>
    <x v="4"/>
    <x v="3"/>
    <x v="2"/>
    <x v="0"/>
    <s v="TRK-012"/>
    <s v="S. Chebet"/>
    <n v="256"/>
    <n v="100.81"/>
    <n v="25807.360000000001"/>
    <n v="152"/>
    <s v="2025-03-14"/>
    <d v="2025-03-01T00:00:00"/>
    <s v="2025-03-17"/>
    <s v="March 2025"/>
    <x v="0"/>
    <n v="6973.76"/>
    <n v="32781.120000000003"/>
  </r>
  <r>
    <s v="SHP-00006"/>
    <s v="2025-03-17"/>
    <x v="4"/>
    <x v="2"/>
    <x v="0"/>
    <x v="3"/>
    <s v="TRK-009"/>
    <s v="D. Said"/>
    <n v="1140"/>
    <n v="548.84"/>
    <n v="625677.6"/>
    <n v="718"/>
    <s v="2025-03-20"/>
    <d v="2025-03-01T00:00:00"/>
    <s v="2025-03-20"/>
    <s v="March 2025"/>
    <x v="1"/>
    <n v="38968.9"/>
    <n v="664646.5"/>
  </r>
  <r>
    <s v="SHP-00007"/>
    <s v="2025-03-10"/>
    <x v="4"/>
    <x v="4"/>
    <x v="2"/>
    <x v="1"/>
    <s v="TRK-020"/>
    <s v="P. Maina"/>
    <n v="2494"/>
    <n v="344.5"/>
    <n v="859183"/>
    <n v="527"/>
    <s v="2025-03-12"/>
    <d v="2025-03-01T00:00:00"/>
    <s v="2025-03-13"/>
    <s v="March 2025"/>
    <x v="0"/>
    <n v="23343.439999999999"/>
    <n v="882526.44"/>
  </r>
  <r>
    <s v="SHP-00008"/>
    <s v="2025-10-09"/>
    <x v="5"/>
    <x v="3"/>
    <x v="3"/>
    <x v="2"/>
    <s v="TRK-028"/>
    <s v="D. Said"/>
    <n v="2353"/>
    <n v="581.47"/>
    <n v="1368198.91"/>
    <n v="33"/>
    <s v="2025-10-10"/>
    <d v="2025-10-01T00:00:00"/>
    <s v="2025-10-10"/>
    <s v="October 2025"/>
    <x v="1"/>
    <n v="1885.39"/>
    <n v="1370084.2999999998"/>
  </r>
  <r>
    <s v="SHP-00009"/>
    <s v="2025-04-13"/>
    <x v="0"/>
    <x v="1"/>
    <x v="4"/>
    <x v="2"/>
    <s v="TRK-030"/>
    <s v="B. Kiprono"/>
    <n v="57"/>
    <n v="574.82000000000005"/>
    <n v="32764.74"/>
    <n v="327"/>
    <s v="2025-04-14"/>
    <d v="2025-04-01T00:00:00"/>
    <s v="2025-04-17"/>
    <s v="April 2025"/>
    <x v="0"/>
    <n v="14949.71"/>
    <n v="47714.45"/>
  </r>
  <r>
    <s v="SHP-00010"/>
    <s v="2025-08-04"/>
    <x v="6"/>
    <x v="3"/>
    <x v="4"/>
    <x v="0"/>
    <s v="TRK-011"/>
    <s v="M. Otieno"/>
    <n v="2070"/>
    <n v="515.96"/>
    <n v="1068037.2"/>
    <n v="44"/>
    <s v="2025-08-05"/>
    <d v="2025-08-01T00:00:00"/>
    <s v="2025-08-05"/>
    <s v="August 2025"/>
    <x v="1"/>
    <n v="2194.5500000000002"/>
    <n v="1070231.75"/>
  </r>
  <r>
    <s v="SHP-00011"/>
    <s v="2025-04-28"/>
    <x v="0"/>
    <x v="2"/>
    <x v="3"/>
    <x v="3"/>
    <s v="TRK-006"/>
    <s v="S. Chebet"/>
    <n v="194"/>
    <n v="678.94"/>
    <n v="131714.35999999999"/>
    <n v="280"/>
    <s v="2025-04-29"/>
    <d v="2025-04-01T00:00:00"/>
    <s v="2025-04-28"/>
    <s v="April 2025"/>
    <x v="1"/>
    <n v="16904.29"/>
    <n v="148618.65"/>
  </r>
  <r>
    <s v="SHP-00012"/>
    <s v="2025-04-28"/>
    <x v="0"/>
    <x v="1"/>
    <x v="2"/>
    <x v="1"/>
    <s v="TRK-014"/>
    <s v="B. Kiprono"/>
    <n v="215"/>
    <n v="450.32"/>
    <n v="96818.8"/>
    <n v="34"/>
    <s v="2025-04-29"/>
    <d v="2025-04-01T00:00:00"/>
    <s v="2025-04-28"/>
    <s v="April 2025"/>
    <x v="1"/>
    <n v="1212.9000000000001"/>
    <n v="98031.7"/>
  </r>
  <r>
    <s v="SHP-00013"/>
    <s v="2025-10-18"/>
    <x v="5"/>
    <x v="1"/>
    <x v="2"/>
    <x v="1"/>
    <s v="TRK-014"/>
    <s v="A. Hassan"/>
    <n v="1303"/>
    <n v="738.92"/>
    <n v="962812.76"/>
    <n v="645"/>
    <s v="2025-10-20"/>
    <d v="2025-10-01T00:00:00"/>
    <s v="2025-10-21"/>
    <s v="October 2025"/>
    <x v="0"/>
    <n v="26655.26"/>
    <n v="989468.02"/>
  </r>
  <r>
    <s v="SHP-00014"/>
    <s v="2025-07-16"/>
    <x v="7"/>
    <x v="5"/>
    <x v="4"/>
    <x v="0"/>
    <s v="TRK-018"/>
    <s v="A. Hassan"/>
    <n v="1839"/>
    <n v="856.94"/>
    <n v="1575912.66"/>
    <n v="714"/>
    <s v="2025-07-19"/>
    <d v="2025-07-01T00:00:00"/>
    <s v="2025-07-20"/>
    <s v="July 2025"/>
    <x v="0"/>
    <n v="41035.449999999997"/>
    <n v="1616948.1099999999"/>
  </r>
  <r>
    <s v="SHP-00015"/>
    <s v="2025-07-23"/>
    <x v="7"/>
    <x v="5"/>
    <x v="3"/>
    <x v="0"/>
    <s v="TRK-006"/>
    <s v="S. Chebet"/>
    <n v="498"/>
    <n v="103.44"/>
    <n v="51513.120000000003"/>
    <n v="504"/>
    <s v="2025-07-25"/>
    <d v="2025-07-01T00:00:00"/>
    <s v="2025-07-29"/>
    <s v="July 2025"/>
    <x v="0"/>
    <n v="27050.67"/>
    <n v="78563.790000000008"/>
  </r>
  <r>
    <s v="SHP-00016"/>
    <s v="2025-11-10"/>
    <x v="2"/>
    <x v="5"/>
    <x v="2"/>
    <x v="3"/>
    <s v="TRK-028"/>
    <s v="S. Chebet"/>
    <n v="2383"/>
    <n v="313.37"/>
    <n v="746760.71"/>
    <n v="508"/>
    <s v="2025-11-12"/>
    <d v="2025-11-01T00:00:00"/>
    <s v="2025-11-12"/>
    <s v="November 2025"/>
    <x v="1"/>
    <n v="25212"/>
    <n v="771972.71"/>
  </r>
  <r>
    <s v="SHP-00017"/>
    <s v="2025-12-06"/>
    <x v="8"/>
    <x v="6"/>
    <x v="0"/>
    <x v="0"/>
    <s v="TRK-007"/>
    <s v="P. Maina"/>
    <n v="1666"/>
    <n v="881.88"/>
    <n v="1469212.08"/>
    <n v="716"/>
    <s v="2025-12-09"/>
    <d v="2025-12-01T00:00:00"/>
    <s v="2025-12-09"/>
    <s v="December 2025"/>
    <x v="1"/>
    <n v="36442.120000000003"/>
    <n v="1505654.2000000002"/>
  </r>
  <r>
    <s v="SHP-00018"/>
    <s v="2025-06-10"/>
    <x v="9"/>
    <x v="5"/>
    <x v="0"/>
    <x v="1"/>
    <s v="TRK-014"/>
    <s v="D. Said"/>
    <n v="409"/>
    <n v="414.33"/>
    <n v="169460.97"/>
    <n v="40"/>
    <s v="2025-06-11"/>
    <d v="2025-06-01T00:00:00"/>
    <s v="2025-06-12"/>
    <s v="June 2025"/>
    <x v="0"/>
    <n v="1578.88"/>
    <n v="171039.85"/>
  </r>
  <r>
    <s v="SHP-00019"/>
    <s v="2025-12-10"/>
    <x v="8"/>
    <x v="5"/>
    <x v="1"/>
    <x v="3"/>
    <s v="TRK-019"/>
    <s v="K. Barasa"/>
    <n v="1497"/>
    <n v="190.09"/>
    <n v="284564.73"/>
    <n v="315"/>
    <s v="2025-12-11"/>
    <d v="2025-12-01T00:00:00"/>
    <s v="2025-12-15"/>
    <s v="December 2025"/>
    <x v="0"/>
    <n v="11247.91"/>
    <n v="295812.63999999996"/>
  </r>
  <r>
    <s v="SHP-00020"/>
    <s v="2025-12-16"/>
    <x v="8"/>
    <x v="2"/>
    <x v="3"/>
    <x v="3"/>
    <s v="TRK-009"/>
    <s v="L. Wekesa"/>
    <n v="1329"/>
    <n v="318.69"/>
    <n v="423539.01"/>
    <n v="225"/>
    <s v="2025-12-17"/>
    <d v="2025-12-01T00:00:00"/>
    <s v="2025-12-20"/>
    <s v="December 2025"/>
    <x v="0"/>
    <n v="13435.31"/>
    <n v="436974.32"/>
  </r>
  <r>
    <s v="SHP-00021"/>
    <s v="2025-07-03"/>
    <x v="7"/>
    <x v="7"/>
    <x v="1"/>
    <x v="1"/>
    <s v="TRK-019"/>
    <s v="D. Said"/>
    <n v="793"/>
    <n v="176.88"/>
    <n v="140265.84"/>
    <n v="595"/>
    <s v="2025-07-05"/>
    <d v="2025-07-01T00:00:00"/>
    <s v="2025-07-05"/>
    <s v="July 2025"/>
    <x v="1"/>
    <n v="33039.15"/>
    <n v="173304.99"/>
  </r>
  <r>
    <s v="SHP-00022"/>
    <s v="2025-04-07"/>
    <x v="0"/>
    <x v="3"/>
    <x v="2"/>
    <x v="3"/>
    <s v="TRK-009"/>
    <s v="E. Achieng"/>
    <n v="1321"/>
    <n v="603.65"/>
    <n v="797421.65"/>
    <n v="49"/>
    <s v="2025-04-08"/>
    <d v="2025-04-01T00:00:00"/>
    <s v="2025-04-08"/>
    <s v="April 2025"/>
    <x v="1"/>
    <n v="0"/>
    <n v="797421.65"/>
  </r>
  <r>
    <s v="SHP-00023"/>
    <s v="2025-05-02"/>
    <x v="10"/>
    <x v="4"/>
    <x v="2"/>
    <x v="3"/>
    <s v="TRK-025"/>
    <s v="D. Said"/>
    <n v="434"/>
    <n v="710.45"/>
    <n v="308335.3"/>
    <n v="494"/>
    <s v="2025-05-04"/>
    <d v="2025-05-01T00:00:00"/>
    <s v="2025-05-03"/>
    <s v="May 2025"/>
    <x v="1"/>
    <n v="20933.05"/>
    <n v="329268.34999999998"/>
  </r>
  <r>
    <s v="SHP-00024"/>
    <s v="2025-10-10"/>
    <x v="5"/>
    <x v="2"/>
    <x v="0"/>
    <x v="3"/>
    <s v="TRK-024"/>
    <s v="L. Wekesa"/>
    <n v="1197"/>
    <n v="554.19000000000005"/>
    <n v="663365.43000000005"/>
    <n v="403"/>
    <s v="2025-10-12"/>
    <d v="2025-10-01T00:00:00"/>
    <s v="2025-10-16"/>
    <s v="October 2025"/>
    <x v="0"/>
    <n v="15883.27"/>
    <n v="679248.70000000007"/>
  </r>
  <r>
    <s v="SHP-00025"/>
    <s v="2025-06-29"/>
    <x v="9"/>
    <x v="7"/>
    <x v="5"/>
    <x v="1"/>
    <s v="TRK-009"/>
    <s v="S. Chebet"/>
    <n v="960"/>
    <n v="89.7"/>
    <n v="86112"/>
    <n v="518"/>
    <s v="2025-07-01"/>
    <d v="2025-07-01T00:00:00"/>
    <s v="2025-07-01"/>
    <s v="July 2025"/>
    <x v="1"/>
    <n v="28972.41"/>
    <n v="115084.41"/>
  </r>
  <r>
    <s v="SHP-00026"/>
    <s v="2025-12-15"/>
    <x v="8"/>
    <x v="3"/>
    <x v="0"/>
    <x v="3"/>
    <s v="TRK-025"/>
    <s v="L. Wekesa"/>
    <n v="1360"/>
    <n v="56.95"/>
    <n v="77452"/>
    <n v="219"/>
    <s v="2025-12-16"/>
    <d v="2025-12-01T00:00:00"/>
    <s v="2025-12-16"/>
    <s v="December 2025"/>
    <x v="1"/>
    <n v="8731.18"/>
    <n v="86183.18"/>
  </r>
  <r>
    <s v="SHP-00027"/>
    <s v="2025-07-07"/>
    <x v="7"/>
    <x v="2"/>
    <x v="4"/>
    <x v="2"/>
    <s v="TRK-028"/>
    <s v="B. Kiprono"/>
    <n v="1553"/>
    <n v="240.31"/>
    <n v="373201.43"/>
    <n v="264"/>
    <s v="2025-07-08"/>
    <d v="2025-07-01T00:00:00"/>
    <s v="2025-07-08"/>
    <s v="July 2025"/>
    <x v="1"/>
    <n v="10224.41"/>
    <n v="383425.83999999997"/>
  </r>
  <r>
    <s v="SHP-00028"/>
    <s v="2025-02-22"/>
    <x v="1"/>
    <x v="0"/>
    <x v="1"/>
    <x v="0"/>
    <s v="TRK-026"/>
    <s v="L. Wekesa"/>
    <n v="630"/>
    <n v="70.510000000000005"/>
    <n v="44421.3"/>
    <n v="692"/>
    <s v="2025-02-24"/>
    <d v="2025-02-01T00:00:00"/>
    <s v="2025-02-27"/>
    <s v="February 2025"/>
    <x v="0"/>
    <n v="0"/>
    <n v="44421.3"/>
  </r>
  <r>
    <s v="SHP-00029"/>
    <s v="2025-09-30"/>
    <x v="11"/>
    <x v="2"/>
    <x v="5"/>
    <x v="2"/>
    <s v="TRK-018"/>
    <s v="J. Mutua"/>
    <n v="1461"/>
    <n v="530.09"/>
    <n v="774461.49"/>
    <n v="582"/>
    <s v="2025-10-02"/>
    <d v="2025-10-01T00:00:00"/>
    <s v="2025-10-02"/>
    <s v="October 2025"/>
    <x v="1"/>
    <n v="25112.26"/>
    <n v="799573.75"/>
  </r>
  <r>
    <s v="SHP-00030"/>
    <s v="2025-06-16"/>
    <x v="9"/>
    <x v="1"/>
    <x v="3"/>
    <x v="2"/>
    <s v="TRK-010"/>
    <s v="B. Kiprono"/>
    <n v="150"/>
    <n v="314.06"/>
    <n v="47109"/>
    <n v="123"/>
    <s v="2025-06-17"/>
    <d v="2025-06-01T00:00:00"/>
    <s v="2025-06-16"/>
    <s v="June 2025"/>
    <x v="1"/>
    <n v="5826.21"/>
    <n v="52935.21"/>
  </r>
  <r>
    <s v="SHP-00031"/>
    <s v="2025-09-07"/>
    <x v="11"/>
    <x v="7"/>
    <x v="2"/>
    <x v="3"/>
    <s v="TRK-005"/>
    <s v="P. Maina"/>
    <n v="984"/>
    <n v="463.4"/>
    <n v="455985.6"/>
    <n v="215"/>
    <s v="2025-09-08"/>
    <d v="2025-09-01T00:00:00"/>
    <s v="2025-09-11"/>
    <s v="September 2025"/>
    <x v="0"/>
    <n v="13177.12"/>
    <n v="469162.72"/>
  </r>
  <r>
    <s v="SHP-00032"/>
    <s v="2025-08-09"/>
    <x v="6"/>
    <x v="6"/>
    <x v="3"/>
    <x v="0"/>
    <s v="TRK-023"/>
    <s v="A. Hassan"/>
    <n v="1651"/>
    <n v="609.69000000000005"/>
    <n v="1006598.19"/>
    <n v="247"/>
    <s v="2025-08-10"/>
    <d v="2025-08-01T00:00:00"/>
    <s v="2025-08-10"/>
    <s v="August 2025"/>
    <x v="1"/>
    <n v="12540.12"/>
    <n v="1019138.3099999999"/>
  </r>
  <r>
    <s v="SHP-00033"/>
    <s v="2025-04-23"/>
    <x v="0"/>
    <x v="2"/>
    <x v="1"/>
    <x v="2"/>
    <s v="TRK-027"/>
    <s v="L. Wekesa"/>
    <n v="160"/>
    <n v="749.95"/>
    <n v="119992"/>
    <n v="529"/>
    <s v="2025-04-25"/>
    <d v="2025-04-01T00:00:00"/>
    <s v="2025-04-25"/>
    <s v="April 2025"/>
    <x v="1"/>
    <n v="32360.28"/>
    <n v="152352.28"/>
  </r>
  <r>
    <s v="SHP-00034"/>
    <s v="2025-09-01"/>
    <x v="11"/>
    <x v="0"/>
    <x v="0"/>
    <x v="0"/>
    <s v="TRK-019"/>
    <s v="J. Mutua"/>
    <n v="478"/>
    <n v="174.37"/>
    <n v="83348.86"/>
    <n v="433"/>
    <s v="2025-09-03"/>
    <d v="2025-09-01T00:00:00"/>
    <s v="2025-09-07"/>
    <s v="September 2025"/>
    <x v="0"/>
    <n v="17907.939999999999"/>
    <n v="101256.8"/>
  </r>
  <r>
    <s v="SHP-00035"/>
    <s v="2025-02-04"/>
    <x v="1"/>
    <x v="0"/>
    <x v="0"/>
    <x v="1"/>
    <s v="TRK-003"/>
    <s v="M. Otieno"/>
    <n v="2269"/>
    <n v="283.22000000000003"/>
    <n v="642626.18000000005"/>
    <n v="28"/>
    <s v="2025-02-05"/>
    <d v="2025-02-01T00:00:00"/>
    <s v="2025-02-05"/>
    <s v="February 2025"/>
    <x v="1"/>
    <n v="1474.85"/>
    <n v="644101.03"/>
  </r>
  <r>
    <s v="SHP-00036"/>
    <s v="2025-05-15"/>
    <x v="10"/>
    <x v="0"/>
    <x v="2"/>
    <x v="2"/>
    <s v="TRK-023"/>
    <s v="S. Chebet"/>
    <n v="1364"/>
    <n v="248.35"/>
    <n v="338749.4"/>
    <n v="470"/>
    <s v="2025-05-17"/>
    <d v="2025-05-01T00:00:00"/>
    <s v="2025-05-17"/>
    <s v="May 2025"/>
    <x v="1"/>
    <n v="24519.82"/>
    <n v="363269.22000000003"/>
  </r>
  <r>
    <s v="SHP-00037"/>
    <s v="2025-11-14"/>
    <x v="2"/>
    <x v="5"/>
    <x v="0"/>
    <x v="2"/>
    <s v="TRK-019"/>
    <s v="K. Barasa"/>
    <n v="1987"/>
    <n v="251.47"/>
    <n v="499670.89"/>
    <n v="296"/>
    <s v="2025-11-15"/>
    <d v="2025-11-01T00:00:00"/>
    <s v="2025-11-18"/>
    <s v="November 2025"/>
    <x v="0"/>
    <n v="11255.9"/>
    <n v="510926.79000000004"/>
  </r>
  <r>
    <s v="SHP-00038"/>
    <s v="2025-10-07"/>
    <x v="5"/>
    <x v="3"/>
    <x v="4"/>
    <x v="1"/>
    <s v="TRK-021"/>
    <s v="S. Chebet"/>
    <n v="756"/>
    <n v="501.25"/>
    <n v="378945"/>
    <n v="718"/>
    <s v="2025-10-10"/>
    <d v="2025-10-01T00:00:00"/>
    <s v="2025-10-14"/>
    <s v="October 2025"/>
    <x v="0"/>
    <n v="27208.39"/>
    <n v="406153.39"/>
  </r>
  <r>
    <s v="SHP-00039"/>
    <s v="2025-01-03"/>
    <x v="3"/>
    <x v="3"/>
    <x v="2"/>
    <x v="1"/>
    <s v="TRK-007"/>
    <s v="P. Maina"/>
    <n v="715"/>
    <n v="350.75"/>
    <n v="250786.25"/>
    <n v="717"/>
    <s v="2025-01-06"/>
    <d v="2025-01-01T00:00:00"/>
    <s v="2025-01-09"/>
    <s v="January 2025"/>
    <x v="0"/>
    <n v="40012.26"/>
    <n v="290798.51"/>
  </r>
  <r>
    <s v="SHP-00040"/>
    <s v="2025-06-12"/>
    <x v="9"/>
    <x v="2"/>
    <x v="0"/>
    <x v="2"/>
    <s v="TRK-011"/>
    <s v="J. Mutua"/>
    <n v="96"/>
    <n v="434.04"/>
    <n v="41667.839999999997"/>
    <n v="558"/>
    <s v="2025-06-14"/>
    <d v="2025-06-01T00:00:00"/>
    <s v="2025-06-14"/>
    <s v="June 2025"/>
    <x v="1"/>
    <n v="25518.34"/>
    <n v="67186.179999999993"/>
  </r>
  <r>
    <s v="SHP-00041"/>
    <s v="2025-10-17"/>
    <x v="5"/>
    <x v="4"/>
    <x v="2"/>
    <x v="0"/>
    <s v="TRK-019"/>
    <s v="D. Said"/>
    <n v="1058"/>
    <n v="205.5"/>
    <n v="217419"/>
    <n v="286"/>
    <s v="2025-10-18"/>
    <d v="2025-10-01T00:00:00"/>
    <s v="2025-10-19"/>
    <s v="October 2025"/>
    <x v="0"/>
    <n v="13992.47"/>
    <n v="231411.47"/>
  </r>
  <r>
    <s v="SHP-00042"/>
    <s v="2025-11-10"/>
    <x v="2"/>
    <x v="4"/>
    <x v="4"/>
    <x v="3"/>
    <s v="TRK-002"/>
    <s v="M. Otieno"/>
    <n v="2200"/>
    <n v="149.32"/>
    <n v="328504"/>
    <n v="431"/>
    <s v="2025-11-12"/>
    <d v="2025-11-01T00:00:00"/>
    <s v="2025-11-12"/>
    <s v="November 2025"/>
    <x v="1"/>
    <n v="18559.14"/>
    <n v="347063.14"/>
  </r>
  <r>
    <s v="SHP-00043"/>
    <s v="2025-08-14"/>
    <x v="6"/>
    <x v="5"/>
    <x v="5"/>
    <x v="3"/>
    <s v="TRK-030"/>
    <s v="A. Hassan"/>
    <n v="1920"/>
    <n v="254.7"/>
    <n v="489024"/>
    <n v="532"/>
    <s v="2025-08-16"/>
    <d v="2025-08-01T00:00:00"/>
    <s v="2025-08-19"/>
    <s v="August 2025"/>
    <x v="0"/>
    <n v="30837.47"/>
    <n v="519861.47"/>
  </r>
  <r>
    <s v="SHP-00044"/>
    <s v="2025-05-30"/>
    <x v="10"/>
    <x v="5"/>
    <x v="0"/>
    <x v="3"/>
    <s v="TRK-014"/>
    <s v="L. Wekesa"/>
    <n v="1847"/>
    <n v="521.99"/>
    <n v="964115.53"/>
    <n v="48"/>
    <s v="2025-05-31"/>
    <d v="2025-05-01T00:00:00"/>
    <s v="2025-05-31"/>
    <s v="May 2025"/>
    <x v="1"/>
    <n v="2393.7800000000002"/>
    <n v="966509.31"/>
  </r>
  <r>
    <s v="SHP-00045"/>
    <s v="2025-09-04"/>
    <x v="11"/>
    <x v="1"/>
    <x v="4"/>
    <x v="2"/>
    <s v="TRK-006"/>
    <s v="J. Mutua"/>
    <n v="1938"/>
    <n v="316.14"/>
    <n v="612679.31999999995"/>
    <n v="446"/>
    <s v="2025-09-06"/>
    <d v="2025-09-01T00:00:00"/>
    <s v="2025-09-07"/>
    <s v="September 2025"/>
    <x v="0"/>
    <n v="16694.439999999999"/>
    <n v="629373.75999999989"/>
  </r>
  <r>
    <s v="SHP-00046"/>
    <s v="2025-01-08"/>
    <x v="3"/>
    <x v="3"/>
    <x v="4"/>
    <x v="2"/>
    <s v="TRK-009"/>
    <s v="M. Otieno"/>
    <n v="1682"/>
    <n v="785.16"/>
    <n v="1320639.1200000001"/>
    <n v="510"/>
    <s v="2025-01-10"/>
    <d v="2025-01-01T00:00:00"/>
    <s v="2025-01-09"/>
    <s v="January 2025"/>
    <x v="1"/>
    <n v="18258.03"/>
    <n v="1338897.1500000001"/>
  </r>
  <r>
    <s v="SHP-00047"/>
    <s v="2025-05-31"/>
    <x v="10"/>
    <x v="4"/>
    <x v="4"/>
    <x v="0"/>
    <s v="TRK-002"/>
    <s v="P. Maina"/>
    <n v="2475"/>
    <n v="466.92"/>
    <n v="1155627"/>
    <n v="116"/>
    <s v="2025-06-01"/>
    <d v="2025-06-01T00:00:00"/>
    <s v="2025-06-05"/>
    <s v="June 2025"/>
    <x v="0"/>
    <n v="4850.05"/>
    <n v="1160477.05"/>
  </r>
  <r>
    <s v="SHP-00048"/>
    <s v="2025-02-16"/>
    <x v="1"/>
    <x v="7"/>
    <x v="4"/>
    <x v="0"/>
    <s v="TRK-014"/>
    <s v="M. Otieno"/>
    <n v="1828"/>
    <n v="287.61"/>
    <n v="525751.07999999996"/>
    <n v="169"/>
    <s v="2025-02-17"/>
    <d v="2025-02-01T00:00:00"/>
    <s v="2025-02-16"/>
    <s v="February 2025"/>
    <x v="1"/>
    <n v="8998.44"/>
    <n v="534749.5199999999"/>
  </r>
  <r>
    <s v="SHP-00049"/>
    <s v="2025-05-06"/>
    <x v="10"/>
    <x v="3"/>
    <x v="5"/>
    <x v="0"/>
    <s v="TRK-016"/>
    <s v="M. Otieno"/>
    <n v="663"/>
    <n v="682.92"/>
    <n v="452775.96"/>
    <n v="622"/>
    <s v="2025-05-08"/>
    <d v="2025-05-01T00:00:00"/>
    <s v="2025-05-07"/>
    <s v="May 2025"/>
    <x v="1"/>
    <n v="33588.550000000003"/>
    <n v="486364.51"/>
  </r>
  <r>
    <s v="SHP-00050"/>
    <s v="2025-08-25"/>
    <x v="6"/>
    <x v="1"/>
    <x v="2"/>
    <x v="0"/>
    <s v="TRK-017"/>
    <s v="D. Said"/>
    <n v="2476"/>
    <n v="252.44"/>
    <n v="625041.43999999994"/>
    <n v="21"/>
    <s v="2025-08-26"/>
    <d v="2025-08-01T00:00:00"/>
    <s v="2025-08-26"/>
    <s v="August 2025"/>
    <x v="1"/>
    <n v="1109.55"/>
    <n v="626150.99"/>
  </r>
  <r>
    <s v="SHP-00051"/>
    <s v="2025-12-25"/>
    <x v="8"/>
    <x v="6"/>
    <x v="5"/>
    <x v="2"/>
    <s v="TRK-027"/>
    <s v="M. Otieno"/>
    <n v="1900"/>
    <n v="76.77"/>
    <n v="145863"/>
    <n v="461"/>
    <s v="2025-12-27"/>
    <d v="2025-12-01T00:00:00"/>
    <s v="2025-12-27"/>
    <s v="December 2025"/>
    <x v="1"/>
    <n v="27042.86"/>
    <n v="172905.86"/>
  </r>
  <r>
    <s v="SHP-00052"/>
    <s v="2025-10-29"/>
    <x v="5"/>
    <x v="0"/>
    <x v="4"/>
    <x v="0"/>
    <s v="TRK-016"/>
    <s v="M. Otieno"/>
    <n v="448"/>
    <n v="356.39"/>
    <n v="159662.72"/>
    <n v="323"/>
    <s v="2025-10-30"/>
    <d v="2025-10-01T00:00:00"/>
    <s v="2025-11-02"/>
    <s v="November 2025"/>
    <x v="0"/>
    <n v="11994.56"/>
    <n v="171657.28"/>
  </r>
  <r>
    <s v="SHP-00053"/>
    <s v="2025-11-01"/>
    <x v="2"/>
    <x v="2"/>
    <x v="0"/>
    <x v="3"/>
    <s v="TRK-024"/>
    <s v="M. Otieno"/>
    <n v="1249"/>
    <n v="109.41"/>
    <n v="136653.09"/>
    <n v="494"/>
    <s v="2025-11-03"/>
    <d v="2025-11-01T00:00:00"/>
    <s v="2025-11-06"/>
    <s v="November 2025"/>
    <x v="0"/>
    <n v="30378.080000000002"/>
    <n v="167031.16999999998"/>
  </r>
  <r>
    <s v="SHP-00054"/>
    <s v="2025-09-04"/>
    <x v="11"/>
    <x v="3"/>
    <x v="3"/>
    <x v="2"/>
    <s v="TRK-029"/>
    <s v="J. Mutua"/>
    <n v="1697"/>
    <n v="702.55"/>
    <n v="1192227.3500000001"/>
    <n v="65"/>
    <s v="2025-09-05"/>
    <d v="2025-09-01T00:00:00"/>
    <s v="2025-09-07"/>
    <s v="September 2025"/>
    <x v="0"/>
    <n v="3825.63"/>
    <n v="1196052.98"/>
  </r>
  <r>
    <s v="SHP-00055"/>
    <s v="2025-11-07"/>
    <x v="2"/>
    <x v="1"/>
    <x v="0"/>
    <x v="0"/>
    <s v="TRK-021"/>
    <s v="A. Hassan"/>
    <n v="627"/>
    <n v="469.71"/>
    <n v="294508.17"/>
    <n v="699"/>
    <s v="2025-11-09"/>
    <d v="2025-11-01T00:00:00"/>
    <s v="2025-11-09"/>
    <s v="November 2025"/>
    <x v="1"/>
    <n v="42923.6"/>
    <n v="337431.76999999996"/>
  </r>
  <r>
    <s v="SHP-00056"/>
    <s v="2025-11-14"/>
    <x v="2"/>
    <x v="3"/>
    <x v="2"/>
    <x v="3"/>
    <s v="TRK-020"/>
    <s v="A. Hassan"/>
    <n v="1115"/>
    <n v="200.45"/>
    <n v="223501.75"/>
    <n v="660"/>
    <s v="2025-11-16"/>
    <d v="2025-11-01T00:00:00"/>
    <s v="2025-11-17"/>
    <s v="November 2025"/>
    <x v="0"/>
    <n v="39548.120000000003"/>
    <n v="263049.87"/>
  </r>
  <r>
    <s v="SHP-00057"/>
    <s v="2025-08-23"/>
    <x v="6"/>
    <x v="5"/>
    <x v="3"/>
    <x v="0"/>
    <s v="TRK-021"/>
    <s v="A. Hassan"/>
    <n v="2468"/>
    <n v="602.20000000000005"/>
    <n v="1486229.6"/>
    <n v="272"/>
    <s v="2025-08-24"/>
    <d v="2025-08-01T00:00:00"/>
    <s v="2025-08-27"/>
    <s v="August 2025"/>
    <x v="0"/>
    <n v="11119.51"/>
    <n v="1497349.11"/>
  </r>
  <r>
    <s v="SHP-00058"/>
    <s v="2025-09-20"/>
    <x v="11"/>
    <x v="0"/>
    <x v="2"/>
    <x v="1"/>
    <s v="TRK-028"/>
    <s v="L. Wekesa"/>
    <n v="310"/>
    <n v="877.13"/>
    <n v="271910.3"/>
    <n v="122"/>
    <s v="2025-09-21"/>
    <d v="2025-09-01T00:00:00"/>
    <s v="2025-09-23"/>
    <s v="September 2025"/>
    <x v="0"/>
    <n v="5808.36"/>
    <n v="277718.65999999997"/>
  </r>
  <r>
    <s v="SHP-00059"/>
    <s v="2025-10-23"/>
    <x v="5"/>
    <x v="3"/>
    <x v="5"/>
    <x v="0"/>
    <s v="TRK-025"/>
    <s v="M. Otieno"/>
    <n v="841"/>
    <n v="290.19"/>
    <n v="244049.79"/>
    <n v="425"/>
    <s v="2025-10-25"/>
    <d v="2025-10-01T00:00:00"/>
    <s v="2025-10-25"/>
    <s v="October 2025"/>
    <x v="1"/>
    <n v="20752.34"/>
    <n v="264802.13"/>
  </r>
  <r>
    <s v="SHP-00060"/>
    <s v="2025-04-14"/>
    <x v="0"/>
    <x v="0"/>
    <x v="3"/>
    <x v="1"/>
    <s v="TRK-011"/>
    <s v="A. Hassan"/>
    <n v="577"/>
    <n v="847.51"/>
    <n v="489013.27"/>
    <n v="545"/>
    <s v="2025-04-16"/>
    <d v="2025-04-01T00:00:00"/>
    <s v="2025-04-15"/>
    <s v="April 2025"/>
    <x v="1"/>
    <n v="28240.25"/>
    <n v="517253.52"/>
  </r>
  <r>
    <s v="SHP-00061"/>
    <s v="2025-04-12"/>
    <x v="0"/>
    <x v="2"/>
    <x v="3"/>
    <x v="3"/>
    <s v="TRK-008"/>
    <s v="E. Achieng"/>
    <n v="2132"/>
    <n v="327.94"/>
    <n v="699168.08"/>
    <n v="351"/>
    <s v="2025-04-14"/>
    <d v="2025-04-01T00:00:00"/>
    <s v="2025-04-14"/>
    <s v="April 2025"/>
    <x v="1"/>
    <n v="16523.099999999999"/>
    <n v="715691.17999999993"/>
  </r>
  <r>
    <s v="SHP-00062"/>
    <s v="2025-08-16"/>
    <x v="6"/>
    <x v="7"/>
    <x v="4"/>
    <x v="3"/>
    <s v="TRK-028"/>
    <s v="J. Mutua"/>
    <n v="848"/>
    <n v="276.94"/>
    <n v="234845.12"/>
    <n v="511"/>
    <s v="2025-08-18"/>
    <d v="2025-08-01T00:00:00"/>
    <s v="2025-08-18"/>
    <s v="August 2025"/>
    <x v="1"/>
    <n v="27401.51"/>
    <n v="262246.63"/>
  </r>
  <r>
    <s v="SHP-00063"/>
    <s v="2025-03-04"/>
    <x v="4"/>
    <x v="2"/>
    <x v="2"/>
    <x v="0"/>
    <s v="TRK-024"/>
    <s v="P. Maina"/>
    <n v="481"/>
    <n v="233.89"/>
    <n v="112501.09"/>
    <n v="400"/>
    <s v="2025-03-06"/>
    <d v="2025-03-01T00:00:00"/>
    <s v="2025-03-06"/>
    <s v="March 2025"/>
    <x v="1"/>
    <n v="14420.75"/>
    <n v="126921.84"/>
  </r>
  <r>
    <s v="SHP-00064"/>
    <s v="2025-05-08"/>
    <x v="10"/>
    <x v="7"/>
    <x v="4"/>
    <x v="3"/>
    <s v="TRK-026"/>
    <s v="L. Wekesa"/>
    <n v="718"/>
    <n v="895.56"/>
    <n v="643012.07999999996"/>
    <n v="502"/>
    <s v="2025-05-10"/>
    <d v="2025-05-01T00:00:00"/>
    <s v="2025-05-10"/>
    <s v="May 2025"/>
    <x v="1"/>
    <n v="23855.05"/>
    <n v="666867.13"/>
  </r>
  <r>
    <s v="SHP-00065"/>
    <s v="2025-03-15"/>
    <x v="4"/>
    <x v="5"/>
    <x v="0"/>
    <x v="3"/>
    <s v="TRK-008"/>
    <s v="D. Said"/>
    <n v="2119"/>
    <n v="731.26"/>
    <n v="1549539.94"/>
    <n v="333"/>
    <s v="2025-03-16"/>
    <d v="2025-03-01T00:00:00"/>
    <s v="2025-03-16"/>
    <s v="March 2025"/>
    <x v="1"/>
    <n v="19478.03"/>
    <n v="1569017.97"/>
  </r>
  <r>
    <s v="SHP-00066"/>
    <s v="2025-05-29"/>
    <x v="10"/>
    <x v="3"/>
    <x v="2"/>
    <x v="3"/>
    <s v="TRK-012"/>
    <s v="S. Chebet"/>
    <n v="2211"/>
    <n v="136.80000000000001"/>
    <n v="302464.8"/>
    <n v="715"/>
    <s v="2025-06-01"/>
    <d v="2025-06-01T00:00:00"/>
    <s v="2025-06-03"/>
    <s v="June 2025"/>
    <x v="0"/>
    <n v="42716.74"/>
    <n v="345181.54"/>
  </r>
  <r>
    <s v="SHP-00067"/>
    <s v="2025-05-29"/>
    <x v="10"/>
    <x v="1"/>
    <x v="0"/>
    <x v="1"/>
    <s v="TRK-012"/>
    <s v="E. Achieng"/>
    <n v="1164"/>
    <n v="116.04"/>
    <n v="135070.56"/>
    <n v="323"/>
    <s v="2025-05-30"/>
    <d v="2025-05-01T00:00:00"/>
    <s v="2025-06-02"/>
    <s v="June 2025"/>
    <x v="0"/>
    <n v="14273.14"/>
    <n v="149343.70000000001"/>
  </r>
  <r>
    <s v="SHP-00068"/>
    <s v="2025-05-23"/>
    <x v="10"/>
    <x v="1"/>
    <x v="0"/>
    <x v="3"/>
    <s v="TRK-001"/>
    <s v="B. Kiprono"/>
    <n v="2194"/>
    <n v="279.01"/>
    <n v="612147.93999999994"/>
    <n v="498"/>
    <s v="2025-05-25"/>
    <d v="2025-05-01T00:00:00"/>
    <s v="2025-05-24"/>
    <s v="May 2025"/>
    <x v="1"/>
    <n v="21211.63"/>
    <n v="633359.56999999995"/>
  </r>
  <r>
    <s v="SHP-00069"/>
    <s v="2025-01-14"/>
    <x v="3"/>
    <x v="3"/>
    <x v="5"/>
    <x v="2"/>
    <s v="TRK-007"/>
    <s v="K. Barasa"/>
    <n v="1667"/>
    <n v="166.65"/>
    <n v="277805.55"/>
    <n v="42"/>
    <s v="2025-01-15"/>
    <d v="2025-01-01T00:00:00"/>
    <s v="2025-01-14"/>
    <s v="January 2025"/>
    <x v="1"/>
    <n v="2461.84"/>
    <n v="280267.39"/>
  </r>
  <r>
    <s v="SHP-00070"/>
    <s v="2025-09-19"/>
    <x v="11"/>
    <x v="6"/>
    <x v="0"/>
    <x v="2"/>
    <s v="TRK-021"/>
    <s v="E. Achieng"/>
    <n v="2364"/>
    <n v="84.81"/>
    <n v="200490.84"/>
    <n v="256"/>
    <s v="2025-09-20"/>
    <d v="2025-09-01T00:00:00"/>
    <s v="2025-09-24"/>
    <s v="September 2025"/>
    <x v="0"/>
    <n v="11364.48"/>
    <n v="211855.32"/>
  </r>
  <r>
    <s v="SHP-00071"/>
    <s v="2025-01-09"/>
    <x v="3"/>
    <x v="0"/>
    <x v="0"/>
    <x v="1"/>
    <s v="TRK-003"/>
    <s v="E. Achieng"/>
    <n v="749"/>
    <n v="432.39"/>
    <n v="323860.11"/>
    <n v="311"/>
    <s v="2025-01-10"/>
    <d v="2025-01-01T00:00:00"/>
    <s v="2025-01-10"/>
    <s v="January 2025"/>
    <x v="1"/>
    <n v="12938.59"/>
    <n v="336798.7"/>
  </r>
  <r>
    <s v="SHP-00072"/>
    <s v="2025-06-05"/>
    <x v="9"/>
    <x v="1"/>
    <x v="3"/>
    <x v="3"/>
    <s v="TRK-010"/>
    <s v="M. Otieno"/>
    <n v="1831"/>
    <n v="775.62"/>
    <n v="1420160.22"/>
    <n v="318"/>
    <s v="2025-06-06"/>
    <d v="2025-06-01T00:00:00"/>
    <s v="2025-06-06"/>
    <s v="June 2025"/>
    <x v="1"/>
    <n v="15238.34"/>
    <n v="1435398.56"/>
  </r>
  <r>
    <s v="SHP-00073"/>
    <s v="2025-03-28"/>
    <x v="4"/>
    <x v="2"/>
    <x v="1"/>
    <x v="2"/>
    <s v="TRK-013"/>
    <s v="B. Kiprono"/>
    <n v="1336"/>
    <n v="708.25"/>
    <n v="946222"/>
    <n v="352"/>
    <s v="2025-03-30"/>
    <d v="2025-03-01T00:00:00"/>
    <s v="2025-03-30"/>
    <s v="March 2025"/>
    <x v="1"/>
    <n v="15870.61"/>
    <n v="962092.61"/>
  </r>
  <r>
    <s v="SHP-00074"/>
    <s v="2025-04-05"/>
    <x v="0"/>
    <x v="3"/>
    <x v="3"/>
    <x v="1"/>
    <s v="TRK-024"/>
    <s v="L. Wekesa"/>
    <n v="378"/>
    <n v="298.88"/>
    <n v="112976.64"/>
    <n v="588"/>
    <s v="2025-04-07"/>
    <d v="2025-04-01T00:00:00"/>
    <s v="2025-04-07"/>
    <s v="April 2025"/>
    <x v="1"/>
    <n v="26079.55"/>
    <n v="139056.19"/>
  </r>
  <r>
    <s v="SHP-00075"/>
    <s v="2025-06-21"/>
    <x v="9"/>
    <x v="6"/>
    <x v="1"/>
    <x v="3"/>
    <s v="TRK-030"/>
    <s v="P. Maina"/>
    <n v="1995"/>
    <n v="255.27"/>
    <n v="509263.65"/>
    <n v="200"/>
    <s v="2025-06-22"/>
    <d v="2025-06-01T00:00:00"/>
    <s v="2025-06-23"/>
    <s v="June 2025"/>
    <x v="0"/>
    <n v="8046.48"/>
    <n v="517310.13"/>
  </r>
  <r>
    <s v="SHP-00076"/>
    <s v="2025-11-07"/>
    <x v="2"/>
    <x v="3"/>
    <x v="0"/>
    <x v="3"/>
    <s v="TRK-010"/>
    <s v="A. Hassan"/>
    <n v="895"/>
    <n v="549.77"/>
    <n v="492044.15"/>
    <n v="55"/>
    <s v="2025-11-08"/>
    <d v="2025-11-01T00:00:00"/>
    <s v="2025-11-08"/>
    <s v="November 2025"/>
    <x v="1"/>
    <n v="2731.45"/>
    <n v="494775.60000000003"/>
  </r>
  <r>
    <s v="SHP-00077"/>
    <s v="2025-09-30"/>
    <x v="11"/>
    <x v="3"/>
    <x v="5"/>
    <x v="0"/>
    <s v="TRK-023"/>
    <s v="K. Barasa"/>
    <n v="705"/>
    <n v="568.64"/>
    <n v="400891.2"/>
    <n v="560"/>
    <s v="2025-10-02"/>
    <d v="2025-10-01T00:00:00"/>
    <s v="2025-10-05"/>
    <s v="October 2025"/>
    <x v="0"/>
    <n v="23520.39"/>
    <n v="424411.59"/>
  </r>
  <r>
    <s v="SHP-00078"/>
    <s v="2025-01-22"/>
    <x v="3"/>
    <x v="1"/>
    <x v="0"/>
    <x v="2"/>
    <s v="TRK-017"/>
    <s v="E. Achieng"/>
    <n v="1533"/>
    <n v="395.58"/>
    <n v="606424.14"/>
    <n v="128"/>
    <s v="2025-01-23"/>
    <d v="2025-01-01T00:00:00"/>
    <s v="2025-01-23"/>
    <s v="January 2025"/>
    <x v="1"/>
    <n v="5297.95"/>
    <n v="611722.09"/>
  </r>
  <r>
    <s v="SHP-00079"/>
    <s v="2025-11-19"/>
    <x v="2"/>
    <x v="7"/>
    <x v="1"/>
    <x v="2"/>
    <s v="TRK-005"/>
    <s v="J. Mutua"/>
    <n v="2278"/>
    <n v="682.78"/>
    <n v="1555372.84"/>
    <n v="547"/>
    <s v="2025-11-21"/>
    <d v="2025-11-01T00:00:00"/>
    <s v="2025-11-21"/>
    <s v="November 2025"/>
    <x v="1"/>
    <n v="28572.639999999999"/>
    <n v="1583945.48"/>
  </r>
  <r>
    <s v="SHP-00080"/>
    <s v="2025-08-03"/>
    <x v="6"/>
    <x v="3"/>
    <x v="5"/>
    <x v="2"/>
    <s v="TRK-026"/>
    <s v="P. Maina"/>
    <n v="563"/>
    <n v="237.92"/>
    <n v="133948.96"/>
    <n v="335"/>
    <s v="2025-08-04"/>
    <d v="2025-08-01T00:00:00"/>
    <s v="2025-08-03"/>
    <s v="August 2025"/>
    <x v="1"/>
    <n v="12054.53"/>
    <n v="146003.49"/>
  </r>
  <r>
    <s v="SHP-00081"/>
    <s v="2025-07-11"/>
    <x v="7"/>
    <x v="7"/>
    <x v="2"/>
    <x v="3"/>
    <s v="TRK-009"/>
    <s v="B. Kiprono"/>
    <n v="1136"/>
    <n v="572.64"/>
    <n v="650519.04000000004"/>
    <n v="293"/>
    <s v="2025-07-12"/>
    <d v="2025-07-01T00:00:00"/>
    <s v="2025-07-12"/>
    <s v="July 2025"/>
    <x v="1"/>
    <n v="14446.25"/>
    <n v="664965.29"/>
  </r>
  <r>
    <s v="SHP-00082"/>
    <s v="2025-01-11"/>
    <x v="3"/>
    <x v="3"/>
    <x v="0"/>
    <x v="1"/>
    <s v="TRK-017"/>
    <s v="S. Chebet"/>
    <n v="942"/>
    <n v="457.57"/>
    <n v="431030.94"/>
    <n v="589"/>
    <s v="2025-01-13"/>
    <d v="2025-01-01T00:00:00"/>
    <s v="2025-01-13"/>
    <s v="January 2025"/>
    <x v="1"/>
    <n v="36350.06"/>
    <n v="467381"/>
  </r>
  <r>
    <s v="SHP-00083"/>
    <s v="2025-05-28"/>
    <x v="10"/>
    <x v="6"/>
    <x v="0"/>
    <x v="0"/>
    <s v="TRK-012"/>
    <s v="A. Hassan"/>
    <n v="209"/>
    <n v="841.96"/>
    <n v="175969.64"/>
    <n v="242"/>
    <s v="2025-05-29"/>
    <d v="2025-05-01T00:00:00"/>
    <s v="2025-06-02"/>
    <s v="June 2025"/>
    <x v="0"/>
    <n v="11784.85"/>
    <n v="187754.49000000002"/>
  </r>
  <r>
    <s v="SHP-00084"/>
    <s v="2025-02-28"/>
    <x v="1"/>
    <x v="7"/>
    <x v="5"/>
    <x v="3"/>
    <s v="TRK-008"/>
    <s v="E. Achieng"/>
    <n v="1124"/>
    <n v="277.98"/>
    <n v="312449.52"/>
    <n v="393"/>
    <s v="2025-03-02"/>
    <d v="2025-03-01T00:00:00"/>
    <s v="2025-03-02"/>
    <s v="March 2025"/>
    <x v="1"/>
    <n v="21282.58"/>
    <n v="333732.10000000003"/>
  </r>
  <r>
    <s v="SHP-00085"/>
    <s v="2025-01-17"/>
    <x v="3"/>
    <x v="6"/>
    <x v="5"/>
    <x v="3"/>
    <s v="TRK-008"/>
    <s v="K. Barasa"/>
    <n v="1628"/>
    <n v="384.72"/>
    <n v="626324.16"/>
    <n v="471"/>
    <s v="2025-01-19"/>
    <d v="2025-01-01T00:00:00"/>
    <s v="2025-01-18"/>
    <s v="January 2025"/>
    <x v="1"/>
    <n v="17438.759999999998"/>
    <n v="643762.92000000004"/>
  </r>
  <r>
    <s v="SHP-00086"/>
    <s v="2025-06-28"/>
    <x v="9"/>
    <x v="5"/>
    <x v="3"/>
    <x v="1"/>
    <s v="TRK-030"/>
    <s v="A. Hassan"/>
    <n v="1105"/>
    <n v="115.04"/>
    <n v="127119.2"/>
    <n v="546"/>
    <s v="2025-06-30"/>
    <d v="2025-06-01T00:00:00"/>
    <s v="2025-06-30"/>
    <s v="June 2025"/>
    <x v="1"/>
    <n v="33817.339999999997"/>
    <n v="160936.53999999998"/>
  </r>
  <r>
    <s v="SHP-00087"/>
    <s v="2025-12-03"/>
    <x v="8"/>
    <x v="1"/>
    <x v="5"/>
    <x v="1"/>
    <s v="TRK-008"/>
    <s v="S. Chebet"/>
    <n v="2295"/>
    <n v="545.44000000000005"/>
    <n v="1251784.8"/>
    <n v="295"/>
    <s v="2025-12-04"/>
    <d v="2025-12-01T00:00:00"/>
    <s v="2025-12-04"/>
    <s v="December 2025"/>
    <x v="1"/>
    <n v="16295.53"/>
    <n v="1268080.33"/>
  </r>
  <r>
    <s v="SHP-00088"/>
    <s v="2025-05-08"/>
    <x v="10"/>
    <x v="2"/>
    <x v="0"/>
    <x v="2"/>
    <s v="TRK-009"/>
    <s v="M. Otieno"/>
    <n v="385"/>
    <n v="630.29"/>
    <n v="242661.65"/>
    <n v="335"/>
    <s v="2025-05-09"/>
    <d v="2025-05-01T00:00:00"/>
    <s v="2025-05-09"/>
    <s v="May 2025"/>
    <x v="1"/>
    <n v="20366.43"/>
    <n v="263028.08"/>
  </r>
  <r>
    <s v="SHP-00089"/>
    <s v="2025-07-03"/>
    <x v="7"/>
    <x v="4"/>
    <x v="5"/>
    <x v="3"/>
    <s v="TRK-006"/>
    <s v="L. Wekesa"/>
    <n v="824"/>
    <n v="200.14"/>
    <n v="164915.35999999999"/>
    <n v="719"/>
    <s v="2025-07-06"/>
    <d v="2025-07-01T00:00:00"/>
    <s v="2025-07-09"/>
    <s v="July 2025"/>
    <x v="0"/>
    <n v="39880.089999999997"/>
    <n v="204795.44999999998"/>
  </r>
  <r>
    <s v="SHP-00090"/>
    <s v="2025-07-26"/>
    <x v="7"/>
    <x v="6"/>
    <x v="0"/>
    <x v="3"/>
    <s v="TRK-029"/>
    <s v="D. Said"/>
    <n v="1120"/>
    <n v="223.46"/>
    <n v="250275.20000000001"/>
    <n v="319"/>
    <s v="2025-07-27"/>
    <d v="2025-07-01T00:00:00"/>
    <s v="2025-07-30"/>
    <s v="July 2025"/>
    <x v="0"/>
    <n v="17449.75"/>
    <n v="267724.95"/>
  </r>
  <r>
    <s v="SHP-00091"/>
    <s v="2025-01-30"/>
    <x v="3"/>
    <x v="7"/>
    <x v="3"/>
    <x v="2"/>
    <s v="TRK-003"/>
    <s v="E. Achieng"/>
    <n v="1051"/>
    <n v="553.47"/>
    <n v="581696.97"/>
    <n v="337"/>
    <s v="2025-01-31"/>
    <d v="2025-01-01T00:00:00"/>
    <s v="2025-02-01"/>
    <s v="February 2025"/>
    <x v="0"/>
    <n v="17991.12"/>
    <n v="599688.09"/>
  </r>
  <r>
    <s v="SHP-00092"/>
    <s v="2025-11-12"/>
    <x v="2"/>
    <x v="5"/>
    <x v="5"/>
    <x v="2"/>
    <s v="TRK-007"/>
    <s v="J. Mutua"/>
    <n v="1294"/>
    <n v="849.22"/>
    <n v="1098890.68"/>
    <n v="480"/>
    <s v="2025-11-14"/>
    <d v="2025-11-01T00:00:00"/>
    <s v="2025-11-14"/>
    <s v="November 2025"/>
    <x v="1"/>
    <n v="23287.86"/>
    <n v="1122178.54"/>
  </r>
  <r>
    <s v="SHP-00093"/>
    <s v="2025-12-31"/>
    <x v="8"/>
    <x v="7"/>
    <x v="4"/>
    <x v="0"/>
    <s v="TRK-015"/>
    <s v="S. Chebet"/>
    <n v="1374"/>
    <n v="517.29"/>
    <n v="710756.46"/>
    <n v="267"/>
    <s v="2026-01-01"/>
    <d v="2026-01-01T00:00:00"/>
    <s v="2026-01-03"/>
    <s v="January 2026"/>
    <x v="0"/>
    <n v="14420.37"/>
    <n v="725176.83"/>
  </r>
  <r>
    <s v="SHP-00094"/>
    <s v="2025-12-24"/>
    <x v="8"/>
    <x v="5"/>
    <x v="1"/>
    <x v="0"/>
    <s v="TRK-005"/>
    <s v="K. Barasa"/>
    <n v="1058"/>
    <n v="388.85"/>
    <n v="411403.3"/>
    <n v="605"/>
    <s v="2025-12-26"/>
    <d v="2025-12-01T00:00:00"/>
    <s v="2025-12-29"/>
    <s v="December 2025"/>
    <x v="0"/>
    <n v="36023.07"/>
    <n v="447426.37"/>
  </r>
  <r>
    <s v="SHP-00095"/>
    <s v="2025-03-09"/>
    <x v="4"/>
    <x v="0"/>
    <x v="5"/>
    <x v="0"/>
    <s v="TRK-018"/>
    <s v="S. Chebet"/>
    <n v="1504"/>
    <n v="300.95999999999998"/>
    <n v="452643.84000000003"/>
    <n v="43"/>
    <s v="2025-03-10"/>
    <d v="2025-03-01T00:00:00"/>
    <s v="2025-03-10"/>
    <s v="March 2025"/>
    <x v="1"/>
    <n v="2464.62"/>
    <n v="455108.46"/>
  </r>
  <r>
    <s v="SHP-00096"/>
    <s v="2025-11-20"/>
    <x v="2"/>
    <x v="6"/>
    <x v="3"/>
    <x v="3"/>
    <s v="TRK-025"/>
    <s v="P. Maina"/>
    <n v="230"/>
    <n v="54.19"/>
    <n v="12463.7"/>
    <n v="592"/>
    <s v="2025-11-22"/>
    <d v="2025-11-01T00:00:00"/>
    <s v="2025-11-26"/>
    <s v="November 2025"/>
    <x v="0"/>
    <n v="27512.91"/>
    <n v="39976.61"/>
  </r>
  <r>
    <s v="SHP-00097"/>
    <s v="2025-08-25"/>
    <x v="6"/>
    <x v="7"/>
    <x v="5"/>
    <x v="0"/>
    <s v="TRK-017"/>
    <s v="L. Wekesa"/>
    <n v="723"/>
    <n v="411.86"/>
    <n v="297774.78000000003"/>
    <n v="207"/>
    <s v="2025-08-26"/>
    <d v="2025-08-01T00:00:00"/>
    <s v="2025-08-26"/>
    <s v="August 2025"/>
    <x v="1"/>
    <n v="10910.91"/>
    <n v="308685.69"/>
  </r>
  <r>
    <s v="SHP-00098"/>
    <s v="2025-06-06"/>
    <x v="9"/>
    <x v="0"/>
    <x v="0"/>
    <x v="3"/>
    <s v="TRK-005"/>
    <s v="J. Mutua"/>
    <n v="384"/>
    <n v="707.99"/>
    <n v="271868.15999999997"/>
    <n v="39"/>
    <s v="2025-06-07"/>
    <d v="2025-06-01T00:00:00"/>
    <s v="2025-06-10"/>
    <s v="June 2025"/>
    <x v="0"/>
    <n v="1496.97"/>
    <n v="273365.12999999995"/>
  </r>
  <r>
    <s v="SHP-00099"/>
    <s v="2025-11-12"/>
    <x v="2"/>
    <x v="3"/>
    <x v="5"/>
    <x v="0"/>
    <s v="TRK-029"/>
    <s v="E. Achieng"/>
    <n v="262"/>
    <n v="856.88"/>
    <n v="224502.56"/>
    <n v="381"/>
    <s v="2025-11-14"/>
    <d v="2025-11-01T00:00:00"/>
    <s v="2025-11-13"/>
    <s v="November 2025"/>
    <x v="1"/>
    <n v="16202.09"/>
    <n v="240704.65"/>
  </r>
  <r>
    <s v="SHP-00100"/>
    <s v="2025-10-22"/>
    <x v="5"/>
    <x v="0"/>
    <x v="4"/>
    <x v="2"/>
    <s v="TRK-015"/>
    <s v="M. Otieno"/>
    <n v="1288"/>
    <n v="802.72"/>
    <n v="1033903.36"/>
    <n v="215"/>
    <s v="2025-10-23"/>
    <d v="2025-10-01T00:00:00"/>
    <s v="2025-10-25"/>
    <s v="October 2025"/>
    <x v="0"/>
    <n v="8194.15"/>
    <n v="1042097.51"/>
  </r>
  <r>
    <s v="SHP-00101"/>
    <s v="2025-08-07"/>
    <x v="6"/>
    <x v="3"/>
    <x v="2"/>
    <x v="0"/>
    <s v="TRK-021"/>
    <s v="P. Maina"/>
    <n v="769"/>
    <n v="248.37"/>
    <n v="190996.53"/>
    <n v="159"/>
    <s v="2025-08-08"/>
    <d v="2025-08-01T00:00:00"/>
    <s v="2025-08-08"/>
    <s v="August 2025"/>
    <x v="1"/>
    <n v="6614.8"/>
    <n v="197611.33"/>
  </r>
  <r>
    <s v="SHP-00102"/>
    <s v="2025-07-10"/>
    <x v="7"/>
    <x v="3"/>
    <x v="2"/>
    <x v="3"/>
    <s v="TRK-014"/>
    <s v="A. Hassan"/>
    <n v="1755"/>
    <n v="544.72"/>
    <n v="955983.6"/>
    <n v="514"/>
    <s v="2025-07-12"/>
    <d v="2025-07-01T00:00:00"/>
    <s v="2025-07-12"/>
    <s v="July 2025"/>
    <x v="1"/>
    <n v="27433.02"/>
    <n v="983416.62"/>
  </r>
  <r>
    <s v="SHP-00103"/>
    <s v="2025-04-28"/>
    <x v="0"/>
    <x v="2"/>
    <x v="3"/>
    <x v="2"/>
    <s v="TRK-028"/>
    <s v="S. Chebet"/>
    <n v="999"/>
    <n v="355.76"/>
    <n v="355404.24"/>
    <n v="436"/>
    <s v="2025-04-30"/>
    <d v="2025-04-01T00:00:00"/>
    <s v="2025-05-01"/>
    <s v="May 2025"/>
    <x v="0"/>
    <n v="19266.02"/>
    <n v="374670.26"/>
  </r>
  <r>
    <s v="SHP-00104"/>
    <s v="2025-09-13"/>
    <x v="11"/>
    <x v="0"/>
    <x v="4"/>
    <x v="2"/>
    <s v="TRK-011"/>
    <s v="D. Said"/>
    <n v="2157"/>
    <n v="767.87"/>
    <n v="1656295.59"/>
    <n v="600"/>
    <s v="2025-09-15"/>
    <d v="2025-09-01T00:00:00"/>
    <s v="2025-09-15"/>
    <s v="September 2025"/>
    <x v="1"/>
    <n v="37195.379999999997"/>
    <n v="1693490.97"/>
  </r>
  <r>
    <s v="SHP-00105"/>
    <s v="2025-04-28"/>
    <x v="0"/>
    <x v="7"/>
    <x v="1"/>
    <x v="3"/>
    <s v="TRK-007"/>
    <s v="A. Hassan"/>
    <n v="601"/>
    <n v="284.85000000000002"/>
    <n v="171194.85"/>
    <n v="348"/>
    <s v="2025-04-29"/>
    <d v="2025-04-01T00:00:00"/>
    <s v="2025-05-01"/>
    <s v="May 2025"/>
    <x v="0"/>
    <n v="16698.61"/>
    <n v="187893.46000000002"/>
  </r>
  <r>
    <s v="SHP-00106"/>
    <s v="2025-01-21"/>
    <x v="3"/>
    <x v="3"/>
    <x v="1"/>
    <x v="3"/>
    <s v="TRK-006"/>
    <s v="D. Said"/>
    <n v="591"/>
    <n v="477.95"/>
    <n v="282468.45"/>
    <n v="454"/>
    <s v="2025-01-23"/>
    <d v="2025-01-01T00:00:00"/>
    <s v="2025-01-23"/>
    <s v="January 2025"/>
    <x v="1"/>
    <n v="19426.34"/>
    <n v="301894.79000000004"/>
  </r>
  <r>
    <s v="SHP-00107"/>
    <s v="2025-11-22"/>
    <x v="2"/>
    <x v="5"/>
    <x v="3"/>
    <x v="1"/>
    <s v="TRK-004"/>
    <s v="E. Achieng"/>
    <n v="490"/>
    <n v="796.02"/>
    <n v="390049.8"/>
    <n v="115"/>
    <s v="2025-11-23"/>
    <d v="2025-11-01T00:00:00"/>
    <s v="2025-11-27"/>
    <s v="November 2025"/>
    <x v="0"/>
    <n v="4402.8500000000004"/>
    <n v="394452.64999999997"/>
  </r>
  <r>
    <s v="SHP-00108"/>
    <s v="2025-04-01"/>
    <x v="0"/>
    <x v="4"/>
    <x v="1"/>
    <x v="1"/>
    <s v="TRK-010"/>
    <s v="D. Said"/>
    <n v="1722"/>
    <n v="230.29"/>
    <n v="396559.38"/>
    <n v="578"/>
    <s v="2025-04-03"/>
    <d v="2025-04-01T00:00:00"/>
    <s v="2025-04-03"/>
    <s v="April 2025"/>
    <x v="1"/>
    <n v="34917.96"/>
    <n v="431477.34"/>
  </r>
  <r>
    <s v="SHP-00109"/>
    <s v="2025-11-15"/>
    <x v="2"/>
    <x v="7"/>
    <x v="5"/>
    <x v="3"/>
    <s v="TRK-006"/>
    <s v="J. Mutua"/>
    <n v="844"/>
    <n v="741.74"/>
    <n v="626028.56000000006"/>
    <n v="278"/>
    <s v="2025-11-16"/>
    <d v="2025-11-01T00:00:00"/>
    <s v="2025-11-20"/>
    <s v="November 2025"/>
    <x v="0"/>
    <n v="12791.88"/>
    <n v="638820.44000000006"/>
  </r>
  <r>
    <s v="SHP-00110"/>
    <s v="2025-12-28"/>
    <x v="8"/>
    <x v="6"/>
    <x v="1"/>
    <x v="2"/>
    <s v="TRK-005"/>
    <s v="M. Otieno"/>
    <n v="1005"/>
    <n v="182.61"/>
    <n v="183523.05"/>
    <n v="528"/>
    <s v="2025-12-30"/>
    <d v="2025-12-01T00:00:00"/>
    <s v="2025-12-30"/>
    <s v="December 2025"/>
    <x v="1"/>
    <n v="23346.33"/>
    <n v="206869.38"/>
  </r>
  <r>
    <s v="SHP-00111"/>
    <s v="2025-11-06"/>
    <x v="2"/>
    <x v="2"/>
    <x v="3"/>
    <x v="1"/>
    <s v="TRK-017"/>
    <s v="K. Barasa"/>
    <n v="579"/>
    <n v="459.64"/>
    <n v="266131.56"/>
    <n v="241"/>
    <s v="2025-11-07"/>
    <d v="2025-11-01T00:00:00"/>
    <s v="2025-11-10"/>
    <s v="November 2025"/>
    <x v="0"/>
    <n v="12533.03"/>
    <n v="278664.59000000003"/>
  </r>
  <r>
    <s v="SHP-00112"/>
    <s v="2025-08-30"/>
    <x v="6"/>
    <x v="7"/>
    <x v="3"/>
    <x v="0"/>
    <s v="TRK-001"/>
    <s v="P. Maina"/>
    <n v="1980"/>
    <n v="259.52999999999997"/>
    <n v="513869.4"/>
    <n v="356"/>
    <s v="2025-09-01"/>
    <d v="2025-09-01T00:00:00"/>
    <s v="2025-09-01"/>
    <s v="September 2025"/>
    <x v="1"/>
    <n v="19422.55"/>
    <n v="533291.95000000007"/>
  </r>
  <r>
    <s v="SHP-00113"/>
    <s v="2025-12-25"/>
    <x v="8"/>
    <x v="5"/>
    <x v="2"/>
    <x v="0"/>
    <s v="TRK-004"/>
    <s v="Not Found"/>
    <n v="1598"/>
    <n v="205.62"/>
    <n v="328580.76"/>
    <n v="296"/>
    <s v="2025-12-26"/>
    <d v="2025-12-01T00:00:00"/>
    <s v="2025-12-27"/>
    <s v="December 2025"/>
    <x v="0"/>
    <n v="18222.689999999999"/>
    <n v="346803.45"/>
  </r>
  <r>
    <s v="SHP-00114"/>
    <s v="2025-12-07"/>
    <x v="8"/>
    <x v="3"/>
    <x v="1"/>
    <x v="3"/>
    <s v="TRK-001"/>
    <s v="K. Barasa"/>
    <n v="1352"/>
    <n v="729.57"/>
    <n v="986378.64"/>
    <n v="49"/>
    <s v="2025-12-08"/>
    <d v="2025-12-01T00:00:00"/>
    <s v="2025-12-10"/>
    <s v="December 2025"/>
    <x v="0"/>
    <n v="2629.37"/>
    <n v="989008.01"/>
  </r>
  <r>
    <s v="SHP-00115"/>
    <s v="2025-07-31"/>
    <x v="7"/>
    <x v="2"/>
    <x v="1"/>
    <x v="0"/>
    <s v="TRK-027"/>
    <s v="P. Maina"/>
    <n v="608"/>
    <n v="679.26"/>
    <n v="412990.08"/>
    <n v="450"/>
    <s v="2025-08-02"/>
    <d v="2025-08-01T00:00:00"/>
    <s v="2025-08-02"/>
    <s v="August 2025"/>
    <x v="1"/>
    <n v="18625.71"/>
    <n v="431615.79000000004"/>
  </r>
  <r>
    <s v="SHP-00116"/>
    <s v="2025-06-07"/>
    <x v="9"/>
    <x v="4"/>
    <x v="4"/>
    <x v="3"/>
    <s v="TRK-019"/>
    <s v="B. Kiprono"/>
    <n v="2154"/>
    <n v="252.75"/>
    <n v="544423.5"/>
    <n v="71"/>
    <s v="2025-06-08"/>
    <d v="2025-06-01T00:00:00"/>
    <s v="2025-06-08"/>
    <s v="June 2025"/>
    <x v="1"/>
    <n v="2789.94"/>
    <n v="547213.43999999994"/>
  </r>
  <r>
    <s v="SHP-00117"/>
    <s v="2025-01-24"/>
    <x v="3"/>
    <x v="7"/>
    <x v="5"/>
    <x v="3"/>
    <s v="TRK-003"/>
    <s v="L. Wekesa"/>
    <n v="1242"/>
    <n v="253.36"/>
    <n v="314673.12"/>
    <n v="163"/>
    <s v="2025-01-25"/>
    <d v="2025-01-01T00:00:00"/>
    <s v="2025-01-25"/>
    <s v="January 2025"/>
    <x v="1"/>
    <n v="7105.62"/>
    <n v="321778.74"/>
  </r>
  <r>
    <s v="SHP-00118"/>
    <s v="2025-08-01"/>
    <x v="6"/>
    <x v="5"/>
    <x v="1"/>
    <x v="3"/>
    <s v="TRK-029"/>
    <s v="S. Chebet"/>
    <n v="126"/>
    <n v="576.15"/>
    <n v="72594.899999999994"/>
    <n v="419"/>
    <s v="2025-08-03"/>
    <d v="2025-08-01T00:00:00"/>
    <s v="2025-08-03"/>
    <s v="August 2025"/>
    <x v="1"/>
    <n v="24539.05"/>
    <n v="97133.95"/>
  </r>
  <r>
    <s v="SHP-00119"/>
    <s v="2025-12-02"/>
    <x v="8"/>
    <x v="3"/>
    <x v="5"/>
    <x v="1"/>
    <s v="TRK-002"/>
    <s v="A. Hassan"/>
    <n v="1476"/>
    <n v="397.24"/>
    <n v="586326.24"/>
    <n v="57"/>
    <s v="2025-12-03"/>
    <d v="2025-12-01T00:00:00"/>
    <s v="2025-12-06"/>
    <s v="December 2025"/>
    <x v="0"/>
    <n v="3401.65"/>
    <n v="589727.89"/>
  </r>
  <r>
    <s v="SHP-00120"/>
    <s v="2025-02-09"/>
    <x v="1"/>
    <x v="0"/>
    <x v="4"/>
    <x v="1"/>
    <s v="TRK-016"/>
    <s v="K. Barasa"/>
    <n v="2282"/>
    <n v="236.46"/>
    <n v="539601.72"/>
    <n v="473"/>
    <s v="2025-02-11"/>
    <d v="2025-02-01T00:00:00"/>
    <s v="2025-02-11"/>
    <s v="February 2025"/>
    <x v="1"/>
    <n v="20805.259999999998"/>
    <n v="560406.98"/>
  </r>
  <r>
    <s v="SHP-00121"/>
    <s v="2025-08-08"/>
    <x v="6"/>
    <x v="0"/>
    <x v="4"/>
    <x v="1"/>
    <s v="TRK-006"/>
    <s v="S. Chebet"/>
    <n v="1601"/>
    <n v="207.15"/>
    <n v="331647.15000000002"/>
    <n v="157"/>
    <s v="2025-08-09"/>
    <d v="2025-08-01T00:00:00"/>
    <s v="2025-08-08"/>
    <s v="August 2025"/>
    <x v="1"/>
    <n v="9119.11"/>
    <n v="340766.26"/>
  </r>
  <r>
    <s v="SHP-00122"/>
    <s v="2025-04-08"/>
    <x v="0"/>
    <x v="2"/>
    <x v="1"/>
    <x v="2"/>
    <s v="TRK-009"/>
    <s v="D. Said"/>
    <n v="1774"/>
    <n v="348.83"/>
    <n v="618824.42000000004"/>
    <n v="481"/>
    <s v="2025-04-10"/>
    <d v="2025-04-01T00:00:00"/>
    <s v="2025-04-10"/>
    <s v="April 2025"/>
    <x v="1"/>
    <n v="22953.81"/>
    <n v="641778.2300000001"/>
  </r>
  <r>
    <s v="SHP-00123"/>
    <s v="2025-12-30"/>
    <x v="8"/>
    <x v="1"/>
    <x v="5"/>
    <x v="0"/>
    <s v="TRK-021"/>
    <s v="J. Mutua"/>
    <n v="915"/>
    <n v="571.02"/>
    <n v="522483.3"/>
    <n v="253"/>
    <s v="2025-12-31"/>
    <d v="2025-12-01T00:00:00"/>
    <s v="2026-01-03"/>
    <s v="January 2026"/>
    <x v="0"/>
    <n v="9993.2900000000009"/>
    <n v="532476.59"/>
  </r>
  <r>
    <s v="SHP-00124"/>
    <s v="2025-12-09"/>
    <x v="8"/>
    <x v="5"/>
    <x v="0"/>
    <x v="1"/>
    <s v="TRK-002"/>
    <s v="M. Otieno"/>
    <n v="157"/>
    <n v="420.85"/>
    <n v="66073.45"/>
    <n v="475"/>
    <s v="2025-12-11"/>
    <d v="2025-12-01T00:00:00"/>
    <s v="2025-12-13"/>
    <s v="December 2025"/>
    <x v="0"/>
    <n v="21791.41"/>
    <n v="87864.86"/>
  </r>
  <r>
    <s v="SHP-00125"/>
    <s v="2025-03-16"/>
    <x v="4"/>
    <x v="7"/>
    <x v="0"/>
    <x v="0"/>
    <s v="TRK-014"/>
    <s v="L. Wekesa"/>
    <n v="625"/>
    <n v="499.67"/>
    <n v="312293.75"/>
    <n v="69"/>
    <s v="2025-03-17"/>
    <d v="2025-03-01T00:00:00"/>
    <s v="2025-03-17"/>
    <s v="March 2025"/>
    <x v="1"/>
    <n v="2957.62"/>
    <n v="315251.37"/>
  </r>
  <r>
    <s v="SHP-00126"/>
    <s v="2025-11-09"/>
    <x v="2"/>
    <x v="2"/>
    <x v="4"/>
    <x v="3"/>
    <s v="TRK-013"/>
    <s v="S. Chebet"/>
    <n v="1291"/>
    <n v="461.14"/>
    <n v="595331.74"/>
    <n v="360"/>
    <s v="2025-11-11"/>
    <d v="2025-11-01T00:00:00"/>
    <s v="2025-11-15"/>
    <s v="November 2025"/>
    <x v="0"/>
    <n v="20764.16"/>
    <n v="616095.9"/>
  </r>
  <r>
    <s v="SHP-00127"/>
    <s v="2025-07-15"/>
    <x v="7"/>
    <x v="5"/>
    <x v="2"/>
    <x v="1"/>
    <s v="TRK-012"/>
    <s v="B. Kiprono"/>
    <n v="2204"/>
    <n v="583.24"/>
    <n v="1285460.96"/>
    <n v="242"/>
    <s v="2025-07-16"/>
    <d v="2025-07-01T00:00:00"/>
    <s v="2025-07-16"/>
    <s v="July 2025"/>
    <x v="1"/>
    <n v="10574.64"/>
    <n v="1296035.5999999999"/>
  </r>
  <r>
    <s v="SHP-00128"/>
    <s v="2025-09-24"/>
    <x v="11"/>
    <x v="4"/>
    <x v="0"/>
    <x v="2"/>
    <s v="TRK-006"/>
    <s v="K. Barasa"/>
    <n v="1500"/>
    <n v="66.83"/>
    <n v="100245"/>
    <n v="92"/>
    <s v="2025-09-25"/>
    <d v="2025-09-01T00:00:00"/>
    <s v="2025-09-24"/>
    <s v="September 2025"/>
    <x v="1"/>
    <n v="4523.59"/>
    <n v="104768.59"/>
  </r>
  <r>
    <s v="SHP-00129"/>
    <s v="2025-04-23"/>
    <x v="0"/>
    <x v="4"/>
    <x v="2"/>
    <x v="0"/>
    <s v="TRK-001"/>
    <s v="J. Mutua"/>
    <n v="1557"/>
    <n v="214.44"/>
    <n v="333883.08"/>
    <n v="274"/>
    <s v="2025-04-24"/>
    <d v="2025-04-01T00:00:00"/>
    <s v="2025-04-28"/>
    <s v="April 2025"/>
    <x v="0"/>
    <n v="15234.6"/>
    <n v="349117.68"/>
  </r>
  <r>
    <s v="SHP-00130"/>
    <s v="2025-02-17"/>
    <x v="1"/>
    <x v="6"/>
    <x v="0"/>
    <x v="2"/>
    <s v="TRK-025"/>
    <s v="B. Kiprono"/>
    <n v="640"/>
    <n v="173.89"/>
    <n v="111289.60000000001"/>
    <n v="138"/>
    <s v="2025-02-18"/>
    <d v="2025-02-01T00:00:00"/>
    <s v="2025-02-18"/>
    <s v="February 2025"/>
    <x v="1"/>
    <n v="8551.8700000000008"/>
    <n v="119841.47"/>
  </r>
  <r>
    <s v="SHP-00131"/>
    <s v="2025-08-07"/>
    <x v="6"/>
    <x v="2"/>
    <x v="1"/>
    <x v="3"/>
    <s v="TRK-008"/>
    <s v="L. Wekesa"/>
    <n v="612"/>
    <n v="755.19"/>
    <n v="462176.28"/>
    <n v="696"/>
    <s v="2025-08-09"/>
    <d v="2025-08-01T00:00:00"/>
    <s v="2025-08-09"/>
    <s v="August 2025"/>
    <x v="1"/>
    <n v="32284.37"/>
    <n v="494460.65"/>
  </r>
  <r>
    <s v="SHP-00132"/>
    <s v="2025-06-28"/>
    <x v="9"/>
    <x v="7"/>
    <x v="2"/>
    <x v="3"/>
    <s v="TRK-025"/>
    <s v="L. Wekesa"/>
    <n v="1419"/>
    <n v="147.84"/>
    <n v="209784.95999999999"/>
    <n v="395"/>
    <s v="2025-06-30"/>
    <d v="2025-06-01T00:00:00"/>
    <s v="2025-07-01"/>
    <s v="July 2025"/>
    <x v="0"/>
    <n v="19686.84"/>
    <n v="229471.8"/>
  </r>
  <r>
    <s v="SHP-00133"/>
    <s v="2025-12-24"/>
    <x v="8"/>
    <x v="0"/>
    <x v="3"/>
    <x v="0"/>
    <s v="TRK-006"/>
    <s v="L. Wekesa"/>
    <n v="1527"/>
    <n v="92.44"/>
    <n v="141155.88"/>
    <n v="408"/>
    <s v="2025-12-26"/>
    <d v="2025-12-01T00:00:00"/>
    <s v="2025-12-26"/>
    <s v="December 2025"/>
    <x v="1"/>
    <n v="15876.37"/>
    <n v="157032.25"/>
  </r>
  <r>
    <s v="SHP-00134"/>
    <s v="2025-03-18"/>
    <x v="4"/>
    <x v="4"/>
    <x v="4"/>
    <x v="2"/>
    <s v="TRK-030"/>
    <s v="B. Kiprono"/>
    <n v="2309"/>
    <n v="483.58"/>
    <n v="1116586.22"/>
    <n v="706"/>
    <s v="2025-03-21"/>
    <d v="2025-03-01T00:00:00"/>
    <s v="2025-03-21"/>
    <s v="March 2025"/>
    <x v="1"/>
    <n v="34301.56"/>
    <n v="1150887.78"/>
  </r>
  <r>
    <s v="SHP-00135"/>
    <s v="2025-05-18"/>
    <x v="10"/>
    <x v="6"/>
    <x v="4"/>
    <x v="2"/>
    <s v="TRK-019"/>
    <s v="B. Kiprono"/>
    <n v="771"/>
    <n v="338.82"/>
    <n v="261230.22"/>
    <n v="176"/>
    <s v="2025-05-19"/>
    <d v="2025-05-01T00:00:00"/>
    <s v="2025-05-23"/>
    <s v="May 2025"/>
    <x v="0"/>
    <n v="7221.23"/>
    <n v="268451.45"/>
  </r>
  <r>
    <s v="SHP-00136"/>
    <s v="2025-05-26"/>
    <x v="10"/>
    <x v="1"/>
    <x v="2"/>
    <x v="0"/>
    <s v="TRK-027"/>
    <s v="D. Said"/>
    <n v="1246"/>
    <n v="172.83"/>
    <n v="215346.18"/>
    <n v="89"/>
    <s v="2025-05-27"/>
    <d v="2025-05-01T00:00:00"/>
    <s v="2025-05-27"/>
    <s v="May 2025"/>
    <x v="1"/>
    <n v="4511.99"/>
    <n v="219858.16999999998"/>
  </r>
  <r>
    <s v="SHP-00137"/>
    <s v="2025-06-08"/>
    <x v="9"/>
    <x v="7"/>
    <x v="1"/>
    <x v="1"/>
    <s v="TRK-002"/>
    <s v="M. Otieno"/>
    <n v="1071"/>
    <n v="89.1"/>
    <n v="95426.1"/>
    <n v="619"/>
    <s v="2025-06-10"/>
    <d v="2025-06-01T00:00:00"/>
    <s v="2025-06-13"/>
    <s v="June 2025"/>
    <x v="0"/>
    <n v="28622.85"/>
    <n v="124048.95000000001"/>
  </r>
  <r>
    <s v="SHP-00138"/>
    <s v="2025-10-01"/>
    <x v="5"/>
    <x v="6"/>
    <x v="1"/>
    <x v="0"/>
    <s v="TRK-001"/>
    <s v="E. Achieng"/>
    <n v="2347"/>
    <n v="293.35000000000002"/>
    <n v="688492.45"/>
    <n v="591"/>
    <s v="2025-10-03"/>
    <d v="2025-10-01T00:00:00"/>
    <s v="2025-10-03"/>
    <s v="October 2025"/>
    <x v="1"/>
    <n v="26499.05"/>
    <n v="714991.5"/>
  </r>
  <r>
    <s v="SHP-00139"/>
    <s v="2025-02-12"/>
    <x v="1"/>
    <x v="5"/>
    <x v="5"/>
    <x v="2"/>
    <s v="TRK-030"/>
    <s v="B. Kiprono"/>
    <n v="2488"/>
    <n v="520.04999999999995"/>
    <n v="1293884.3999999999"/>
    <n v="25"/>
    <s v="2025-02-13"/>
    <d v="2025-02-01T00:00:00"/>
    <s v="2025-02-16"/>
    <s v="February 2025"/>
    <x v="0"/>
    <n v="1456.73"/>
    <n v="1295341.1299999999"/>
  </r>
  <r>
    <s v="SHP-00140"/>
    <s v="2025-03-26"/>
    <x v="4"/>
    <x v="2"/>
    <x v="1"/>
    <x v="2"/>
    <s v="TRK-023"/>
    <s v="A. Hassan"/>
    <n v="1430"/>
    <n v="296.85000000000002"/>
    <n v="424495.5"/>
    <n v="491"/>
    <s v="2025-03-28"/>
    <d v="2025-03-01T00:00:00"/>
    <s v="2025-03-31"/>
    <s v="March 2025"/>
    <x v="0"/>
    <n v="23157.81"/>
    <n v="447653.31"/>
  </r>
  <r>
    <s v="SHP-00141"/>
    <s v="2025-11-10"/>
    <x v="2"/>
    <x v="4"/>
    <x v="5"/>
    <x v="3"/>
    <s v="TRK-005"/>
    <s v="B. Kiprono"/>
    <n v="453"/>
    <n v="291.31"/>
    <n v="131963.43"/>
    <n v="420"/>
    <s v="2025-11-12"/>
    <d v="2025-11-01T00:00:00"/>
    <s v="2025-11-12"/>
    <s v="November 2025"/>
    <x v="1"/>
    <n v="21641.78"/>
    <n v="153605.21"/>
  </r>
  <r>
    <s v="SHP-00142"/>
    <s v="2025-10-01"/>
    <x v="5"/>
    <x v="1"/>
    <x v="5"/>
    <x v="2"/>
    <s v="TRK-003"/>
    <s v="S. Chebet"/>
    <n v="1896"/>
    <n v="845.32"/>
    <n v="1602726.72"/>
    <n v="73"/>
    <s v="2025-10-02"/>
    <d v="2025-10-01T00:00:00"/>
    <s v="2025-10-03"/>
    <s v="October 2025"/>
    <x v="0"/>
    <n v="4066.17"/>
    <n v="1606792.89"/>
  </r>
  <r>
    <s v="SHP-00143"/>
    <s v="2025-12-13"/>
    <x v="8"/>
    <x v="0"/>
    <x v="2"/>
    <x v="3"/>
    <s v="TRK-011"/>
    <s v="J. Mutua"/>
    <n v="181"/>
    <n v="477.76"/>
    <n v="86474.559999999998"/>
    <n v="505"/>
    <s v="2025-12-15"/>
    <d v="2025-12-01T00:00:00"/>
    <s v="2025-12-15"/>
    <s v="December 2025"/>
    <x v="1"/>
    <n v="25232.86"/>
    <n v="111707.42"/>
  </r>
  <r>
    <s v="SHP-00144"/>
    <s v="2025-10-18"/>
    <x v="5"/>
    <x v="4"/>
    <x v="1"/>
    <x v="0"/>
    <s v="TRK-024"/>
    <s v="P. Maina"/>
    <n v="1404"/>
    <n v="80.790000000000006"/>
    <n v="113429.16"/>
    <n v="469"/>
    <s v="2025-10-20"/>
    <d v="2025-10-01T00:00:00"/>
    <s v="2025-10-24"/>
    <s v="October 2025"/>
    <x v="0"/>
    <n v="28781.43"/>
    <n v="142210.59"/>
  </r>
  <r>
    <s v="SHP-00145"/>
    <s v="2025-03-07"/>
    <x v="4"/>
    <x v="5"/>
    <x v="4"/>
    <x v="2"/>
    <s v="TRK-006"/>
    <s v="E. Achieng"/>
    <n v="784"/>
    <n v="194.78"/>
    <n v="152707.51999999999"/>
    <n v="479"/>
    <s v="2025-03-09"/>
    <d v="2025-03-01T00:00:00"/>
    <s v="2025-03-12"/>
    <s v="March 2025"/>
    <x v="0"/>
    <n v="23231.97"/>
    <n v="175939.49"/>
  </r>
  <r>
    <s v="SHP-00146"/>
    <s v="2025-07-11"/>
    <x v="7"/>
    <x v="4"/>
    <x v="1"/>
    <x v="0"/>
    <s v="TRK-013"/>
    <s v="J. Mutua"/>
    <n v="185"/>
    <n v="79.099999999999994"/>
    <n v="14633.5"/>
    <n v="618"/>
    <s v="2025-07-13"/>
    <d v="2025-07-01T00:00:00"/>
    <s v="2025-07-14"/>
    <s v="July 2025"/>
    <x v="0"/>
    <n v="31023.51"/>
    <n v="45657.009999999995"/>
  </r>
  <r>
    <s v="SHP-00147"/>
    <s v="2025-07-24"/>
    <x v="7"/>
    <x v="7"/>
    <x v="1"/>
    <x v="0"/>
    <s v="TRK-024"/>
    <s v="K. Barasa"/>
    <n v="831"/>
    <n v="839.66"/>
    <n v="697757.46"/>
    <n v="197"/>
    <s v="2025-07-25"/>
    <d v="2025-07-01T00:00:00"/>
    <s v="2025-07-29"/>
    <s v="July 2025"/>
    <x v="0"/>
    <n v="9465.86"/>
    <n v="707223.32"/>
  </r>
  <r>
    <s v="SHP-00148"/>
    <s v="2025-08-01"/>
    <x v="6"/>
    <x v="0"/>
    <x v="2"/>
    <x v="3"/>
    <s v="TRK-006"/>
    <s v="B. Kiprono"/>
    <n v="2241"/>
    <n v="281.67"/>
    <n v="631222.47"/>
    <n v="50"/>
    <s v="2025-08-02"/>
    <d v="2025-08-01T00:00:00"/>
    <s v="2025-08-02"/>
    <s v="August 2025"/>
    <x v="1"/>
    <n v="2043.4"/>
    <n v="633265.87"/>
  </r>
  <r>
    <s v="SHP-00149"/>
    <s v="2025-02-07"/>
    <x v="1"/>
    <x v="4"/>
    <x v="2"/>
    <x v="0"/>
    <s v="TRK-021"/>
    <s v="B. Kiprono"/>
    <n v="203"/>
    <n v="48.19"/>
    <n v="9782.57"/>
    <n v="311"/>
    <s v="2025-02-08"/>
    <d v="2025-02-01T00:00:00"/>
    <s v="2025-02-08"/>
    <s v="February 2025"/>
    <x v="1"/>
    <n v="13418.96"/>
    <n v="23201.53"/>
  </r>
  <r>
    <s v="SHP-00150"/>
    <s v="2025-12-24"/>
    <x v="8"/>
    <x v="3"/>
    <x v="0"/>
    <x v="0"/>
    <s v="TRK-011"/>
    <s v="M. Otieno"/>
    <n v="2479"/>
    <n v="848.29"/>
    <n v="2102910.91"/>
    <n v="368"/>
    <s v="2025-12-26"/>
    <d v="2025-12-01T00:00:00"/>
    <s v="2025-12-28"/>
    <s v="December 2025"/>
    <x v="0"/>
    <n v="20167.96"/>
    <n v="2123078.87"/>
  </r>
  <r>
    <s v="SHP-00151"/>
    <s v="2025-07-02"/>
    <x v="7"/>
    <x v="2"/>
    <x v="3"/>
    <x v="2"/>
    <s v="TRK-006"/>
    <s v="M. Otieno"/>
    <n v="947"/>
    <n v="683.07"/>
    <n v="646867.29"/>
    <n v="190"/>
    <s v="2025-07-03"/>
    <d v="2025-07-01T00:00:00"/>
    <s v="2025-07-05"/>
    <s v="July 2025"/>
    <x v="0"/>
    <n v="9859.75"/>
    <n v="656727.04000000004"/>
  </r>
  <r>
    <s v="SHP-00152"/>
    <s v="2025-09-16"/>
    <x v="11"/>
    <x v="4"/>
    <x v="0"/>
    <x v="3"/>
    <s v="TRK-009"/>
    <s v="L. Wekesa"/>
    <n v="2102"/>
    <n v="85.06"/>
    <n v="178796.12"/>
    <n v="538"/>
    <s v="2025-09-18"/>
    <d v="2025-09-01T00:00:00"/>
    <s v="2025-09-18"/>
    <s v="September 2025"/>
    <x v="1"/>
    <n v="18892.21"/>
    <n v="197688.33"/>
  </r>
  <r>
    <s v="SHP-00153"/>
    <s v="2025-01-07"/>
    <x v="3"/>
    <x v="2"/>
    <x v="4"/>
    <x v="3"/>
    <s v="TRK-012"/>
    <s v="J. Mutua"/>
    <n v="1285"/>
    <n v="496.71"/>
    <n v="638272.35"/>
    <n v="329"/>
    <s v="2025-01-08"/>
    <d v="2025-01-01T00:00:00"/>
    <s v="2025-01-07"/>
    <s v="January 2025"/>
    <x v="1"/>
    <n v="17501.18"/>
    <n v="655773.53"/>
  </r>
  <r>
    <s v="SHP-00154"/>
    <s v="2025-05-05"/>
    <x v="10"/>
    <x v="3"/>
    <x v="4"/>
    <x v="3"/>
    <s v="TRK-002"/>
    <s v="P. Maina"/>
    <n v="183"/>
    <n v="785.58"/>
    <n v="143761.14000000001"/>
    <n v="247"/>
    <s v="2025-05-06"/>
    <d v="2025-05-01T00:00:00"/>
    <s v="2025-05-10"/>
    <s v="May 2025"/>
    <x v="0"/>
    <n v="12462.93"/>
    <n v="156224.07"/>
  </r>
  <r>
    <s v="SHP-00155"/>
    <s v="2025-09-29"/>
    <x v="11"/>
    <x v="5"/>
    <x v="4"/>
    <x v="1"/>
    <s v="TRK-006"/>
    <s v="P. Maina"/>
    <n v="1541"/>
    <n v="627.78"/>
    <n v="967408.98"/>
    <n v="539"/>
    <s v="2025-10-01"/>
    <d v="2025-10-01T00:00:00"/>
    <s v="2025-10-05"/>
    <s v="October 2025"/>
    <x v="0"/>
    <n v="33042.839999999997"/>
    <n v="1000451.82"/>
  </r>
  <r>
    <s v="SHP-00156"/>
    <s v="2025-09-03"/>
    <x v="11"/>
    <x v="5"/>
    <x v="0"/>
    <x v="2"/>
    <s v="TRK-018"/>
    <s v="P. Maina"/>
    <n v="1135"/>
    <n v="339.55"/>
    <n v="385389.25"/>
    <n v="542"/>
    <s v="2025-09-05"/>
    <d v="2025-09-01T00:00:00"/>
    <s v="2025-09-05"/>
    <s v="September 2025"/>
    <x v="1"/>
    <n v="21489.360000000001"/>
    <n v="406878.61"/>
  </r>
  <r>
    <s v="SHP-00157"/>
    <s v="2025-11-01"/>
    <x v="2"/>
    <x v="3"/>
    <x v="0"/>
    <x v="0"/>
    <s v="TRK-006"/>
    <s v="D. Said"/>
    <n v="467"/>
    <n v="437.6"/>
    <n v="204359.2"/>
    <n v="276"/>
    <s v="2025-11-02"/>
    <d v="2025-11-01T00:00:00"/>
    <s v="2025-11-01"/>
    <s v="November 2025"/>
    <x v="1"/>
    <n v="16589.5"/>
    <n v="220948.7"/>
  </r>
  <r>
    <s v="SHP-00158"/>
    <s v="2025-02-26"/>
    <x v="1"/>
    <x v="3"/>
    <x v="5"/>
    <x v="2"/>
    <s v="TRK-001"/>
    <s v="S. Chebet"/>
    <n v="228"/>
    <n v="107.57"/>
    <n v="24525.96"/>
    <n v="649"/>
    <s v="2025-02-28"/>
    <d v="2025-02-01T00:00:00"/>
    <s v="2025-03-04"/>
    <s v="March 2025"/>
    <x v="0"/>
    <n v="38678.199999999997"/>
    <n v="63204.159999999996"/>
  </r>
  <r>
    <s v="SHP-00159"/>
    <s v="2025-04-27"/>
    <x v="0"/>
    <x v="7"/>
    <x v="5"/>
    <x v="3"/>
    <s v="TRK-011"/>
    <s v="A. Hassan"/>
    <n v="1042"/>
    <n v="428.67"/>
    <n v="446674.14"/>
    <n v="186"/>
    <s v="2025-04-28"/>
    <d v="2025-04-01T00:00:00"/>
    <s v="2025-04-28"/>
    <s v="April 2025"/>
    <x v="1"/>
    <n v="7126.07"/>
    <n v="453800.21"/>
  </r>
  <r>
    <s v="SHP-00160"/>
    <s v="2025-06-30"/>
    <x v="9"/>
    <x v="0"/>
    <x v="1"/>
    <x v="3"/>
    <s v="TRK-018"/>
    <s v="M. Otieno"/>
    <n v="300"/>
    <n v="524.54"/>
    <n v="157362"/>
    <n v="631"/>
    <s v="2025-07-02"/>
    <d v="2025-07-01T00:00:00"/>
    <s v="2025-07-02"/>
    <s v="July 2025"/>
    <x v="1"/>
    <n v="29620.16"/>
    <n v="186982.16"/>
  </r>
  <r>
    <s v="SHP-00161"/>
    <s v="2025-12-08"/>
    <x v="8"/>
    <x v="4"/>
    <x v="2"/>
    <x v="1"/>
    <s v="TRK-023"/>
    <s v="K. Barasa"/>
    <n v="387"/>
    <n v="48.8"/>
    <n v="18885.599999999999"/>
    <n v="266"/>
    <s v="2025-12-09"/>
    <d v="2025-12-01T00:00:00"/>
    <s v="2025-12-12"/>
    <s v="December 2025"/>
    <x v="0"/>
    <n v="15884.68"/>
    <n v="34770.28"/>
  </r>
  <r>
    <s v="SHP-00162"/>
    <s v="2025-03-16"/>
    <x v="4"/>
    <x v="0"/>
    <x v="4"/>
    <x v="0"/>
    <s v="TRK-020"/>
    <s v="P. Maina"/>
    <n v="1044"/>
    <n v="391.3"/>
    <n v="408517.2"/>
    <n v="551"/>
    <s v="2025-03-18"/>
    <d v="2025-03-01T00:00:00"/>
    <s v="2025-03-18"/>
    <s v="March 2025"/>
    <x v="1"/>
    <n v="20887.09"/>
    <n v="429404.29000000004"/>
  </r>
  <r>
    <s v="SHP-00163"/>
    <s v="2025-09-15"/>
    <x v="11"/>
    <x v="1"/>
    <x v="5"/>
    <x v="3"/>
    <s v="TRK-011"/>
    <s v="L. Wekesa"/>
    <n v="1122"/>
    <n v="527.92999999999995"/>
    <n v="592337.46"/>
    <n v="207"/>
    <s v="2025-09-16"/>
    <d v="2025-09-01T00:00:00"/>
    <s v="2025-09-16"/>
    <s v="September 2025"/>
    <x v="1"/>
    <n v="8705.4"/>
    <n v="601042.86"/>
  </r>
  <r>
    <s v="SHP-00164"/>
    <s v="2025-12-27"/>
    <x v="8"/>
    <x v="2"/>
    <x v="0"/>
    <x v="2"/>
    <s v="TRK-022"/>
    <s v="J. Mutua"/>
    <n v="1179"/>
    <n v="603.37"/>
    <n v="711373.23"/>
    <n v="45"/>
    <s v="2025-12-28"/>
    <d v="2025-12-01T00:00:00"/>
    <s v="2025-12-27"/>
    <s v="December 2025"/>
    <x v="1"/>
    <n v="2573.5700000000002"/>
    <n v="713946.79999999993"/>
  </r>
  <r>
    <s v="SHP-00165"/>
    <s v="2025-02-03"/>
    <x v="1"/>
    <x v="7"/>
    <x v="1"/>
    <x v="3"/>
    <s v="TRK-002"/>
    <s v="P. Maina"/>
    <n v="1224"/>
    <n v="98.13"/>
    <n v="120111.12"/>
    <n v="289"/>
    <s v="2025-02-04"/>
    <d v="2025-02-01T00:00:00"/>
    <s v="2025-02-07"/>
    <s v="February 2025"/>
    <x v="0"/>
    <n v="16949"/>
    <n v="137060.12"/>
  </r>
  <r>
    <s v="SHP-00166"/>
    <s v="2025-12-30"/>
    <x v="8"/>
    <x v="5"/>
    <x v="1"/>
    <x v="3"/>
    <s v="TRK-012"/>
    <s v="K. Barasa"/>
    <n v="1525"/>
    <n v="406.58"/>
    <n v="620034.5"/>
    <n v="596"/>
    <s v="2026-01-01"/>
    <d v="2026-01-01T00:00:00"/>
    <s v="2026-01-03"/>
    <s v="January 2026"/>
    <x v="0"/>
    <n v="30274.93"/>
    <n v="650309.43000000005"/>
  </r>
  <r>
    <s v="SHP-00167"/>
    <s v="2025-05-27"/>
    <x v="10"/>
    <x v="0"/>
    <x v="5"/>
    <x v="2"/>
    <s v="TRK-027"/>
    <s v="B. Kiprono"/>
    <n v="429"/>
    <n v="802.24"/>
    <n v="344160.96"/>
    <n v="603"/>
    <s v="2025-05-29"/>
    <d v="2025-05-01T00:00:00"/>
    <s v="2025-05-29"/>
    <s v="May 2025"/>
    <x v="1"/>
    <n v="35267.14"/>
    <n v="379428.10000000003"/>
  </r>
  <r>
    <s v="SHP-00168"/>
    <s v="2025-02-16"/>
    <x v="1"/>
    <x v="5"/>
    <x v="1"/>
    <x v="3"/>
    <s v="TRK-001"/>
    <s v="L. Wekesa"/>
    <n v="2297"/>
    <n v="464.29"/>
    <n v="1066474.1299999999"/>
    <n v="349"/>
    <s v="2025-02-17"/>
    <d v="2025-02-01T00:00:00"/>
    <s v="2025-02-20"/>
    <s v="February 2025"/>
    <x v="0"/>
    <n v="20316.05"/>
    <n v="1086790.18"/>
  </r>
  <r>
    <s v="SHP-00169"/>
    <s v="2025-05-31"/>
    <x v="10"/>
    <x v="1"/>
    <x v="4"/>
    <x v="2"/>
    <s v="TRK-003"/>
    <s v="D. Said"/>
    <n v="985"/>
    <n v="691.78"/>
    <n v="681403.3"/>
    <n v="661"/>
    <s v="2025-06-02"/>
    <d v="2025-06-01T00:00:00"/>
    <s v="2025-06-02"/>
    <s v="June 2025"/>
    <x v="1"/>
    <n v="36188.19"/>
    <n v="717591.49"/>
  </r>
  <r>
    <s v="SHP-00170"/>
    <s v="2025-10-05"/>
    <x v="5"/>
    <x v="3"/>
    <x v="3"/>
    <x v="1"/>
    <s v="TRK-016"/>
    <s v="D. Said"/>
    <n v="2397"/>
    <n v="303.77999999999997"/>
    <n v="728160.66"/>
    <n v="698"/>
    <s v="2025-10-07"/>
    <d v="2025-10-01T00:00:00"/>
    <s v="2025-10-07"/>
    <s v="October 2025"/>
    <x v="1"/>
    <n v="26546.15"/>
    <n v="754706.81"/>
  </r>
  <r>
    <s v="SHP-00171"/>
    <s v="2025-03-07"/>
    <x v="4"/>
    <x v="7"/>
    <x v="5"/>
    <x v="1"/>
    <s v="TRK-006"/>
    <s v="S. Chebet"/>
    <n v="1973"/>
    <n v="519.38"/>
    <n v="1024736.74"/>
    <n v="618"/>
    <s v="2025-03-09"/>
    <d v="2025-03-01T00:00:00"/>
    <s v="2025-03-09"/>
    <s v="March 2025"/>
    <x v="1"/>
    <n v="29111.3"/>
    <n v="1053848.04"/>
  </r>
  <r>
    <s v="SHP-00172"/>
    <s v="2025-07-17"/>
    <x v="7"/>
    <x v="0"/>
    <x v="3"/>
    <x v="0"/>
    <s v="TRK-015"/>
    <s v="K. Barasa"/>
    <n v="2164"/>
    <n v="616.28"/>
    <n v="1333629.92"/>
    <n v="679"/>
    <s v="2025-07-19"/>
    <d v="2025-07-01T00:00:00"/>
    <s v="2025-07-23"/>
    <s v="July 2025"/>
    <x v="0"/>
    <n v="28190.77"/>
    <n v="1361820.69"/>
  </r>
  <r>
    <s v="SHP-00173"/>
    <s v="2025-04-26"/>
    <x v="0"/>
    <x v="7"/>
    <x v="0"/>
    <x v="1"/>
    <s v="TRK-009"/>
    <s v="Not Found"/>
    <n v="692"/>
    <n v="124.14"/>
    <n v="85904.88"/>
    <n v="536"/>
    <s v="2025-04-28"/>
    <d v="2025-04-01T00:00:00"/>
    <s v="2025-04-30"/>
    <s v="April 2025"/>
    <x v="0"/>
    <n v="23614.57"/>
    <n v="109519.45000000001"/>
  </r>
  <r>
    <s v="SHP-00174"/>
    <s v="2025-03-01"/>
    <x v="4"/>
    <x v="7"/>
    <x v="2"/>
    <x v="3"/>
    <s v="TRK-005"/>
    <s v="M. Otieno"/>
    <n v="80"/>
    <n v="585.55999999999995"/>
    <n v="46844.800000000003"/>
    <n v="41"/>
    <s v="2025-03-02"/>
    <d v="2025-03-01T00:00:00"/>
    <s v="2025-03-02"/>
    <s v="March 2025"/>
    <x v="1"/>
    <n v="1746.92"/>
    <n v="48591.72"/>
  </r>
  <r>
    <s v="SHP-00175"/>
    <s v="2025-05-19"/>
    <x v="10"/>
    <x v="3"/>
    <x v="4"/>
    <x v="2"/>
    <s v="TRK-026"/>
    <s v="E. Achieng"/>
    <n v="1092"/>
    <n v="259.52999999999997"/>
    <n v="283406.76"/>
    <n v="700"/>
    <s v="2025-05-22"/>
    <d v="2025-05-01T00:00:00"/>
    <s v="2025-05-22"/>
    <s v="May 2025"/>
    <x v="1"/>
    <n v="31985.51"/>
    <n v="315392.27"/>
  </r>
  <r>
    <s v="SHP-00176"/>
    <s v="2025-07-17"/>
    <x v="7"/>
    <x v="0"/>
    <x v="2"/>
    <x v="0"/>
    <s v="TRK-018"/>
    <s v="K. Barasa"/>
    <n v="148"/>
    <n v="829.84"/>
    <n v="122816.32000000001"/>
    <n v="40"/>
    <s v="2025-07-18"/>
    <d v="2025-07-01T00:00:00"/>
    <s v="2025-07-17"/>
    <s v="July 2025"/>
    <x v="1"/>
    <n v="2084.92"/>
    <n v="124901.24"/>
  </r>
  <r>
    <s v="SHP-00177"/>
    <s v="2025-11-07"/>
    <x v="2"/>
    <x v="0"/>
    <x v="2"/>
    <x v="1"/>
    <s v="TRK-018"/>
    <s v="D. Said"/>
    <n v="2167"/>
    <n v="80.19"/>
    <n v="173771.73"/>
    <n v="259"/>
    <s v="2025-11-08"/>
    <d v="2025-11-01T00:00:00"/>
    <s v="2025-11-09"/>
    <s v="November 2025"/>
    <x v="0"/>
    <n v="15507.16"/>
    <n v="189278.89"/>
  </r>
  <r>
    <s v="SHP-00178"/>
    <s v="2025-10-08"/>
    <x v="5"/>
    <x v="2"/>
    <x v="0"/>
    <x v="2"/>
    <s v="TRK-003"/>
    <s v="P. Maina"/>
    <n v="1122"/>
    <n v="338.95"/>
    <n v="380301.9"/>
    <n v="426"/>
    <s v="2025-10-10"/>
    <d v="2025-10-01T00:00:00"/>
    <s v="2025-10-10"/>
    <s v="October 2025"/>
    <x v="1"/>
    <n v="16759.82"/>
    <n v="397061.72000000003"/>
  </r>
  <r>
    <s v="SHP-00179"/>
    <s v="2025-05-28"/>
    <x v="10"/>
    <x v="6"/>
    <x v="2"/>
    <x v="0"/>
    <s v="TRK-004"/>
    <s v="D. Said"/>
    <n v="926"/>
    <n v="708.14"/>
    <n v="655737.64"/>
    <n v="248"/>
    <s v="2025-05-29"/>
    <d v="2025-05-01T00:00:00"/>
    <s v="2025-06-01"/>
    <s v="June 2025"/>
    <x v="0"/>
    <n v="10535.66"/>
    <n v="666273.30000000005"/>
  </r>
  <r>
    <s v="SHP-00180"/>
    <s v="2025-11-16"/>
    <x v="2"/>
    <x v="1"/>
    <x v="1"/>
    <x v="0"/>
    <s v="TRK-026"/>
    <s v="L. Wekesa"/>
    <n v="882"/>
    <n v="81.2"/>
    <n v="71618.399999999994"/>
    <n v="448"/>
    <s v="2025-11-18"/>
    <d v="2025-11-01T00:00:00"/>
    <s v="2025-11-18"/>
    <s v="November 2025"/>
    <x v="1"/>
    <n v="16519.66"/>
    <n v="88138.06"/>
  </r>
  <r>
    <s v="SHP-00181"/>
    <s v="2025-09-12"/>
    <x v="11"/>
    <x v="1"/>
    <x v="5"/>
    <x v="1"/>
    <s v="TRK-003"/>
    <s v="P. Maina"/>
    <n v="1823"/>
    <n v="685.17"/>
    <n v="1249064.9099999999"/>
    <n v="104"/>
    <s v="2025-09-13"/>
    <d v="2025-09-01T00:00:00"/>
    <s v="2025-09-17"/>
    <s v="September 2025"/>
    <x v="0"/>
    <n v="5754.87"/>
    <n v="1254819.78"/>
  </r>
  <r>
    <s v="SHP-00182"/>
    <s v="2025-07-13"/>
    <x v="7"/>
    <x v="2"/>
    <x v="4"/>
    <x v="0"/>
    <s v="TRK-027"/>
    <s v="B. Kiprono"/>
    <n v="1662"/>
    <n v="601.55999999999995"/>
    <n v="999792.72"/>
    <n v="564"/>
    <s v="2025-07-15"/>
    <d v="2025-07-01T00:00:00"/>
    <s v="2025-07-16"/>
    <s v="July 2025"/>
    <x v="0"/>
    <n v="26085.040000000001"/>
    <n v="1025877.76"/>
  </r>
  <r>
    <s v="SHP-00183"/>
    <s v="2025-08-26"/>
    <x v="6"/>
    <x v="7"/>
    <x v="3"/>
    <x v="3"/>
    <s v="TRK-003"/>
    <s v="P. Maina"/>
    <n v="941"/>
    <n v="745.31"/>
    <n v="701336.71"/>
    <n v="307"/>
    <s v="2025-08-27"/>
    <d v="2025-08-01T00:00:00"/>
    <s v="2025-08-27"/>
    <s v="August 2025"/>
    <x v="1"/>
    <n v="18206.64"/>
    <n v="719543.35"/>
  </r>
  <r>
    <s v="SHP-00184"/>
    <s v="2025-06-25"/>
    <x v="9"/>
    <x v="0"/>
    <x v="2"/>
    <x v="2"/>
    <s v="TRK-028"/>
    <s v="J. Mutua"/>
    <n v="2217"/>
    <n v="858.82"/>
    <n v="1904003.94"/>
    <n v="182"/>
    <s v="2025-06-26"/>
    <d v="2025-06-01T00:00:00"/>
    <s v="2025-06-29"/>
    <s v="June 2025"/>
    <x v="0"/>
    <n v="7921.33"/>
    <n v="1911925.27"/>
  </r>
  <r>
    <s v="SHP-00185"/>
    <s v="2025-08-06"/>
    <x v="6"/>
    <x v="5"/>
    <x v="5"/>
    <x v="1"/>
    <s v="TRK-004"/>
    <s v="P. Maina"/>
    <n v="406"/>
    <n v="897.46"/>
    <n v="364368.76"/>
    <n v="595"/>
    <s v="2025-08-08"/>
    <d v="2025-08-01T00:00:00"/>
    <s v="2025-08-10"/>
    <s v="August 2025"/>
    <x v="0"/>
    <n v="31777.95"/>
    <n v="396146.71"/>
  </r>
  <r>
    <s v="SHP-00186"/>
    <s v="2025-04-19"/>
    <x v="0"/>
    <x v="1"/>
    <x v="1"/>
    <x v="3"/>
    <s v="TRK-030"/>
    <s v="M. Otieno"/>
    <n v="676"/>
    <n v="661.95"/>
    <n v="447478.2"/>
    <n v="129"/>
    <s v="2025-04-20"/>
    <d v="2025-04-01T00:00:00"/>
    <s v="2025-04-20"/>
    <s v="April 2025"/>
    <x v="1"/>
    <n v="6941.63"/>
    <n v="454419.83"/>
  </r>
  <r>
    <s v="SHP-00187"/>
    <s v="2025-11-26"/>
    <x v="2"/>
    <x v="3"/>
    <x v="3"/>
    <x v="2"/>
    <s v="TRK-029"/>
    <s v="P. Maina"/>
    <n v="1970"/>
    <n v="206.55"/>
    <n v="406903.5"/>
    <n v="206"/>
    <s v="2025-11-27"/>
    <d v="2025-11-01T00:00:00"/>
    <s v="2025-11-26"/>
    <s v="November 2025"/>
    <x v="1"/>
    <n v="8271.01"/>
    <n v="415174.51"/>
  </r>
  <r>
    <s v="SHP-00188"/>
    <s v="2025-05-28"/>
    <x v="10"/>
    <x v="7"/>
    <x v="0"/>
    <x v="1"/>
    <s v="TRK-019"/>
    <s v="B. Kiprono"/>
    <n v="1166"/>
    <n v="840.31"/>
    <n v="979801.46"/>
    <n v="165"/>
    <s v="2025-05-29"/>
    <d v="2025-05-01T00:00:00"/>
    <s v="2025-06-02"/>
    <s v="June 2025"/>
    <x v="0"/>
    <n v="7840.83"/>
    <n v="987642.28999999992"/>
  </r>
  <r>
    <s v="SHP-00189"/>
    <s v="2025-02-13"/>
    <x v="1"/>
    <x v="5"/>
    <x v="5"/>
    <x v="0"/>
    <s v="TRK-009"/>
    <s v="P. Maina"/>
    <n v="1113"/>
    <n v="396.96"/>
    <n v="441816.48"/>
    <n v="232"/>
    <s v="2025-02-14"/>
    <d v="2025-02-01T00:00:00"/>
    <s v="2025-02-16"/>
    <s v="February 2025"/>
    <x v="0"/>
    <n v="8375.7900000000009"/>
    <n v="450192.26999999996"/>
  </r>
  <r>
    <s v="SHP-00190"/>
    <s v="2025-07-08"/>
    <x v="7"/>
    <x v="1"/>
    <x v="2"/>
    <x v="1"/>
    <s v="TRK-002"/>
    <s v="P. Maina"/>
    <n v="1721"/>
    <n v="217.03"/>
    <n v="373508.63"/>
    <n v="455"/>
    <s v="2025-07-10"/>
    <d v="2025-07-01T00:00:00"/>
    <s v="2025-07-11"/>
    <s v="July 2025"/>
    <x v="0"/>
    <n v="24885.07"/>
    <n v="398393.7"/>
  </r>
  <r>
    <s v="SHP-00191"/>
    <s v="2025-07-04"/>
    <x v="7"/>
    <x v="4"/>
    <x v="4"/>
    <x v="0"/>
    <s v="TRK-002"/>
    <s v="D. Said"/>
    <n v="919"/>
    <n v="184.72"/>
    <n v="169757.68"/>
    <n v="547"/>
    <s v="2025-07-06"/>
    <d v="2025-07-01T00:00:00"/>
    <s v="2025-07-06"/>
    <s v="July 2025"/>
    <x v="1"/>
    <n v="30586.58"/>
    <n v="200344.26"/>
  </r>
  <r>
    <s v="SHP-00192"/>
    <s v="2025-09-08"/>
    <x v="11"/>
    <x v="7"/>
    <x v="3"/>
    <x v="3"/>
    <s v="TRK-011"/>
    <s v="J. Mutua"/>
    <n v="861"/>
    <n v="206.37"/>
    <n v="177684.57"/>
    <n v="508"/>
    <s v="2025-09-10"/>
    <d v="2025-09-01T00:00:00"/>
    <s v="2025-09-09"/>
    <s v="September 2025"/>
    <x v="1"/>
    <n v="30946.57"/>
    <n v="208631.14"/>
  </r>
  <r>
    <s v="SHP-00193"/>
    <s v="2025-06-16"/>
    <x v="9"/>
    <x v="7"/>
    <x v="3"/>
    <x v="1"/>
    <s v="TRK-028"/>
    <s v="M. Otieno"/>
    <n v="412"/>
    <n v="347.16"/>
    <n v="143029.92000000001"/>
    <n v="707"/>
    <s v="2025-06-19"/>
    <d v="2025-06-01T00:00:00"/>
    <s v="2025-06-22"/>
    <s v="June 2025"/>
    <x v="0"/>
    <n v="24861.26"/>
    <n v="167891.18000000002"/>
  </r>
  <r>
    <s v="SHP-00194"/>
    <s v="2025-12-03"/>
    <x v="8"/>
    <x v="2"/>
    <x v="1"/>
    <x v="2"/>
    <s v="TRK-024"/>
    <s v="D. Said"/>
    <n v="2335"/>
    <n v="597.32000000000005"/>
    <n v="1394742.2"/>
    <n v="666"/>
    <s v="2025-12-05"/>
    <d v="2025-12-01T00:00:00"/>
    <s v="2025-12-09"/>
    <s v="December 2025"/>
    <x v="0"/>
    <n v="34117.19"/>
    <n v="1428859.39"/>
  </r>
  <r>
    <s v="SHP-00195"/>
    <s v="2025-01-09"/>
    <x v="3"/>
    <x v="4"/>
    <x v="3"/>
    <x v="1"/>
    <s v="TRK-020"/>
    <s v="M. Otieno"/>
    <n v="925"/>
    <n v="423.69"/>
    <n v="391913.25"/>
    <n v="586"/>
    <s v="2025-01-11"/>
    <d v="2025-01-01T00:00:00"/>
    <s v="2025-01-13"/>
    <s v="January 2025"/>
    <x v="0"/>
    <n v="21963.22"/>
    <n v="413876.47"/>
  </r>
  <r>
    <s v="SHP-00196"/>
    <s v="2025-07-04"/>
    <x v="7"/>
    <x v="2"/>
    <x v="0"/>
    <x v="0"/>
    <s v="TRK-030"/>
    <s v="P. Maina"/>
    <n v="2084"/>
    <n v="219.58"/>
    <n v="457604.72"/>
    <n v="47"/>
    <s v="2025-07-05"/>
    <d v="2025-07-01T00:00:00"/>
    <s v="2025-07-05"/>
    <s v="July 2025"/>
    <x v="1"/>
    <n v="2675.27"/>
    <n v="460279.99"/>
  </r>
  <r>
    <s v="SHP-00197"/>
    <s v="2025-02-28"/>
    <x v="1"/>
    <x v="5"/>
    <x v="2"/>
    <x v="2"/>
    <s v="TRK-027"/>
    <s v="K. Barasa"/>
    <n v="2056"/>
    <n v="676.64"/>
    <n v="1391171.84"/>
    <n v="214"/>
    <s v="2025-03-01"/>
    <d v="2025-03-01T00:00:00"/>
    <s v="2025-03-04"/>
    <s v="March 2025"/>
    <x v="0"/>
    <n v="9524.09"/>
    <n v="1400695.9300000002"/>
  </r>
  <r>
    <s v="SHP-00198"/>
    <s v="2025-09-26"/>
    <x v="11"/>
    <x v="1"/>
    <x v="5"/>
    <x v="2"/>
    <s v="TRK-023"/>
    <s v="E. Achieng"/>
    <n v="1367"/>
    <n v="425.99"/>
    <n v="582328.32999999996"/>
    <n v="60"/>
    <s v="2025-09-27"/>
    <d v="2025-09-01T00:00:00"/>
    <s v="2025-09-29"/>
    <s v="September 2025"/>
    <x v="0"/>
    <n v="2382.77"/>
    <n v="584711.1"/>
  </r>
  <r>
    <s v="SHP-00199"/>
    <s v="2025-12-16"/>
    <x v="8"/>
    <x v="0"/>
    <x v="1"/>
    <x v="3"/>
    <s v="TRK-006"/>
    <s v="L. Wekesa"/>
    <n v="2333"/>
    <n v="498.49"/>
    <n v="1162977.17"/>
    <n v="139"/>
    <s v="2025-12-17"/>
    <d v="2025-12-01T00:00:00"/>
    <s v="2025-12-17"/>
    <s v="December 2025"/>
    <x v="1"/>
    <n v="5103.4399999999996"/>
    <n v="1168080.6099999999"/>
  </r>
  <r>
    <s v="SHP-00200"/>
    <s v="2025-08-22"/>
    <x v="6"/>
    <x v="2"/>
    <x v="5"/>
    <x v="0"/>
    <s v="TRK-002"/>
    <s v="D. Said"/>
    <n v="1729"/>
    <n v="139.63999999999999"/>
    <n v="241437.56"/>
    <n v="44"/>
    <s v="2025-08-23"/>
    <d v="2025-08-01T00:00:00"/>
    <s v="2025-08-22"/>
    <s v="August 2025"/>
    <x v="1"/>
    <n v="2502.0100000000002"/>
    <n v="243939.57"/>
  </r>
  <r>
    <s v="SHP-00201"/>
    <s v="2025-02-22"/>
    <x v="1"/>
    <x v="6"/>
    <x v="3"/>
    <x v="0"/>
    <s v="TRK-009"/>
    <s v="S. Chebet"/>
    <n v="2001"/>
    <n v="165.89"/>
    <n v="331945.89"/>
    <n v="673"/>
    <s v="2025-02-24"/>
    <d v="2025-02-01T00:00:00"/>
    <s v="2025-02-26"/>
    <s v="February 2025"/>
    <x v="0"/>
    <n v="24698.5"/>
    <n v="356644.39"/>
  </r>
  <r>
    <s v="SHP-00202"/>
    <s v="2025-08-09"/>
    <x v="6"/>
    <x v="5"/>
    <x v="2"/>
    <x v="1"/>
    <s v="TRK-021"/>
    <s v="M. Otieno"/>
    <n v="2364"/>
    <n v="222.61"/>
    <n v="526250.04"/>
    <n v="658"/>
    <s v="2025-08-11"/>
    <d v="2025-08-01T00:00:00"/>
    <s v="2025-08-11"/>
    <s v="August 2025"/>
    <x v="1"/>
    <n v="31041.57"/>
    <n v="557291.61"/>
  </r>
  <r>
    <s v="SHP-00203"/>
    <s v="2025-07-11"/>
    <x v="7"/>
    <x v="6"/>
    <x v="1"/>
    <x v="2"/>
    <s v="TRK-016"/>
    <s v="B. Kiprono"/>
    <n v="1454"/>
    <n v="899.03"/>
    <n v="1307189.6200000001"/>
    <n v="550"/>
    <s v="2025-07-13"/>
    <d v="2025-07-01T00:00:00"/>
    <s v="2025-07-13"/>
    <s v="July 2025"/>
    <x v="1"/>
    <n v="24687.42"/>
    <n v="1331877.04"/>
  </r>
  <r>
    <s v="SHP-00204"/>
    <s v="2025-01-12"/>
    <x v="3"/>
    <x v="5"/>
    <x v="1"/>
    <x v="1"/>
    <s v="TRK-019"/>
    <s v="E. Achieng"/>
    <n v="2216"/>
    <n v="825.26"/>
    <n v="1828776.16"/>
    <n v="560"/>
    <s v="2025-01-14"/>
    <d v="2025-01-01T00:00:00"/>
    <s v="2025-01-14"/>
    <s v="January 2025"/>
    <x v="1"/>
    <n v="30877.78"/>
    <n v="1859653.94"/>
  </r>
  <r>
    <s v="SHP-00205"/>
    <s v="2025-07-02"/>
    <x v="7"/>
    <x v="4"/>
    <x v="3"/>
    <x v="0"/>
    <s v="TRK-027"/>
    <s v="J. Mutua"/>
    <n v="816"/>
    <n v="612.07000000000005"/>
    <n v="499449.12"/>
    <n v="639"/>
    <s v="2025-07-04"/>
    <d v="2025-07-01T00:00:00"/>
    <s v="2025-07-07"/>
    <s v="July 2025"/>
    <x v="0"/>
    <n v="26687.03"/>
    <n v="526136.15"/>
  </r>
  <r>
    <s v="SHP-00206"/>
    <s v="2025-12-01"/>
    <x v="8"/>
    <x v="3"/>
    <x v="3"/>
    <x v="3"/>
    <s v="TRK-013"/>
    <s v="K. Barasa"/>
    <n v="2413"/>
    <n v="306.85000000000002"/>
    <n v="740429.05"/>
    <n v="175"/>
    <s v="2025-12-02"/>
    <d v="2025-12-01T00:00:00"/>
    <s v="2025-12-02"/>
    <s v="December 2025"/>
    <x v="1"/>
    <n v="8519.76"/>
    <n v="748948.81"/>
  </r>
  <r>
    <s v="SHP-00207"/>
    <s v="2025-08-12"/>
    <x v="6"/>
    <x v="1"/>
    <x v="2"/>
    <x v="0"/>
    <s v="TRK-028"/>
    <s v="L. Wekesa"/>
    <n v="326"/>
    <n v="580.27"/>
    <n v="189168.02"/>
    <n v="255"/>
    <s v="2025-08-13"/>
    <d v="2025-08-01T00:00:00"/>
    <s v="2025-08-13"/>
    <s v="August 2025"/>
    <x v="1"/>
    <n v="11679.17"/>
    <n v="200847.19"/>
  </r>
  <r>
    <s v="SHP-00208"/>
    <s v="2025-11-15"/>
    <x v="2"/>
    <x v="2"/>
    <x v="4"/>
    <x v="0"/>
    <s v="TRK-009"/>
    <s v="P. Maina"/>
    <n v="1976"/>
    <n v="550.72"/>
    <n v="1088222.72"/>
    <n v="335"/>
    <s v="2025-11-16"/>
    <d v="2025-11-01T00:00:00"/>
    <s v="2025-11-16"/>
    <s v="November 2025"/>
    <x v="1"/>
    <n v="14683.73"/>
    <n v="1102906.45"/>
  </r>
  <r>
    <s v="SHP-00209"/>
    <s v="2025-05-11"/>
    <x v="10"/>
    <x v="6"/>
    <x v="4"/>
    <x v="3"/>
    <s v="TRK-016"/>
    <s v="A. Hassan"/>
    <n v="320"/>
    <n v="883.85"/>
    <n v="282832"/>
    <n v="452"/>
    <s v="2025-05-13"/>
    <d v="2025-05-01T00:00:00"/>
    <s v="2025-05-13"/>
    <s v="May 2025"/>
    <x v="1"/>
    <n v="22778.639999999999"/>
    <n v="305610.64"/>
  </r>
  <r>
    <s v="SHP-00210"/>
    <s v="2025-08-20"/>
    <x v="6"/>
    <x v="1"/>
    <x v="2"/>
    <x v="3"/>
    <s v="TRK-008"/>
    <s v="J. Mutua"/>
    <n v="1137"/>
    <n v="258.37"/>
    <n v="293766.69"/>
    <n v="166"/>
    <s v="2025-08-21"/>
    <d v="2025-08-01T00:00:00"/>
    <s v="2025-08-21"/>
    <s v="August 2025"/>
    <x v="1"/>
    <n v="9912.1299999999992"/>
    <n v="303678.82"/>
  </r>
  <r>
    <s v="SHP-00211"/>
    <s v="2025-12-06"/>
    <x v="8"/>
    <x v="7"/>
    <x v="4"/>
    <x v="2"/>
    <s v="TRK-014"/>
    <s v="P. Maina"/>
    <n v="800"/>
    <n v="214.44"/>
    <n v="171552"/>
    <n v="107"/>
    <s v="2025-12-07"/>
    <d v="2025-12-01T00:00:00"/>
    <s v="2025-12-07"/>
    <s v="December 2025"/>
    <x v="1"/>
    <n v="6175.9"/>
    <n v="177727.9"/>
  </r>
  <r>
    <s v="SHP-00212"/>
    <s v="2025-10-25"/>
    <x v="5"/>
    <x v="4"/>
    <x v="0"/>
    <x v="2"/>
    <s v="TRK-007"/>
    <s v="D. Said"/>
    <n v="1321"/>
    <n v="341.47"/>
    <n v="451081.87"/>
    <n v="306"/>
    <s v="2025-10-26"/>
    <d v="2025-10-01T00:00:00"/>
    <s v="2025-10-26"/>
    <s v="October 2025"/>
    <x v="1"/>
    <n v="15722.38"/>
    <n v="466804.25"/>
  </r>
  <r>
    <s v="SHP-00213"/>
    <s v="2025-06-25"/>
    <x v="9"/>
    <x v="7"/>
    <x v="4"/>
    <x v="1"/>
    <s v="TRK-019"/>
    <s v="M. Otieno"/>
    <n v="955"/>
    <n v="45.9"/>
    <n v="43834.5"/>
    <n v="79"/>
    <s v="2025-06-26"/>
    <d v="2025-06-01T00:00:00"/>
    <s v="2025-06-27"/>
    <s v="June 2025"/>
    <x v="0"/>
    <n v="4044.57"/>
    <n v="47879.07"/>
  </r>
  <r>
    <s v="SHP-00214"/>
    <s v="2025-01-15"/>
    <x v="3"/>
    <x v="6"/>
    <x v="2"/>
    <x v="2"/>
    <s v="TRK-018"/>
    <s v="Not Found"/>
    <n v="1399"/>
    <n v="292.99"/>
    <n v="409893.01"/>
    <n v="53"/>
    <s v="2025-01-16"/>
    <d v="2025-01-01T00:00:00"/>
    <s v="2025-01-18"/>
    <s v="January 2025"/>
    <x v="0"/>
    <n v="2505.81"/>
    <n v="412398.82"/>
  </r>
  <r>
    <s v="SHP-00215"/>
    <s v="2025-11-21"/>
    <x v="2"/>
    <x v="7"/>
    <x v="3"/>
    <x v="3"/>
    <s v="TRK-016"/>
    <s v="M. Otieno"/>
    <n v="755"/>
    <n v="100.02"/>
    <n v="75515.100000000006"/>
    <n v="248"/>
    <s v="2025-11-22"/>
    <d v="2025-11-01T00:00:00"/>
    <s v="2025-11-24"/>
    <s v="November 2025"/>
    <x v="0"/>
    <n v="14565.81"/>
    <n v="90080.91"/>
  </r>
  <r>
    <s v="SHP-00216"/>
    <s v="2025-11-14"/>
    <x v="2"/>
    <x v="4"/>
    <x v="3"/>
    <x v="2"/>
    <s v="TRK-028"/>
    <s v="J. Mutua"/>
    <n v="792"/>
    <n v="329.61"/>
    <n v="261051.12"/>
    <n v="258"/>
    <s v="2025-11-15"/>
    <d v="2025-11-01T00:00:00"/>
    <s v="2025-11-19"/>
    <s v="November 2025"/>
    <x v="0"/>
    <n v="11564.56"/>
    <n v="272615.67999999999"/>
  </r>
  <r>
    <s v="SHP-00217"/>
    <s v="2025-08-18"/>
    <x v="6"/>
    <x v="7"/>
    <x v="4"/>
    <x v="2"/>
    <s v="TRK-007"/>
    <s v="A. Hassan"/>
    <n v="298"/>
    <n v="194.35"/>
    <n v="57916.3"/>
    <n v="666"/>
    <s v="2025-08-20"/>
    <d v="2025-08-01T00:00:00"/>
    <s v="2025-08-22"/>
    <s v="August 2025"/>
    <x v="0"/>
    <n v="26118.16"/>
    <n v="84034.46"/>
  </r>
  <r>
    <s v="SHP-00218"/>
    <s v="2025-09-26"/>
    <x v="11"/>
    <x v="2"/>
    <x v="5"/>
    <x v="1"/>
    <s v="TRK-022"/>
    <s v="S. Chebet"/>
    <n v="525"/>
    <n v="796.75"/>
    <n v="418293.75"/>
    <n v="58"/>
    <s v="2025-09-27"/>
    <d v="2025-09-01T00:00:00"/>
    <s v="2025-09-28"/>
    <s v="September 2025"/>
    <x v="0"/>
    <n v="3381.03"/>
    <n v="421674.78"/>
  </r>
  <r>
    <s v="SHP-00219"/>
    <s v="2025-11-06"/>
    <x v="2"/>
    <x v="1"/>
    <x v="4"/>
    <x v="3"/>
    <s v="TRK-021"/>
    <s v="D. Said"/>
    <n v="849"/>
    <n v="154.58000000000001"/>
    <n v="131238.42000000001"/>
    <n v="90"/>
    <s v="2025-11-07"/>
    <d v="2025-11-01T00:00:00"/>
    <s v="2025-11-10"/>
    <s v="November 2025"/>
    <x v="0"/>
    <n v="4977.7"/>
    <n v="136216.12000000002"/>
  </r>
  <r>
    <s v="SHP-00220"/>
    <s v="2025-06-20"/>
    <x v="9"/>
    <x v="7"/>
    <x v="3"/>
    <x v="1"/>
    <s v="TRK-013"/>
    <s v="P. Maina"/>
    <n v="1761"/>
    <n v="373.8"/>
    <n v="658261.80000000005"/>
    <n v="434"/>
    <s v="2025-06-22"/>
    <d v="2025-06-01T00:00:00"/>
    <s v="2025-06-24"/>
    <s v="June 2025"/>
    <x v="0"/>
    <n v="26328.99"/>
    <n v="684590.79"/>
  </r>
  <r>
    <s v="SHP-00221"/>
    <s v="2025-03-17"/>
    <x v="4"/>
    <x v="6"/>
    <x v="2"/>
    <x v="0"/>
    <s v="TRK-011"/>
    <s v="L. Wekesa"/>
    <n v="1443"/>
    <n v="296.89999999999998"/>
    <n v="428426.7"/>
    <n v="420"/>
    <s v="2025-03-19"/>
    <d v="2025-03-01T00:00:00"/>
    <s v="2025-03-19"/>
    <s v="March 2025"/>
    <x v="1"/>
    <n v="23671.45"/>
    <n v="452098.15"/>
  </r>
  <r>
    <s v="SHP-00222"/>
    <s v="2025-04-11"/>
    <x v="0"/>
    <x v="5"/>
    <x v="4"/>
    <x v="2"/>
    <s v="TRK-017"/>
    <s v="J. Mutua"/>
    <n v="1482"/>
    <n v="53.07"/>
    <n v="78649.740000000005"/>
    <n v="658"/>
    <s v="2025-04-13"/>
    <d v="2025-04-01T00:00:00"/>
    <s v="2025-04-17"/>
    <s v="April 2025"/>
    <x v="0"/>
    <n v="30380.18"/>
    <n v="109029.92000000001"/>
  </r>
  <r>
    <s v="SHP-00223"/>
    <s v="2025-03-07"/>
    <x v="4"/>
    <x v="1"/>
    <x v="4"/>
    <x v="0"/>
    <s v="TRK-010"/>
    <s v="M. Otieno"/>
    <n v="1458"/>
    <n v="451.12"/>
    <n v="657732.96"/>
    <n v="707"/>
    <s v="2025-03-10"/>
    <d v="2025-03-01T00:00:00"/>
    <s v="2025-03-14"/>
    <s v="March 2025"/>
    <x v="0"/>
    <n v="42123.86"/>
    <n v="699856.82"/>
  </r>
  <r>
    <s v="SHP-00224"/>
    <s v="2025-07-14"/>
    <x v="7"/>
    <x v="5"/>
    <x v="1"/>
    <x v="2"/>
    <s v="TRK-024"/>
    <s v="E. Achieng"/>
    <n v="1393"/>
    <n v="520.85"/>
    <n v="725544.05"/>
    <n v="62"/>
    <s v="2025-07-15"/>
    <d v="2025-07-01T00:00:00"/>
    <s v="2025-07-15"/>
    <s v="July 2025"/>
    <x v="1"/>
    <n v="3356.94"/>
    <n v="728900.99"/>
  </r>
  <r>
    <s v="SHP-00225"/>
    <s v="2025-08-09"/>
    <x v="6"/>
    <x v="1"/>
    <x v="4"/>
    <x v="2"/>
    <s v="TRK-021"/>
    <s v="M. Otieno"/>
    <n v="165"/>
    <n v="652.80999999999995"/>
    <n v="107713.65"/>
    <n v="567"/>
    <s v="2025-08-11"/>
    <d v="2025-08-01T00:00:00"/>
    <s v="2025-08-13"/>
    <s v="August 2025"/>
    <x v="0"/>
    <n v="23317.72"/>
    <n v="131031.37"/>
  </r>
  <r>
    <s v="SHP-00226"/>
    <s v="2025-02-24"/>
    <x v="1"/>
    <x v="2"/>
    <x v="3"/>
    <x v="0"/>
    <s v="TRK-024"/>
    <s v="J. Mutua"/>
    <n v="1129"/>
    <n v="759.47"/>
    <n v="857441.63"/>
    <n v="699"/>
    <s v="2025-02-26"/>
    <d v="2025-02-01T00:00:00"/>
    <s v="2025-02-26"/>
    <s v="February 2025"/>
    <x v="1"/>
    <n v="30349.06"/>
    <n v="887790.69000000006"/>
  </r>
  <r>
    <s v="SHP-00227"/>
    <s v="2025-07-18"/>
    <x v="7"/>
    <x v="0"/>
    <x v="3"/>
    <x v="2"/>
    <s v="TRK-009"/>
    <s v="B. Kiprono"/>
    <n v="1622"/>
    <n v="570.45000000000005"/>
    <n v="925269.9"/>
    <n v="668"/>
    <s v="2025-07-20"/>
    <d v="2025-07-01T00:00:00"/>
    <s v="2025-07-22"/>
    <s v="July 2025"/>
    <x v="0"/>
    <n v="37244.81"/>
    <n v="962514.71"/>
  </r>
  <r>
    <s v="SHP-00228"/>
    <s v="2025-01-30"/>
    <x v="3"/>
    <x v="7"/>
    <x v="0"/>
    <x v="3"/>
    <s v="TRK-016"/>
    <s v="K. Barasa"/>
    <n v="194"/>
    <n v="304.63"/>
    <n v="59098.22"/>
    <n v="182"/>
    <s v="2025-01-31"/>
    <d v="2025-01-01T00:00:00"/>
    <s v="2025-01-31"/>
    <s v="January 2025"/>
    <x v="1"/>
    <n v="6719.53"/>
    <n v="65817.75"/>
  </r>
  <r>
    <s v="SHP-00229"/>
    <s v="2025-11-09"/>
    <x v="2"/>
    <x v="3"/>
    <x v="0"/>
    <x v="0"/>
    <s v="TRK-017"/>
    <s v="M. Otieno"/>
    <n v="327"/>
    <n v="616.73"/>
    <n v="201670.71"/>
    <n v="376"/>
    <s v="2025-11-11"/>
    <d v="2025-11-01T00:00:00"/>
    <s v="2025-11-10"/>
    <s v="November 2025"/>
    <x v="1"/>
    <n v="18872.560000000001"/>
    <n v="220543.27"/>
  </r>
  <r>
    <s v="SHP-00230"/>
    <s v="2025-03-03"/>
    <x v="4"/>
    <x v="0"/>
    <x v="2"/>
    <x v="2"/>
    <s v="TRK-014"/>
    <s v="K. Barasa"/>
    <n v="1009"/>
    <n v="726.41"/>
    <n v="732947.69"/>
    <n v="459"/>
    <s v="2025-03-05"/>
    <d v="2025-03-01T00:00:00"/>
    <s v="2025-03-06"/>
    <s v="March 2025"/>
    <x v="0"/>
    <n v="18885.009999999998"/>
    <n v="751832.7"/>
  </r>
  <r>
    <s v="SHP-00231"/>
    <s v="2025-10-08"/>
    <x v="5"/>
    <x v="1"/>
    <x v="1"/>
    <x v="0"/>
    <s v="TRK-011"/>
    <s v="P. Maina"/>
    <n v="1472"/>
    <n v="114.48"/>
    <n v="168514.56"/>
    <n v="713"/>
    <s v="2025-10-11"/>
    <d v="2025-10-01T00:00:00"/>
    <s v="2025-10-15"/>
    <s v="October 2025"/>
    <x v="0"/>
    <n v="33519.79"/>
    <n v="202034.35"/>
  </r>
  <r>
    <s v="SHP-00232"/>
    <s v="2025-09-25"/>
    <x v="11"/>
    <x v="5"/>
    <x v="1"/>
    <x v="2"/>
    <s v="TRK-028"/>
    <s v="A. Hassan"/>
    <n v="1497"/>
    <n v="353.13"/>
    <n v="528635.61"/>
    <n v="274"/>
    <s v="2025-09-26"/>
    <d v="2025-09-01T00:00:00"/>
    <s v="2025-09-30"/>
    <s v="September 2025"/>
    <x v="0"/>
    <n v="15504.45"/>
    <n v="544140.05999999994"/>
  </r>
  <r>
    <s v="SHP-00233"/>
    <s v="2025-02-27"/>
    <x v="1"/>
    <x v="3"/>
    <x v="0"/>
    <x v="2"/>
    <s v="TRK-021"/>
    <s v="A. Hassan"/>
    <n v="376"/>
    <n v="683.45"/>
    <n v="256977.2"/>
    <n v="538"/>
    <s v="2025-03-01"/>
    <d v="2025-03-01T00:00:00"/>
    <s v="2025-03-02"/>
    <s v="March 2025"/>
    <x v="0"/>
    <n v="20719.05"/>
    <n v="277696.25"/>
  </r>
  <r>
    <s v="SHP-00234"/>
    <s v="2025-01-17"/>
    <x v="3"/>
    <x v="4"/>
    <x v="4"/>
    <x v="3"/>
    <s v="TRK-001"/>
    <s v="D. Said"/>
    <n v="564"/>
    <n v="640.12"/>
    <n v="361027.68"/>
    <n v="683"/>
    <s v="2025-01-19"/>
    <d v="2025-01-01T00:00:00"/>
    <s v="2025-01-21"/>
    <s v="January 2025"/>
    <x v="0"/>
    <n v="39253.14"/>
    <n v="400280.82"/>
  </r>
  <r>
    <s v="SHP-00235"/>
    <s v="2025-12-20"/>
    <x v="8"/>
    <x v="7"/>
    <x v="1"/>
    <x v="0"/>
    <s v="TRK-019"/>
    <s v="A. Hassan"/>
    <n v="1557"/>
    <n v="787.87"/>
    <n v="1226713.5900000001"/>
    <n v="497"/>
    <s v="2025-12-22"/>
    <d v="2025-12-01T00:00:00"/>
    <s v="2025-12-23"/>
    <s v="December 2025"/>
    <x v="0"/>
    <n v="29522.97"/>
    <n v="1256236.56"/>
  </r>
  <r>
    <s v="SHP-00236"/>
    <s v="2025-07-31"/>
    <x v="7"/>
    <x v="5"/>
    <x v="5"/>
    <x v="0"/>
    <s v="TRK-020"/>
    <s v="P. Maina"/>
    <n v="454"/>
    <n v="539.24"/>
    <n v="244814.96"/>
    <n v="217"/>
    <s v="2025-08-01"/>
    <d v="2025-08-01T00:00:00"/>
    <s v="2025-08-04"/>
    <s v="August 2025"/>
    <x v="0"/>
    <n v="9780.49"/>
    <n v="254595.44999999998"/>
  </r>
  <r>
    <s v="SHP-00237"/>
    <s v="2025-11-12"/>
    <x v="2"/>
    <x v="0"/>
    <x v="0"/>
    <x v="1"/>
    <s v="TRK-016"/>
    <s v="P. Maina"/>
    <n v="474"/>
    <n v="544.36"/>
    <n v="258026.64"/>
    <n v="617"/>
    <s v="2025-11-14"/>
    <d v="2025-11-01T00:00:00"/>
    <s v="2025-11-13"/>
    <s v="November 2025"/>
    <x v="1"/>
    <n v="24848.12"/>
    <n v="282874.76"/>
  </r>
  <r>
    <s v="SHP-00238"/>
    <s v="2025-12-18"/>
    <x v="8"/>
    <x v="6"/>
    <x v="5"/>
    <x v="0"/>
    <s v="TRK-024"/>
    <s v="S. Chebet"/>
    <n v="1935"/>
    <n v="807.69"/>
    <n v="1562880.15"/>
    <n v="192"/>
    <s v="2025-12-19"/>
    <d v="2025-12-01T00:00:00"/>
    <s v="2025-12-20"/>
    <s v="December 2025"/>
    <x v="0"/>
    <n v="11155.46"/>
    <n v="1574035.6099999999"/>
  </r>
  <r>
    <s v="SHP-00239"/>
    <s v="2025-03-02"/>
    <x v="4"/>
    <x v="6"/>
    <x v="3"/>
    <x v="0"/>
    <s v="TRK-001"/>
    <s v="K. Barasa"/>
    <n v="1886"/>
    <n v="293.89"/>
    <n v="554276.54"/>
    <n v="138"/>
    <s v="2025-03-03"/>
    <d v="2025-03-01T00:00:00"/>
    <s v="2025-03-06"/>
    <s v="March 2025"/>
    <x v="0"/>
    <n v="5030.1400000000003"/>
    <n v="559306.68000000005"/>
  </r>
  <r>
    <s v="SHP-00240"/>
    <s v="2025-05-07"/>
    <x v="10"/>
    <x v="2"/>
    <x v="1"/>
    <x v="2"/>
    <s v="TRK-010"/>
    <s v="A. Hassan"/>
    <n v="2068"/>
    <n v="128.12"/>
    <n v="264952.15999999997"/>
    <n v="602"/>
    <s v="2025-05-09"/>
    <d v="2025-05-01T00:00:00"/>
    <s v="2025-05-10"/>
    <s v="May 2025"/>
    <x v="0"/>
    <n v="27808.06"/>
    <n v="292760.21999999997"/>
  </r>
  <r>
    <s v="SHP-00241"/>
    <s v="2025-10-22"/>
    <x v="5"/>
    <x v="3"/>
    <x v="0"/>
    <x v="2"/>
    <s v="TRK-006"/>
    <s v="M. Otieno"/>
    <n v="2265"/>
    <n v="762.6"/>
    <n v="1727289"/>
    <n v="562"/>
    <s v="2025-10-24"/>
    <d v="2025-10-01T00:00:00"/>
    <s v="2025-10-27"/>
    <s v="October 2025"/>
    <x v="0"/>
    <n v="28023.14"/>
    <n v="1755312.14"/>
  </r>
  <r>
    <s v="SHP-00242"/>
    <s v="2025-04-27"/>
    <x v="0"/>
    <x v="6"/>
    <x v="3"/>
    <x v="2"/>
    <s v="TRK-015"/>
    <s v="E. Achieng"/>
    <n v="2459"/>
    <n v="631.57000000000005"/>
    <n v="1553030.63"/>
    <n v="466"/>
    <s v="2025-04-29"/>
    <d v="2025-04-01T00:00:00"/>
    <s v="2025-05-02"/>
    <s v="May 2025"/>
    <x v="0"/>
    <n v="28851.19"/>
    <n v="1581881.8199999998"/>
  </r>
  <r>
    <s v="SHP-00243"/>
    <s v="2025-02-17"/>
    <x v="1"/>
    <x v="4"/>
    <x v="0"/>
    <x v="0"/>
    <s v="TRK-011"/>
    <s v="D. Said"/>
    <n v="291"/>
    <n v="130.78"/>
    <n v="38056.980000000003"/>
    <n v="533"/>
    <s v="2025-02-19"/>
    <d v="2025-02-01T00:00:00"/>
    <s v="2025-02-18"/>
    <s v="February 2025"/>
    <x v="1"/>
    <n v="31445.96"/>
    <n v="69502.94"/>
  </r>
  <r>
    <s v="SHP-00244"/>
    <s v="2025-12-30"/>
    <x v="8"/>
    <x v="4"/>
    <x v="1"/>
    <x v="0"/>
    <s v="TRK-030"/>
    <s v="P. Maina"/>
    <n v="2011"/>
    <n v="798.74"/>
    <n v="1606266.14"/>
    <n v="557"/>
    <s v="2026-01-01"/>
    <d v="2026-01-01T00:00:00"/>
    <s v="2026-01-05"/>
    <s v="January 2026"/>
    <x v="0"/>
    <n v="23987.5"/>
    <n v="1630253.64"/>
  </r>
  <r>
    <s v="SHP-00245"/>
    <s v="2025-02-25"/>
    <x v="1"/>
    <x v="6"/>
    <x v="1"/>
    <x v="0"/>
    <s v="TRK-024"/>
    <s v="A. Hassan"/>
    <n v="725"/>
    <n v="802.87"/>
    <n v="582080.75"/>
    <n v="111"/>
    <s v="2025-02-26"/>
    <d v="2025-02-01T00:00:00"/>
    <s v="2025-02-26"/>
    <s v="February 2025"/>
    <x v="1"/>
    <n v="6739.03"/>
    <n v="588819.78"/>
  </r>
  <r>
    <s v="SHP-00246"/>
    <s v="2025-11-28"/>
    <x v="2"/>
    <x v="2"/>
    <x v="4"/>
    <x v="3"/>
    <s v="TRK-019"/>
    <s v="E. Achieng"/>
    <n v="1551"/>
    <n v="616.16999999999996"/>
    <n v="955679.67"/>
    <n v="60"/>
    <s v="2025-11-29"/>
    <d v="2025-11-01T00:00:00"/>
    <s v="2025-12-01"/>
    <s v="December 2025"/>
    <x v="0"/>
    <n v="3137.35"/>
    <n v="958817.02"/>
  </r>
  <r>
    <s v="SHP-00247"/>
    <s v="2025-11-12"/>
    <x v="2"/>
    <x v="1"/>
    <x v="5"/>
    <x v="2"/>
    <s v="TRK-023"/>
    <s v="K. Barasa"/>
    <n v="1980"/>
    <n v="811.89"/>
    <n v="1607542.2"/>
    <n v="270"/>
    <s v="2025-11-13"/>
    <d v="2025-11-01T00:00:00"/>
    <s v="2025-11-13"/>
    <s v="November 2025"/>
    <x v="1"/>
    <n v="16404.5"/>
    <n v="1623946.7"/>
  </r>
  <r>
    <s v="SHP-00248"/>
    <s v="2025-05-30"/>
    <x v="10"/>
    <x v="0"/>
    <x v="4"/>
    <x v="2"/>
    <s v="TRK-025"/>
    <s v="E. Achieng"/>
    <n v="2424"/>
    <n v="872.14"/>
    <n v="2114067.36"/>
    <n v="177"/>
    <s v="2025-05-31"/>
    <d v="2025-05-01T00:00:00"/>
    <s v="2025-06-03"/>
    <s v="June 2025"/>
    <x v="0"/>
    <n v="9793.0400000000009"/>
    <n v="2123860.4"/>
  </r>
  <r>
    <s v="SHP-00249"/>
    <s v="2025-03-13"/>
    <x v="4"/>
    <x v="6"/>
    <x v="2"/>
    <x v="3"/>
    <s v="TRK-022"/>
    <s v="M. Otieno"/>
    <n v="260"/>
    <n v="566.11"/>
    <n v="147188.6"/>
    <n v="173"/>
    <s v="2025-03-14"/>
    <d v="2025-03-01T00:00:00"/>
    <s v="2025-03-14"/>
    <s v="March 2025"/>
    <x v="1"/>
    <n v="6303.32"/>
    <n v="153491.92000000001"/>
  </r>
  <r>
    <s v="SHP-00250"/>
    <s v="2025-09-06"/>
    <x v="11"/>
    <x v="6"/>
    <x v="5"/>
    <x v="3"/>
    <s v="TRK-014"/>
    <s v="D. Said"/>
    <n v="246"/>
    <n v="823.81"/>
    <n v="202657.26"/>
    <n v="257"/>
    <s v="2025-09-07"/>
    <d v="2025-09-01T00:00:00"/>
    <s v="2025-09-07"/>
    <s v="September 2025"/>
    <x v="1"/>
    <n v="11862.84"/>
    <n v="214520.1"/>
  </r>
  <r>
    <s v="SHP-00251"/>
    <s v="2025-12-11"/>
    <x v="8"/>
    <x v="0"/>
    <x v="5"/>
    <x v="2"/>
    <s v="TRK-016"/>
    <s v="A. Hassan"/>
    <n v="928"/>
    <n v="571.94000000000005"/>
    <n v="530760.31999999995"/>
    <n v="468"/>
    <s v="2025-12-13"/>
    <d v="2025-12-01T00:00:00"/>
    <s v="2025-12-16"/>
    <s v="December 2025"/>
    <x v="0"/>
    <n v="27447.17"/>
    <n v="558207.49"/>
  </r>
  <r>
    <s v="SHP-00252"/>
    <s v="2025-11-04"/>
    <x v="2"/>
    <x v="2"/>
    <x v="4"/>
    <x v="3"/>
    <s v="TRK-010"/>
    <s v="P. Maina"/>
    <n v="645"/>
    <n v="495.6"/>
    <n v="319662"/>
    <n v="241"/>
    <s v="2025-11-05"/>
    <d v="2025-11-01T00:00:00"/>
    <s v="2025-11-07"/>
    <s v="November 2025"/>
    <x v="0"/>
    <n v="12007.22"/>
    <n v="331669.21999999997"/>
  </r>
  <r>
    <s v="SHP-00253"/>
    <s v="2025-05-13"/>
    <x v="10"/>
    <x v="3"/>
    <x v="4"/>
    <x v="2"/>
    <s v="TRK-020"/>
    <s v="B. Kiprono"/>
    <n v="1824"/>
    <n v="119.92"/>
    <n v="218734.07999999999"/>
    <n v="284"/>
    <s v="2025-05-14"/>
    <d v="2025-05-01T00:00:00"/>
    <s v="2025-05-14"/>
    <s v="May 2025"/>
    <x v="1"/>
    <n v="16580.939999999999"/>
    <n v="235315.02"/>
  </r>
  <r>
    <s v="SHP-00254"/>
    <s v="2025-07-09"/>
    <x v="7"/>
    <x v="1"/>
    <x v="0"/>
    <x v="3"/>
    <s v="TRK-017"/>
    <s v="B. Kiprono"/>
    <n v="646"/>
    <n v="675.62"/>
    <n v="436450.52"/>
    <n v="587"/>
    <s v="2025-07-11"/>
    <d v="2025-07-01T00:00:00"/>
    <s v="2025-07-14"/>
    <s v="July 2025"/>
    <x v="0"/>
    <n v="27883.51"/>
    <n v="464334.03"/>
  </r>
  <r>
    <s v="SHP-00255"/>
    <s v="2025-10-04"/>
    <x v="5"/>
    <x v="3"/>
    <x v="3"/>
    <x v="3"/>
    <s v="TRK-026"/>
    <s v="M. Otieno"/>
    <n v="2059"/>
    <n v="635.54999999999995"/>
    <n v="1308597.45"/>
    <n v="253"/>
    <s v="2025-10-05"/>
    <d v="2025-10-01T00:00:00"/>
    <s v="2025-10-08"/>
    <s v="October 2025"/>
    <x v="0"/>
    <n v="13127.55"/>
    <n v="1321725"/>
  </r>
  <r>
    <s v="SHP-00256"/>
    <s v="2025-08-30"/>
    <x v="6"/>
    <x v="5"/>
    <x v="1"/>
    <x v="0"/>
    <s v="TRK-025"/>
    <s v="J. Mutua"/>
    <n v="1322"/>
    <n v="820.71"/>
    <n v="1084978.6200000001"/>
    <n v="380"/>
    <s v="2025-09-01"/>
    <d v="2025-09-01T00:00:00"/>
    <s v="2025-09-01"/>
    <s v="September 2025"/>
    <x v="1"/>
    <n v="19509.810000000001"/>
    <n v="1104488.4300000002"/>
  </r>
  <r>
    <s v="SHP-00257"/>
    <s v="2025-09-08"/>
    <x v="11"/>
    <x v="2"/>
    <x v="3"/>
    <x v="1"/>
    <s v="TRK-010"/>
    <s v="A. Hassan"/>
    <n v="1913"/>
    <n v="527.52"/>
    <n v="1009145.76"/>
    <n v="448"/>
    <s v="2025-09-10"/>
    <d v="2025-09-01T00:00:00"/>
    <s v="2025-09-12"/>
    <s v="September 2025"/>
    <x v="0"/>
    <n v="25723.88"/>
    <n v="1034869.64"/>
  </r>
  <r>
    <s v="SHP-00258"/>
    <s v="2025-05-15"/>
    <x v="10"/>
    <x v="6"/>
    <x v="2"/>
    <x v="1"/>
    <s v="TRK-030"/>
    <s v="L. Wekesa"/>
    <n v="203"/>
    <n v="690.48"/>
    <n v="140167.44"/>
    <n v="590"/>
    <s v="2025-05-17"/>
    <d v="2025-05-01T00:00:00"/>
    <s v="2025-05-19"/>
    <s v="May 2025"/>
    <x v="0"/>
    <n v="32064.49"/>
    <n v="172231.93"/>
  </r>
  <r>
    <s v="SHP-00259"/>
    <s v="2025-06-29"/>
    <x v="9"/>
    <x v="5"/>
    <x v="3"/>
    <x v="0"/>
    <s v="TRK-001"/>
    <s v="K. Barasa"/>
    <n v="1333"/>
    <n v="723.7"/>
    <n v="964692.1"/>
    <n v="190"/>
    <s v="2025-06-30"/>
    <d v="2025-06-01T00:00:00"/>
    <s v="2025-06-30"/>
    <s v="June 2025"/>
    <x v="1"/>
    <n v="8753.56"/>
    <n v="973445.66"/>
  </r>
  <r>
    <s v="SHP-00260"/>
    <s v="2025-07-04"/>
    <x v="7"/>
    <x v="3"/>
    <x v="5"/>
    <x v="1"/>
    <s v="TRK-005"/>
    <s v="M. Otieno"/>
    <n v="1755"/>
    <n v="767.92"/>
    <n v="1347699.6"/>
    <n v="352"/>
    <s v="2025-07-06"/>
    <d v="2025-07-01T00:00:00"/>
    <s v="2025-07-06"/>
    <s v="July 2025"/>
    <x v="1"/>
    <n v="13825.56"/>
    <n v="1361525.1600000001"/>
  </r>
  <r>
    <s v="SHP-00261"/>
    <s v="2025-06-22"/>
    <x v="9"/>
    <x v="3"/>
    <x v="4"/>
    <x v="3"/>
    <s v="TRK-029"/>
    <s v="J. Mutua"/>
    <n v="1733"/>
    <n v="257.19"/>
    <n v="445710.27"/>
    <n v="257"/>
    <s v="2025-06-23"/>
    <d v="2025-06-01T00:00:00"/>
    <s v="2025-06-25"/>
    <s v="June 2025"/>
    <x v="0"/>
    <n v="11065.42"/>
    <n v="456775.69"/>
  </r>
  <r>
    <s v="SHP-00262"/>
    <s v="2025-10-28"/>
    <x v="5"/>
    <x v="2"/>
    <x v="0"/>
    <x v="2"/>
    <s v="TRK-009"/>
    <s v="Not Found"/>
    <n v="865"/>
    <n v="603.63"/>
    <n v="522139.95"/>
    <n v="453"/>
    <s v="2025-10-30"/>
    <d v="2025-10-01T00:00:00"/>
    <s v="2025-11-02"/>
    <s v="November 2025"/>
    <x v="0"/>
    <n v="22124.77"/>
    <n v="544264.72"/>
  </r>
  <r>
    <s v="SHP-00263"/>
    <s v="2025-11-19"/>
    <x v="2"/>
    <x v="6"/>
    <x v="5"/>
    <x v="0"/>
    <s v="TRK-028"/>
    <s v="K. Barasa"/>
    <n v="1210"/>
    <n v="214.67"/>
    <n v="259750.7"/>
    <n v="207"/>
    <s v="2025-11-20"/>
    <d v="2025-11-01T00:00:00"/>
    <s v="2025-11-20"/>
    <s v="November 2025"/>
    <x v="1"/>
    <n v="10416.24"/>
    <n v="270166.94"/>
  </r>
  <r>
    <s v="SHP-00264"/>
    <s v="2025-02-24"/>
    <x v="1"/>
    <x v="7"/>
    <x v="3"/>
    <x v="2"/>
    <s v="TRK-014"/>
    <s v="M. Otieno"/>
    <n v="1183"/>
    <n v="805.26"/>
    <n v="952622.58"/>
    <n v="511"/>
    <s v="2025-02-26"/>
    <d v="2025-02-01T00:00:00"/>
    <s v="2025-02-25"/>
    <s v="February 2025"/>
    <x v="1"/>
    <n v="28720.3"/>
    <n v="981342.88"/>
  </r>
  <r>
    <s v="SHP-00265"/>
    <s v="2025-09-06"/>
    <x v="11"/>
    <x v="3"/>
    <x v="5"/>
    <x v="3"/>
    <s v="TRK-028"/>
    <s v="A. Hassan"/>
    <n v="2488"/>
    <n v="783.38"/>
    <n v="1949049.44"/>
    <n v="85"/>
    <s v="2025-09-07"/>
    <d v="2025-09-01T00:00:00"/>
    <s v="2025-09-06"/>
    <s v="September 2025"/>
    <x v="1"/>
    <n v="4858.6899999999996"/>
    <n v="1953908.13"/>
  </r>
  <r>
    <s v="SHP-00266"/>
    <s v="2025-11-04"/>
    <x v="2"/>
    <x v="1"/>
    <x v="3"/>
    <x v="2"/>
    <s v="TRK-029"/>
    <s v="D. Said"/>
    <n v="1475"/>
    <n v="484.23"/>
    <n v="714239.25"/>
    <n v="329"/>
    <s v="2025-11-05"/>
    <d v="2025-11-01T00:00:00"/>
    <s v="2025-11-06"/>
    <s v="November 2025"/>
    <x v="0"/>
    <n v="11787.41"/>
    <n v="726026.66"/>
  </r>
  <r>
    <s v="SHP-00267"/>
    <s v="2025-04-15"/>
    <x v="0"/>
    <x v="7"/>
    <x v="4"/>
    <x v="3"/>
    <s v="TRK-012"/>
    <s v="S. Chebet"/>
    <n v="1633"/>
    <n v="672.94"/>
    <n v="1098911.02"/>
    <n v="713"/>
    <s v="2025-04-18"/>
    <d v="2025-04-01T00:00:00"/>
    <s v="2025-04-21"/>
    <s v="April 2025"/>
    <x v="0"/>
    <n v="38729.94"/>
    <n v="1137640.96"/>
  </r>
  <r>
    <s v="SHP-00268"/>
    <s v="2025-02-15"/>
    <x v="1"/>
    <x v="1"/>
    <x v="5"/>
    <x v="1"/>
    <s v="TRK-013"/>
    <s v="D. Said"/>
    <n v="364"/>
    <n v="211.85"/>
    <n v="77113.399999999994"/>
    <n v="442"/>
    <s v="2025-02-17"/>
    <d v="2025-02-01T00:00:00"/>
    <s v="2025-02-16"/>
    <s v="February 2025"/>
    <x v="1"/>
    <n v="17319.400000000001"/>
    <n v="94432.799999999988"/>
  </r>
  <r>
    <s v="SHP-00269"/>
    <s v="2025-01-29"/>
    <x v="3"/>
    <x v="7"/>
    <x v="0"/>
    <x v="1"/>
    <s v="TRK-026"/>
    <s v="P. Maina"/>
    <n v="455"/>
    <n v="453.51"/>
    <n v="206347.05"/>
    <n v="399"/>
    <s v="2025-01-31"/>
    <d v="2025-01-01T00:00:00"/>
    <s v="2025-02-02"/>
    <s v="February 2025"/>
    <x v="0"/>
    <n v="16992.349999999999"/>
    <n v="223339.4"/>
  </r>
  <r>
    <s v="SHP-00270"/>
    <s v="2025-03-16"/>
    <x v="4"/>
    <x v="1"/>
    <x v="5"/>
    <x v="0"/>
    <s v="TRK-023"/>
    <s v="K. Barasa"/>
    <n v="813"/>
    <n v="236.09"/>
    <n v="191941.17"/>
    <n v="363"/>
    <s v="2025-03-18"/>
    <d v="2025-03-01T00:00:00"/>
    <s v="2025-03-18"/>
    <s v="March 2025"/>
    <x v="1"/>
    <n v="13116.94"/>
    <n v="205058.11000000002"/>
  </r>
  <r>
    <s v="SHP-00271"/>
    <s v="2025-05-22"/>
    <x v="10"/>
    <x v="1"/>
    <x v="5"/>
    <x v="1"/>
    <s v="TRK-030"/>
    <s v="B. Kiprono"/>
    <n v="688"/>
    <n v="180.13"/>
    <n v="123929.44"/>
    <n v="537"/>
    <s v="2025-05-24"/>
    <d v="2025-05-01T00:00:00"/>
    <s v="2025-05-28"/>
    <s v="May 2025"/>
    <x v="0"/>
    <n v="27327.86"/>
    <n v="151257.29999999999"/>
  </r>
  <r>
    <s v="SHP-00272"/>
    <s v="2025-04-28"/>
    <x v="0"/>
    <x v="5"/>
    <x v="2"/>
    <x v="1"/>
    <s v="TRK-006"/>
    <s v="B. Kiprono"/>
    <n v="1318"/>
    <n v="769.48"/>
    <n v="1014174.64"/>
    <n v="388"/>
    <s v="2025-04-30"/>
    <d v="2025-04-01T00:00:00"/>
    <s v="2025-04-29"/>
    <s v="April 2025"/>
    <x v="1"/>
    <n v="22387.99"/>
    <n v="1036562.63"/>
  </r>
  <r>
    <s v="SHP-00273"/>
    <s v="2025-06-13"/>
    <x v="9"/>
    <x v="0"/>
    <x v="3"/>
    <x v="3"/>
    <s v="TRK-028"/>
    <s v="A. Hassan"/>
    <n v="1347"/>
    <n v="97.27"/>
    <n v="131022.69"/>
    <n v="160"/>
    <s v="2025-06-14"/>
    <d v="2025-06-01T00:00:00"/>
    <s v="2025-06-14"/>
    <s v="June 2025"/>
    <x v="1"/>
    <n v="9046.6"/>
    <n v="140069.29"/>
  </r>
  <r>
    <s v="SHP-00274"/>
    <s v="2025-10-28"/>
    <x v="5"/>
    <x v="5"/>
    <x v="0"/>
    <x v="3"/>
    <s v="TRK-029"/>
    <s v="P. Maina"/>
    <n v="1189"/>
    <n v="798.59"/>
    <n v="949523.51"/>
    <n v="408"/>
    <s v="2025-10-30"/>
    <d v="2025-10-01T00:00:00"/>
    <s v="2025-10-30"/>
    <s v="October 2025"/>
    <x v="1"/>
    <n v="15752.62"/>
    <n v="965276.13"/>
  </r>
  <r>
    <s v="SHP-00275"/>
    <s v="2025-09-20"/>
    <x v="11"/>
    <x v="5"/>
    <x v="5"/>
    <x v="3"/>
    <s v="TRK-009"/>
    <s v="S. Chebet"/>
    <n v="2405"/>
    <n v="134.6"/>
    <n v="323713"/>
    <n v="405"/>
    <s v="2025-09-22"/>
    <d v="2025-09-01T00:00:00"/>
    <s v="2025-09-22"/>
    <s v="September 2025"/>
    <x v="1"/>
    <n v="20676.8"/>
    <n v="344389.8"/>
  </r>
  <r>
    <s v="SHP-00276"/>
    <s v="2025-08-24"/>
    <x v="6"/>
    <x v="6"/>
    <x v="4"/>
    <x v="0"/>
    <s v="TRK-022"/>
    <s v="S. Chebet"/>
    <n v="2005"/>
    <n v="709.49"/>
    <n v="1422527.45"/>
    <n v="576"/>
    <s v="2025-08-26"/>
    <d v="2025-08-01T00:00:00"/>
    <s v="2025-08-26"/>
    <s v="August 2025"/>
    <x v="1"/>
    <n v="20305.169999999998"/>
    <n v="1442832.6199999999"/>
  </r>
  <r>
    <s v="SHP-00277"/>
    <s v="2025-02-20"/>
    <x v="1"/>
    <x v="3"/>
    <x v="0"/>
    <x v="0"/>
    <s v="TRK-016"/>
    <s v="Not Found"/>
    <n v="1880"/>
    <n v="303.5"/>
    <n v="570580"/>
    <n v="234"/>
    <s v="2025-02-21"/>
    <d v="2025-02-01T00:00:00"/>
    <s v="2025-02-24"/>
    <s v="February 2025"/>
    <x v="0"/>
    <n v="13353.53"/>
    <n v="583933.53"/>
  </r>
  <r>
    <s v="SHP-00278"/>
    <s v="2025-08-23"/>
    <x v="6"/>
    <x v="0"/>
    <x v="1"/>
    <x v="3"/>
    <s v="TRK-001"/>
    <s v="A. Hassan"/>
    <n v="2200"/>
    <n v="84.28"/>
    <n v="185416"/>
    <n v="95"/>
    <s v="2025-08-24"/>
    <d v="2025-08-01T00:00:00"/>
    <s v="2025-08-24"/>
    <s v="August 2025"/>
    <x v="1"/>
    <n v="3964.55"/>
    <n v="189380.55"/>
  </r>
  <r>
    <s v="SHP-00279"/>
    <s v="2025-02-04"/>
    <x v="1"/>
    <x v="5"/>
    <x v="0"/>
    <x v="0"/>
    <s v="TRK-003"/>
    <s v="D. Said"/>
    <n v="705"/>
    <n v="517.53"/>
    <n v="364858.65"/>
    <n v="29"/>
    <s v="2025-02-05"/>
    <d v="2025-02-01T00:00:00"/>
    <s v="2025-02-07"/>
    <s v="February 2025"/>
    <x v="0"/>
    <n v="1669.61"/>
    <n v="366528.26"/>
  </r>
  <r>
    <s v="SHP-00280"/>
    <s v="2025-03-25"/>
    <x v="4"/>
    <x v="4"/>
    <x v="1"/>
    <x v="2"/>
    <s v="TRK-009"/>
    <s v="K. Barasa"/>
    <n v="1747"/>
    <n v="553.15"/>
    <n v="966353.05"/>
    <n v="578"/>
    <s v="2025-03-27"/>
    <d v="2025-03-01T00:00:00"/>
    <s v="2025-03-26"/>
    <s v="March 2025"/>
    <x v="1"/>
    <n v="24352.98"/>
    <n v="990706.03"/>
  </r>
  <r>
    <s v="SHP-00281"/>
    <s v="2025-03-03"/>
    <x v="4"/>
    <x v="2"/>
    <x v="2"/>
    <x v="1"/>
    <s v="TRK-013"/>
    <s v="L. Wekesa"/>
    <n v="189"/>
    <n v="615.65"/>
    <n v="116357.85"/>
    <n v="389"/>
    <s v="2025-03-05"/>
    <d v="2025-03-01T00:00:00"/>
    <s v="2025-03-05"/>
    <s v="March 2025"/>
    <x v="1"/>
    <n v="18401.64"/>
    <n v="134759.49"/>
  </r>
  <r>
    <s v="SHP-00282"/>
    <s v="2025-07-05"/>
    <x v="7"/>
    <x v="3"/>
    <x v="0"/>
    <x v="1"/>
    <s v="TRK-026"/>
    <s v="B. Kiprono"/>
    <n v="1172"/>
    <n v="83.97"/>
    <n v="98412.84"/>
    <n v="387"/>
    <s v="2025-07-07"/>
    <d v="2025-07-01T00:00:00"/>
    <s v="2025-07-08"/>
    <s v="July 2025"/>
    <x v="0"/>
    <n v="14331.64"/>
    <n v="112744.48"/>
  </r>
  <r>
    <s v="SHP-00283"/>
    <s v="2025-06-03"/>
    <x v="9"/>
    <x v="5"/>
    <x v="5"/>
    <x v="1"/>
    <s v="TRK-015"/>
    <s v="S. Chebet"/>
    <n v="1687"/>
    <n v="309.08"/>
    <n v="521417.96"/>
    <n v="621"/>
    <s v="2025-06-05"/>
    <d v="2025-06-01T00:00:00"/>
    <s v="2025-06-05"/>
    <s v="June 2025"/>
    <x v="1"/>
    <n v="26939.5"/>
    <n v="548357.46"/>
  </r>
  <r>
    <s v="SHP-00284"/>
    <s v="2025-12-20"/>
    <x v="8"/>
    <x v="3"/>
    <x v="0"/>
    <x v="3"/>
    <s v="TRK-004"/>
    <s v="P. Maina"/>
    <n v="1751"/>
    <n v="250.76"/>
    <n v="439080.76"/>
    <n v="67"/>
    <s v="2025-12-21"/>
    <d v="2025-12-01T00:00:00"/>
    <s v="2025-12-22"/>
    <s v="December 2025"/>
    <x v="0"/>
    <n v="3790.78"/>
    <n v="442871.54000000004"/>
  </r>
  <r>
    <s v="SHP-00285"/>
    <s v="2025-04-19"/>
    <x v="0"/>
    <x v="0"/>
    <x v="5"/>
    <x v="3"/>
    <s v="TRK-027"/>
    <s v="Not Found"/>
    <n v="994"/>
    <n v="85.02"/>
    <n v="84509.88"/>
    <n v="534"/>
    <s v="2025-04-21"/>
    <d v="2025-04-01T00:00:00"/>
    <s v="2025-04-25"/>
    <s v="April 2025"/>
    <x v="0"/>
    <n v="21876.7"/>
    <n v="106386.58"/>
  </r>
  <r>
    <s v="SHP-00286"/>
    <s v="2025-09-05"/>
    <x v="11"/>
    <x v="7"/>
    <x v="2"/>
    <x v="0"/>
    <s v="TRK-021"/>
    <s v="D. Said"/>
    <n v="1902"/>
    <n v="339.93"/>
    <n v="646546.86"/>
    <n v="603"/>
    <s v="2025-09-07"/>
    <d v="2025-09-01T00:00:00"/>
    <s v="2025-09-08"/>
    <s v="September 2025"/>
    <x v="0"/>
    <n v="29884.21"/>
    <n v="676431.07"/>
  </r>
  <r>
    <s v="SHP-00287"/>
    <s v="2025-04-02"/>
    <x v="0"/>
    <x v="4"/>
    <x v="3"/>
    <x v="3"/>
    <s v="TRK-027"/>
    <s v="L. Wekesa"/>
    <n v="2077"/>
    <n v="332.74"/>
    <n v="691100.98"/>
    <n v="455"/>
    <s v="2025-04-04"/>
    <d v="2025-04-01T00:00:00"/>
    <s v="2025-04-03"/>
    <s v="April 2025"/>
    <x v="1"/>
    <n v="20568.919999999998"/>
    <n v="711669.9"/>
  </r>
  <r>
    <s v="SHP-00288"/>
    <s v="2025-07-15"/>
    <x v="7"/>
    <x v="5"/>
    <x v="3"/>
    <x v="1"/>
    <s v="TRK-023"/>
    <s v="S. Chebet"/>
    <n v="2378"/>
    <n v="458.19"/>
    <n v="1089575.82"/>
    <n v="470"/>
    <s v="2025-07-17"/>
    <d v="2025-07-01T00:00:00"/>
    <s v="2025-07-21"/>
    <s v="July 2025"/>
    <x v="0"/>
    <n v="27971.83"/>
    <n v="1117547.6500000001"/>
  </r>
  <r>
    <s v="SHP-00289"/>
    <s v="2025-12-24"/>
    <x v="8"/>
    <x v="5"/>
    <x v="5"/>
    <x v="3"/>
    <s v="TRK-025"/>
    <s v="L. Wekesa"/>
    <n v="1451"/>
    <n v="366.72"/>
    <n v="532110.72"/>
    <n v="554"/>
    <s v="2025-12-26"/>
    <d v="2025-12-01T00:00:00"/>
    <s v="2025-12-29"/>
    <s v="December 2025"/>
    <x v="0"/>
    <n v="31638.27"/>
    <n v="563748.99"/>
  </r>
  <r>
    <s v="SHP-00290"/>
    <s v="2025-07-05"/>
    <x v="7"/>
    <x v="6"/>
    <x v="3"/>
    <x v="2"/>
    <s v="TRK-027"/>
    <s v="J. Mutua"/>
    <n v="1166"/>
    <n v="146.62"/>
    <n v="170958.92"/>
    <n v="434"/>
    <s v="2025-07-07"/>
    <d v="2025-07-01T00:00:00"/>
    <s v="2025-07-06"/>
    <s v="July 2025"/>
    <x v="1"/>
    <n v="21033.39"/>
    <n v="191992.31"/>
  </r>
  <r>
    <s v="SHP-00291"/>
    <s v="2025-08-14"/>
    <x v="6"/>
    <x v="4"/>
    <x v="4"/>
    <x v="3"/>
    <s v="TRK-002"/>
    <s v="A. Hassan"/>
    <n v="1656"/>
    <n v="775.3"/>
    <n v="1283896.8"/>
    <n v="282"/>
    <s v="2025-08-15"/>
    <d v="2025-08-01T00:00:00"/>
    <s v="2025-08-18"/>
    <s v="August 2025"/>
    <x v="0"/>
    <n v="15224.46"/>
    <n v="1299121.26"/>
  </r>
  <r>
    <s v="SHP-00292"/>
    <s v="2025-12-02"/>
    <x v="8"/>
    <x v="5"/>
    <x v="1"/>
    <x v="1"/>
    <s v="TRK-004"/>
    <s v="J. Mutua"/>
    <n v="74"/>
    <n v="580.32000000000005"/>
    <n v="42943.68"/>
    <n v="396"/>
    <s v="2025-12-04"/>
    <d v="2025-12-01T00:00:00"/>
    <s v="2025-12-04"/>
    <s v="December 2025"/>
    <x v="1"/>
    <n v="22662.639999999999"/>
    <n v="65606.320000000007"/>
  </r>
  <r>
    <s v="SHP-00293"/>
    <s v="2025-07-07"/>
    <x v="7"/>
    <x v="2"/>
    <x v="1"/>
    <x v="3"/>
    <s v="TRK-030"/>
    <s v="P. Maina"/>
    <n v="1873"/>
    <n v="856.2"/>
    <n v="1603662.6"/>
    <n v="342"/>
    <s v="2025-07-08"/>
    <d v="2025-07-01T00:00:00"/>
    <s v="2025-07-08"/>
    <s v="July 2025"/>
    <x v="1"/>
    <n v="20080.990000000002"/>
    <n v="1623743.59"/>
  </r>
  <r>
    <s v="SHP-00294"/>
    <s v="2025-02-16"/>
    <x v="1"/>
    <x v="2"/>
    <x v="0"/>
    <x v="0"/>
    <s v="TRK-023"/>
    <s v="S. Chebet"/>
    <n v="2105"/>
    <n v="789.78"/>
    <n v="1662486.9"/>
    <n v="571"/>
    <s v="2025-02-18"/>
    <d v="2025-02-01T00:00:00"/>
    <s v="2025-02-22"/>
    <s v="February 2025"/>
    <x v="0"/>
    <n v="22664.89"/>
    <n v="1685151.7899999998"/>
  </r>
  <r>
    <s v="SHP-00295"/>
    <s v="2025-06-04"/>
    <x v="9"/>
    <x v="3"/>
    <x v="0"/>
    <x v="3"/>
    <s v="TRK-030"/>
    <s v="B. Kiprono"/>
    <n v="953"/>
    <n v="434.87"/>
    <n v="414431.11"/>
    <n v="197"/>
    <s v="2025-06-05"/>
    <d v="2025-06-01T00:00:00"/>
    <s v="2025-06-09"/>
    <s v="June 2025"/>
    <x v="0"/>
    <n v="11557.94"/>
    <n v="425989.05"/>
  </r>
  <r>
    <s v="SHP-00296"/>
    <s v="2025-06-18"/>
    <x v="9"/>
    <x v="3"/>
    <x v="0"/>
    <x v="1"/>
    <s v="TRK-022"/>
    <s v="B. Kiprono"/>
    <n v="2286"/>
    <n v="288.3"/>
    <n v="659053.80000000005"/>
    <n v="536"/>
    <s v="2025-06-20"/>
    <d v="2025-06-01T00:00:00"/>
    <s v="2025-06-20"/>
    <s v="June 2025"/>
    <x v="1"/>
    <n v="18841.04"/>
    <n v="677894.84000000008"/>
  </r>
  <r>
    <s v="SHP-00297"/>
    <s v="2025-10-02"/>
    <x v="5"/>
    <x v="1"/>
    <x v="0"/>
    <x v="3"/>
    <s v="TRK-017"/>
    <s v="K. Barasa"/>
    <n v="1959"/>
    <n v="897.15"/>
    <n v="1757516.85"/>
    <n v="566"/>
    <s v="2025-10-04"/>
    <d v="2025-10-01T00:00:00"/>
    <s v="2025-10-04"/>
    <s v="October 2025"/>
    <x v="1"/>
    <n v="21278.25"/>
    <n v="1778795.1"/>
  </r>
  <r>
    <s v="SHP-00298"/>
    <s v="2025-04-26"/>
    <x v="0"/>
    <x v="0"/>
    <x v="2"/>
    <x v="1"/>
    <s v="TRK-030"/>
    <s v="E. Achieng"/>
    <n v="702"/>
    <n v="474.32"/>
    <n v="332972.64"/>
    <n v="520"/>
    <s v="2025-04-28"/>
    <d v="2025-04-01T00:00:00"/>
    <s v="2025-05-01"/>
    <s v="May 2025"/>
    <x v="0"/>
    <n v="21362.400000000001"/>
    <n v="354335.04000000004"/>
  </r>
  <r>
    <s v="SHP-00299"/>
    <s v="2025-04-07"/>
    <x v="0"/>
    <x v="1"/>
    <x v="4"/>
    <x v="0"/>
    <s v="TRK-024"/>
    <s v="A. Hassan"/>
    <n v="117"/>
    <n v="77.680000000000007"/>
    <n v="9088.56"/>
    <n v="675"/>
    <s v="2025-04-09"/>
    <d v="2025-04-01T00:00:00"/>
    <s v="2025-04-12"/>
    <s v="April 2025"/>
    <x v="0"/>
    <n v="39787.040000000001"/>
    <n v="48875.6"/>
  </r>
  <r>
    <s v="SHP-00300"/>
    <s v="2025-09-28"/>
    <x v="11"/>
    <x v="3"/>
    <x v="0"/>
    <x v="2"/>
    <s v="TRK-017"/>
    <s v="P. Maina"/>
    <n v="1606"/>
    <n v="389.69"/>
    <n v="625842.14"/>
    <n v="213"/>
    <s v="2025-09-29"/>
    <d v="2025-09-01T00:00:00"/>
    <s v="2025-09-29"/>
    <s v="September 2025"/>
    <x v="1"/>
    <n v="12458.52"/>
    <n v="638300.66"/>
  </r>
  <r>
    <s v="SHP-00301"/>
    <s v="2025-04-23"/>
    <x v="0"/>
    <x v="0"/>
    <x v="2"/>
    <x v="0"/>
    <s v="TRK-009"/>
    <s v="P. Maina"/>
    <n v="1242"/>
    <n v="238.4"/>
    <n v="296092.79999999999"/>
    <n v="31"/>
    <s v="2025-04-24"/>
    <d v="2025-04-01T00:00:00"/>
    <s v="2025-04-28"/>
    <s v="April 2025"/>
    <x v="0"/>
    <n v="1127.1400000000001"/>
    <n v="297219.94"/>
  </r>
  <r>
    <s v="SHP-00302"/>
    <s v="2025-06-04"/>
    <x v="9"/>
    <x v="4"/>
    <x v="3"/>
    <x v="1"/>
    <s v="TRK-026"/>
    <s v="A. Hassan"/>
    <n v="81"/>
    <n v="201.46"/>
    <n v="16318.26"/>
    <n v="87"/>
    <s v="2025-06-05"/>
    <d v="2025-06-01T00:00:00"/>
    <s v="2025-06-07"/>
    <s v="June 2025"/>
    <x v="0"/>
    <n v="3885.31"/>
    <n v="20203.57"/>
  </r>
  <r>
    <s v="SHP-00303"/>
    <s v="2025-11-21"/>
    <x v="2"/>
    <x v="1"/>
    <x v="0"/>
    <x v="2"/>
    <s v="TRK-027"/>
    <s v="E. Achieng"/>
    <n v="218"/>
    <n v="777.02"/>
    <n v="169390.36"/>
    <n v="63"/>
    <s v="2025-11-22"/>
    <d v="2025-11-01T00:00:00"/>
    <s v="2025-11-23"/>
    <s v="November 2025"/>
    <x v="0"/>
    <n v="2346.67"/>
    <n v="171737.03"/>
  </r>
  <r>
    <s v="SHP-00304"/>
    <s v="2025-12-10"/>
    <x v="8"/>
    <x v="4"/>
    <x v="4"/>
    <x v="0"/>
    <s v="TRK-007"/>
    <s v="L. Wekesa"/>
    <n v="284"/>
    <n v="729.32"/>
    <n v="207126.88"/>
    <n v="382"/>
    <s v="2025-12-12"/>
    <d v="2025-12-01T00:00:00"/>
    <s v="2025-12-12"/>
    <s v="December 2025"/>
    <x v="1"/>
    <n v="20891.39"/>
    <n v="228018.27000000002"/>
  </r>
  <r>
    <s v="SHP-00305"/>
    <s v="2025-09-07"/>
    <x v="11"/>
    <x v="7"/>
    <x v="4"/>
    <x v="2"/>
    <s v="TRK-030"/>
    <s v="A. Hassan"/>
    <n v="212"/>
    <n v="144.59"/>
    <n v="30653.08"/>
    <n v="50"/>
    <s v="2025-09-08"/>
    <d v="2025-09-01T00:00:00"/>
    <s v="2025-09-12"/>
    <s v="September 2025"/>
    <x v="0"/>
    <n v="2255.64"/>
    <n v="32908.720000000001"/>
  </r>
  <r>
    <s v="SHP-00306"/>
    <s v="2025-06-06"/>
    <x v="9"/>
    <x v="1"/>
    <x v="2"/>
    <x v="2"/>
    <s v="TRK-023"/>
    <s v="M. Otieno"/>
    <n v="209"/>
    <n v="504.59"/>
    <n v="105459.31"/>
    <n v="31"/>
    <s v="2025-06-07"/>
    <d v="2025-06-01T00:00:00"/>
    <s v="2025-06-08"/>
    <s v="June 2025"/>
    <x v="0"/>
    <n v="1250.53"/>
    <n v="106709.84"/>
  </r>
  <r>
    <s v="SHP-00307"/>
    <s v="2025-07-19"/>
    <x v="7"/>
    <x v="4"/>
    <x v="2"/>
    <x v="1"/>
    <s v="TRK-019"/>
    <s v="B. Kiprono"/>
    <n v="2120"/>
    <n v="759.06"/>
    <n v="1609207.2"/>
    <n v="524"/>
    <s v="2025-07-21"/>
    <d v="2025-07-01T00:00:00"/>
    <s v="2025-07-25"/>
    <s v="July 2025"/>
    <x v="0"/>
    <n v="20168.64"/>
    <n v="1629375.8399999999"/>
  </r>
  <r>
    <s v="SHP-00308"/>
    <s v="2025-01-16"/>
    <x v="3"/>
    <x v="0"/>
    <x v="4"/>
    <x v="2"/>
    <s v="TRK-029"/>
    <s v="P. Maina"/>
    <n v="951"/>
    <n v="558.27"/>
    <n v="530914.77"/>
    <n v="449"/>
    <s v="2025-01-18"/>
    <d v="2025-01-01T00:00:00"/>
    <s v="2025-01-18"/>
    <s v="January 2025"/>
    <x v="1"/>
    <n v="27256.7"/>
    <n v="558171.47"/>
  </r>
  <r>
    <s v="SHP-00309"/>
    <s v="2025-07-23"/>
    <x v="7"/>
    <x v="6"/>
    <x v="2"/>
    <x v="3"/>
    <s v="TRK-001"/>
    <s v="P. Maina"/>
    <n v="1058"/>
    <n v="697.08"/>
    <n v="737510.64"/>
    <n v="348"/>
    <s v="2025-07-24"/>
    <d v="2025-07-01T00:00:00"/>
    <s v="2025-07-27"/>
    <s v="July 2025"/>
    <x v="0"/>
    <n v="12183.92"/>
    <n v="749694.56"/>
  </r>
  <r>
    <s v="SHP-00310"/>
    <s v="2025-03-25"/>
    <x v="4"/>
    <x v="1"/>
    <x v="5"/>
    <x v="3"/>
    <s v="TRK-007"/>
    <s v="J. Mutua"/>
    <n v="187"/>
    <n v="356.55"/>
    <n v="66674.850000000006"/>
    <n v="108"/>
    <s v="2025-03-26"/>
    <d v="2025-03-01T00:00:00"/>
    <s v="2025-03-25"/>
    <s v="March 2025"/>
    <x v="1"/>
    <n v="4706.82"/>
    <n v="71381.670000000013"/>
  </r>
  <r>
    <s v="SHP-00311"/>
    <s v="2025-07-05"/>
    <x v="7"/>
    <x v="1"/>
    <x v="3"/>
    <x v="2"/>
    <s v="TRK-005"/>
    <s v="K. Barasa"/>
    <n v="650"/>
    <n v="49.63"/>
    <n v="32259.5"/>
    <n v="683"/>
    <s v="2025-07-07"/>
    <d v="2025-07-01T00:00:00"/>
    <s v="2025-07-07"/>
    <s v="July 2025"/>
    <x v="1"/>
    <n v="35729.18"/>
    <n v="67988.679999999993"/>
  </r>
  <r>
    <s v="SHP-00312"/>
    <s v="2025-04-24"/>
    <x v="0"/>
    <x v="7"/>
    <x v="1"/>
    <x v="3"/>
    <s v="TRK-012"/>
    <s v="D. Said"/>
    <n v="1827"/>
    <n v="270.25"/>
    <n v="493746.75"/>
    <n v="209"/>
    <s v="2025-04-25"/>
    <d v="2025-04-01T00:00:00"/>
    <s v="2025-04-29"/>
    <s v="April 2025"/>
    <x v="0"/>
    <n v="8390.1"/>
    <n v="502136.85"/>
  </r>
  <r>
    <s v="SHP-00313"/>
    <s v="2025-11-13"/>
    <x v="2"/>
    <x v="3"/>
    <x v="2"/>
    <x v="0"/>
    <s v="TRK-024"/>
    <s v="E. Achieng"/>
    <n v="498"/>
    <n v="425.51"/>
    <n v="211903.98"/>
    <n v="502"/>
    <s v="2025-11-15"/>
    <d v="2025-11-01T00:00:00"/>
    <s v="2025-11-14"/>
    <s v="November 2025"/>
    <x v="1"/>
    <n v="26246.880000000001"/>
    <n v="238150.86000000002"/>
  </r>
  <r>
    <s v="SHP-00314"/>
    <s v="2025-04-07"/>
    <x v="0"/>
    <x v="0"/>
    <x v="1"/>
    <x v="2"/>
    <s v="TRK-023"/>
    <s v="K. Barasa"/>
    <n v="1550"/>
    <n v="600.89"/>
    <n v="931379.5"/>
    <n v="294"/>
    <s v="2025-04-08"/>
    <d v="2025-04-01T00:00:00"/>
    <s v="2025-04-12"/>
    <s v="April 2025"/>
    <x v="0"/>
    <n v="16110.18"/>
    <n v="947489.68"/>
  </r>
  <r>
    <s v="SHP-00315"/>
    <s v="2025-10-07"/>
    <x v="5"/>
    <x v="0"/>
    <x v="0"/>
    <x v="1"/>
    <s v="TRK-026"/>
    <s v="S. Chebet"/>
    <n v="2022"/>
    <n v="661.42"/>
    <n v="1337391.24"/>
    <n v="155"/>
    <s v="2025-10-08"/>
    <d v="2025-10-01T00:00:00"/>
    <s v="2025-10-08"/>
    <s v="October 2025"/>
    <x v="1"/>
    <n v="5831.07"/>
    <n v="1343222.31"/>
  </r>
  <r>
    <s v="SHP-00316"/>
    <s v="2025-07-20"/>
    <x v="7"/>
    <x v="6"/>
    <x v="5"/>
    <x v="2"/>
    <s v="TRK-007"/>
    <s v="B. Kiprono"/>
    <n v="1156"/>
    <n v="81.89"/>
    <n v="94664.84"/>
    <n v="204"/>
    <s v="2025-07-21"/>
    <d v="2025-07-01T00:00:00"/>
    <s v="2025-07-23"/>
    <s v="July 2025"/>
    <x v="0"/>
    <n v="10234.65"/>
    <n v="104899.48999999999"/>
  </r>
  <r>
    <s v="SHP-00317"/>
    <s v="2025-12-03"/>
    <x v="8"/>
    <x v="5"/>
    <x v="1"/>
    <x v="2"/>
    <s v="TRK-025"/>
    <s v="B. Kiprono"/>
    <n v="886"/>
    <n v="532.80999999999995"/>
    <n v="472069.66"/>
    <n v="211"/>
    <s v="2025-12-04"/>
    <d v="2025-12-01T00:00:00"/>
    <s v="2025-12-05"/>
    <s v="December 2025"/>
    <x v="0"/>
    <n v="10006.790000000001"/>
    <n v="482076.44999999995"/>
  </r>
  <r>
    <s v="SHP-00318"/>
    <s v="2025-12-20"/>
    <x v="8"/>
    <x v="2"/>
    <x v="4"/>
    <x v="0"/>
    <s v="TRK-010"/>
    <s v="D. Said"/>
    <n v="897"/>
    <n v="642.26"/>
    <n v="576107.22"/>
    <n v="481"/>
    <s v="2025-12-22"/>
    <d v="2025-12-01T00:00:00"/>
    <s v="2025-12-22"/>
    <s v="December 2025"/>
    <x v="1"/>
    <n v="22394.91"/>
    <n v="598502.13"/>
  </r>
  <r>
    <s v="SHP-00319"/>
    <s v="2025-10-14"/>
    <x v="5"/>
    <x v="1"/>
    <x v="4"/>
    <x v="3"/>
    <s v="TRK-006"/>
    <s v="A. Hassan"/>
    <n v="1093"/>
    <n v="891.98"/>
    <n v="974934.14"/>
    <n v="386"/>
    <s v="2025-10-16"/>
    <d v="2025-10-01T00:00:00"/>
    <s v="2025-10-16"/>
    <s v="October 2025"/>
    <x v="1"/>
    <n v="17999.77"/>
    <n v="992933.91"/>
  </r>
  <r>
    <s v="SHP-00320"/>
    <s v="2025-01-09"/>
    <x v="3"/>
    <x v="3"/>
    <x v="0"/>
    <x v="3"/>
    <s v="TRK-014"/>
    <s v="J. Mutua"/>
    <n v="139"/>
    <n v="496.28"/>
    <n v="68982.92"/>
    <n v="288"/>
    <s v="2025-01-10"/>
    <d v="2025-01-01T00:00:00"/>
    <s v="2025-01-10"/>
    <s v="January 2025"/>
    <x v="1"/>
    <n v="15741.19"/>
    <n v="84724.11"/>
  </r>
  <r>
    <s v="SHP-00321"/>
    <s v="2025-01-08"/>
    <x v="3"/>
    <x v="7"/>
    <x v="1"/>
    <x v="0"/>
    <s v="TRK-019"/>
    <s v="J. Mutua"/>
    <n v="1813"/>
    <n v="269.47000000000003"/>
    <n v="488549.11"/>
    <n v="513"/>
    <s v="2025-01-10"/>
    <d v="2025-01-01T00:00:00"/>
    <s v="2025-01-13"/>
    <s v="January 2025"/>
    <x v="0"/>
    <n v="19839.740000000002"/>
    <n v="508388.85"/>
  </r>
  <r>
    <s v="SHP-00322"/>
    <s v="2025-11-17"/>
    <x v="2"/>
    <x v="6"/>
    <x v="3"/>
    <x v="1"/>
    <s v="TRK-023"/>
    <s v="A. Hassan"/>
    <n v="527"/>
    <n v="460.5"/>
    <n v="242683.5"/>
    <n v="557"/>
    <s v="2025-11-19"/>
    <d v="2025-11-01T00:00:00"/>
    <s v="2025-11-22"/>
    <s v="November 2025"/>
    <x v="0"/>
    <n v="21731.52"/>
    <n v="264415.02"/>
  </r>
  <r>
    <s v="SHP-00323"/>
    <s v="2025-12-24"/>
    <x v="8"/>
    <x v="6"/>
    <x v="1"/>
    <x v="2"/>
    <s v="TRK-020"/>
    <s v="K. Barasa"/>
    <n v="1177"/>
    <n v="891.25"/>
    <n v="1049001.25"/>
    <n v="51"/>
    <s v="2025-12-25"/>
    <d v="2025-12-01T00:00:00"/>
    <s v="2025-12-26"/>
    <s v="December 2025"/>
    <x v="0"/>
    <n v="2041.13"/>
    <n v="1051042.3799999999"/>
  </r>
  <r>
    <s v="SHP-00324"/>
    <s v="2025-04-16"/>
    <x v="0"/>
    <x v="7"/>
    <x v="0"/>
    <x v="2"/>
    <s v="TRK-003"/>
    <s v="S. Chebet"/>
    <n v="410"/>
    <n v="624.14"/>
    <n v="255897.4"/>
    <n v="288"/>
    <s v="2025-04-17"/>
    <d v="2025-04-01T00:00:00"/>
    <s v="2025-04-16"/>
    <s v="April 2025"/>
    <x v="1"/>
    <n v="16658.89"/>
    <n v="272556.28999999998"/>
  </r>
  <r>
    <s v="SHP-00325"/>
    <s v="2025-07-09"/>
    <x v="7"/>
    <x v="2"/>
    <x v="1"/>
    <x v="3"/>
    <s v="TRK-026"/>
    <s v="E. Achieng"/>
    <n v="129"/>
    <n v="686.24"/>
    <n v="88524.96"/>
    <n v="258"/>
    <s v="2025-07-10"/>
    <d v="2025-07-01T00:00:00"/>
    <s v="2025-07-10"/>
    <s v="July 2025"/>
    <x v="1"/>
    <n v="10112.51"/>
    <n v="98637.47"/>
  </r>
  <r>
    <s v="SHP-00326"/>
    <s v="2025-08-31"/>
    <x v="6"/>
    <x v="1"/>
    <x v="0"/>
    <x v="1"/>
    <s v="TRK-003"/>
    <s v="S. Chebet"/>
    <n v="1357"/>
    <n v="639.75"/>
    <n v="868140.75"/>
    <n v="280"/>
    <s v="2025-09-01"/>
    <d v="2025-09-01T00:00:00"/>
    <s v="2025-09-01"/>
    <s v="September 2025"/>
    <x v="1"/>
    <n v="11432.8"/>
    <n v="879573.55"/>
  </r>
  <r>
    <s v="SHP-00327"/>
    <s v="2025-04-11"/>
    <x v="0"/>
    <x v="2"/>
    <x v="1"/>
    <x v="2"/>
    <s v="TRK-011"/>
    <s v="S. Chebet"/>
    <n v="1434"/>
    <n v="169.78"/>
    <n v="243464.52"/>
    <n v="414"/>
    <s v="2025-04-13"/>
    <d v="2025-04-01T00:00:00"/>
    <s v="2025-04-13"/>
    <s v="April 2025"/>
    <x v="1"/>
    <n v="17973.05"/>
    <n v="261437.56999999998"/>
  </r>
  <r>
    <s v="SHP-00328"/>
    <s v="2025-03-25"/>
    <x v="4"/>
    <x v="7"/>
    <x v="1"/>
    <x v="1"/>
    <s v="TRK-018"/>
    <s v="K. Barasa"/>
    <n v="1158"/>
    <n v="415.86"/>
    <n v="481565.88"/>
    <n v="340"/>
    <s v="2025-03-26"/>
    <d v="2025-03-01T00:00:00"/>
    <s v="2025-03-29"/>
    <s v="March 2025"/>
    <x v="0"/>
    <n v="13971.49"/>
    <n v="495537.37"/>
  </r>
  <r>
    <s v="SHP-00329"/>
    <s v="2025-06-10"/>
    <x v="9"/>
    <x v="3"/>
    <x v="4"/>
    <x v="2"/>
    <s v="TRK-015"/>
    <s v="L. Wekesa"/>
    <n v="912"/>
    <n v="109.2"/>
    <n v="99590.399999999994"/>
    <n v="453"/>
    <s v="2025-06-12"/>
    <d v="2025-06-01T00:00:00"/>
    <s v="2025-06-15"/>
    <s v="June 2025"/>
    <x v="0"/>
    <n v="22776.71"/>
    <n v="122367.10999999999"/>
  </r>
  <r>
    <s v="SHP-00330"/>
    <s v="2025-12-19"/>
    <x v="8"/>
    <x v="2"/>
    <x v="5"/>
    <x v="2"/>
    <s v="TRK-013"/>
    <s v="M. Otieno"/>
    <n v="1618"/>
    <n v="196.56"/>
    <n v="318034.08"/>
    <n v="315"/>
    <s v="2025-12-20"/>
    <d v="2025-12-01T00:00:00"/>
    <s v="2025-12-20"/>
    <s v="December 2025"/>
    <x v="1"/>
    <n v="11800.4"/>
    <n v="329834.48000000004"/>
  </r>
  <r>
    <s v="SHP-00331"/>
    <s v="2025-04-04"/>
    <x v="0"/>
    <x v="0"/>
    <x v="3"/>
    <x v="2"/>
    <s v="TRK-001"/>
    <s v="E. Achieng"/>
    <n v="2347"/>
    <n v="868.81"/>
    <n v="2039097.07"/>
    <n v="264"/>
    <s v="2025-04-05"/>
    <d v="2025-04-01T00:00:00"/>
    <s v="2025-04-08"/>
    <s v="April 2025"/>
    <x v="0"/>
    <n v="10699.24"/>
    <n v="2049796.31"/>
  </r>
  <r>
    <s v="SHP-00332"/>
    <s v="2025-06-19"/>
    <x v="9"/>
    <x v="4"/>
    <x v="2"/>
    <x v="1"/>
    <s v="TRK-016"/>
    <s v="K. Barasa"/>
    <n v="1102"/>
    <n v="350.25"/>
    <n v="385975.5"/>
    <n v="222"/>
    <s v="2025-06-20"/>
    <d v="2025-06-01T00:00:00"/>
    <s v="2025-06-22"/>
    <s v="June 2025"/>
    <x v="0"/>
    <n v="8433.7800000000007"/>
    <n v="394409.28"/>
  </r>
  <r>
    <s v="SHP-00333"/>
    <s v="2025-12-13"/>
    <x v="8"/>
    <x v="7"/>
    <x v="4"/>
    <x v="0"/>
    <s v="TRK-011"/>
    <s v="E. Achieng"/>
    <n v="1231"/>
    <n v="254.76"/>
    <n v="313609.56"/>
    <n v="82"/>
    <s v="2025-12-14"/>
    <d v="2025-12-01T00:00:00"/>
    <s v="2025-12-13"/>
    <s v="December 2025"/>
    <x v="1"/>
    <n v="4429.6099999999997"/>
    <n v="318039.17"/>
  </r>
  <r>
    <s v="SHP-00334"/>
    <s v="2025-09-20"/>
    <x v="11"/>
    <x v="3"/>
    <x v="5"/>
    <x v="0"/>
    <s v="TRK-025"/>
    <s v="E. Achieng"/>
    <n v="1161"/>
    <n v="761.8"/>
    <n v="884449.8"/>
    <n v="145"/>
    <s v="2025-09-21"/>
    <d v="2025-09-01T00:00:00"/>
    <s v="2025-09-20"/>
    <s v="September 2025"/>
    <x v="1"/>
    <n v="5184.8900000000003"/>
    <n v="889634.69000000006"/>
  </r>
  <r>
    <s v="SHP-00335"/>
    <s v="2025-10-25"/>
    <x v="5"/>
    <x v="6"/>
    <x v="4"/>
    <x v="3"/>
    <s v="TRK-007"/>
    <s v="L. Wekesa"/>
    <n v="1180"/>
    <n v="234.2"/>
    <n v="276356"/>
    <n v="449"/>
    <s v="2025-10-27"/>
    <d v="2025-10-01T00:00:00"/>
    <s v="2025-10-26"/>
    <s v="October 2025"/>
    <x v="1"/>
    <n v="24530.22"/>
    <n v="300886.21999999997"/>
  </r>
  <r>
    <s v="SHP-00336"/>
    <s v="2025-08-30"/>
    <x v="6"/>
    <x v="0"/>
    <x v="5"/>
    <x v="0"/>
    <s v="TRK-018"/>
    <s v="P. Maina"/>
    <n v="565"/>
    <n v="606.24"/>
    <n v="342525.6"/>
    <n v="149"/>
    <s v="2025-08-31"/>
    <d v="2025-08-01T00:00:00"/>
    <s v="2025-09-03"/>
    <s v="September 2025"/>
    <x v="0"/>
    <n v="6294.86"/>
    <n v="348820.45999999996"/>
  </r>
  <r>
    <s v="SHP-00337"/>
    <s v="2025-10-04"/>
    <x v="5"/>
    <x v="3"/>
    <x v="4"/>
    <x v="0"/>
    <s v="TRK-001"/>
    <s v="D. Said"/>
    <n v="1004"/>
    <n v="119.08"/>
    <n v="119556.32"/>
    <n v="717"/>
    <s v="2025-10-07"/>
    <d v="2025-10-01T00:00:00"/>
    <s v="2025-10-08"/>
    <s v="October 2025"/>
    <x v="0"/>
    <n v="43845.25"/>
    <n v="163401.57"/>
  </r>
  <r>
    <s v="SHP-00338"/>
    <s v="2025-04-09"/>
    <x v="0"/>
    <x v="4"/>
    <x v="5"/>
    <x v="3"/>
    <s v="TRK-003"/>
    <s v="K. Barasa"/>
    <n v="869"/>
    <n v="806.62"/>
    <n v="700952.78"/>
    <n v="367"/>
    <s v="2025-04-11"/>
    <d v="2025-04-01T00:00:00"/>
    <s v="2025-04-15"/>
    <s v="April 2025"/>
    <x v="0"/>
    <n v="22665.11"/>
    <n v="723617.89"/>
  </r>
  <r>
    <s v="SHP-00339"/>
    <s v="2025-08-23"/>
    <x v="6"/>
    <x v="1"/>
    <x v="3"/>
    <x v="3"/>
    <s v="TRK-019"/>
    <s v="L. Wekesa"/>
    <n v="372"/>
    <n v="725.59"/>
    <n v="269919.48"/>
    <n v="237"/>
    <s v="2025-08-24"/>
    <d v="2025-08-01T00:00:00"/>
    <s v="2025-08-24"/>
    <s v="August 2025"/>
    <x v="1"/>
    <n v="0"/>
    <n v="269919.48"/>
  </r>
  <r>
    <s v="SHP-00340"/>
    <s v="2025-10-26"/>
    <x v="5"/>
    <x v="7"/>
    <x v="0"/>
    <x v="1"/>
    <s v="TRK-015"/>
    <s v="P. Maina"/>
    <n v="551"/>
    <n v="472.14"/>
    <n v="260149.14"/>
    <n v="609"/>
    <s v="2025-10-28"/>
    <d v="2025-10-01T00:00:00"/>
    <s v="2025-10-30"/>
    <s v="October 2025"/>
    <x v="0"/>
    <n v="22776.240000000002"/>
    <n v="282925.38"/>
  </r>
  <r>
    <s v="SHP-00341"/>
    <s v="2025-01-29"/>
    <x v="3"/>
    <x v="0"/>
    <x v="3"/>
    <x v="3"/>
    <s v="TRK-013"/>
    <s v="M. Otieno"/>
    <n v="1748"/>
    <n v="770.57"/>
    <n v="1346956.36"/>
    <n v="63"/>
    <s v="2025-01-30"/>
    <d v="2025-01-01T00:00:00"/>
    <s v="2025-01-30"/>
    <s v="January 2025"/>
    <x v="1"/>
    <n v="3643.96"/>
    <n v="1350600.32"/>
  </r>
  <r>
    <s v="SHP-00342"/>
    <s v="2025-01-16"/>
    <x v="3"/>
    <x v="6"/>
    <x v="4"/>
    <x v="3"/>
    <s v="TRK-025"/>
    <s v="B. Kiprono"/>
    <n v="2383"/>
    <n v="175.55"/>
    <n v="418335.65"/>
    <n v="112"/>
    <s v="2025-01-17"/>
    <d v="2025-01-01T00:00:00"/>
    <s v="2025-01-18"/>
    <s v="January 2025"/>
    <x v="0"/>
    <n v="6056.42"/>
    <n v="424392.07"/>
  </r>
  <r>
    <s v="SHP-00343"/>
    <s v="2025-11-18"/>
    <x v="2"/>
    <x v="6"/>
    <x v="4"/>
    <x v="3"/>
    <s v="TRK-012"/>
    <s v="E. Achieng"/>
    <n v="1247"/>
    <n v="558.28"/>
    <n v="696175.16"/>
    <n v="709"/>
    <s v="2025-11-21"/>
    <d v="2025-11-01T00:00:00"/>
    <s v="2025-11-24"/>
    <s v="November 2025"/>
    <x v="0"/>
    <n v="26918.86"/>
    <n v="723094.02"/>
  </r>
  <r>
    <s v="SHP-00344"/>
    <s v="2025-08-11"/>
    <x v="6"/>
    <x v="3"/>
    <x v="3"/>
    <x v="2"/>
    <s v="TRK-020"/>
    <s v="M. Otieno"/>
    <n v="1514"/>
    <n v="202.57"/>
    <n v="306690.98"/>
    <n v="614"/>
    <s v="2025-08-13"/>
    <d v="2025-08-01T00:00:00"/>
    <s v="2025-08-13"/>
    <s v="August 2025"/>
    <x v="1"/>
    <n v="25631.59"/>
    <n v="332322.57"/>
  </r>
  <r>
    <s v="SHP-00345"/>
    <s v="2025-06-14"/>
    <x v="9"/>
    <x v="7"/>
    <x v="0"/>
    <x v="1"/>
    <s v="TRK-013"/>
    <s v="K. Barasa"/>
    <n v="1120"/>
    <n v="863.76"/>
    <n v="967411.19999999995"/>
    <n v="204"/>
    <s v="2025-06-15"/>
    <d v="2025-06-01T00:00:00"/>
    <s v="2025-06-17"/>
    <s v="June 2025"/>
    <x v="0"/>
    <n v="9227.7900000000009"/>
    <n v="976638.99"/>
  </r>
  <r>
    <s v="SHP-00346"/>
    <s v="2025-04-07"/>
    <x v="0"/>
    <x v="5"/>
    <x v="1"/>
    <x v="0"/>
    <s v="TRK-005"/>
    <s v="P. Maina"/>
    <n v="1097"/>
    <n v="333.09"/>
    <n v="365399.73"/>
    <n v="339"/>
    <s v="2025-04-08"/>
    <d v="2025-04-01T00:00:00"/>
    <s v="2025-04-11"/>
    <s v="April 2025"/>
    <x v="0"/>
    <n v="20153.89"/>
    <n v="385553.62"/>
  </r>
  <r>
    <s v="SHP-00347"/>
    <s v="2025-02-03"/>
    <x v="1"/>
    <x v="7"/>
    <x v="4"/>
    <x v="0"/>
    <s v="TRK-010"/>
    <s v="S. Chebet"/>
    <n v="2208"/>
    <n v="431.28"/>
    <n v="952266.23999999999"/>
    <n v="305"/>
    <s v="2025-02-04"/>
    <d v="2025-02-01T00:00:00"/>
    <s v="2025-02-08"/>
    <s v="February 2025"/>
    <x v="0"/>
    <n v="16662.259999999998"/>
    <n v="968928.5"/>
  </r>
  <r>
    <s v="SHP-00348"/>
    <s v="2025-07-03"/>
    <x v="7"/>
    <x v="6"/>
    <x v="2"/>
    <x v="0"/>
    <s v="TRK-004"/>
    <s v="K. Barasa"/>
    <n v="1262"/>
    <n v="633.92999999999995"/>
    <n v="800019.66"/>
    <n v="657"/>
    <s v="2025-07-05"/>
    <d v="2025-07-01T00:00:00"/>
    <s v="2025-07-08"/>
    <s v="July 2025"/>
    <x v="0"/>
    <n v="30679.37"/>
    <n v="830699.03"/>
  </r>
  <r>
    <s v="SHP-00349"/>
    <s v="2025-10-13"/>
    <x v="5"/>
    <x v="6"/>
    <x v="2"/>
    <x v="1"/>
    <s v="TRK-018"/>
    <s v="E. Achieng"/>
    <n v="720"/>
    <n v="472.4"/>
    <n v="340128"/>
    <n v="261"/>
    <s v="2025-10-14"/>
    <d v="2025-10-01T00:00:00"/>
    <s v="2025-10-15"/>
    <s v="October 2025"/>
    <x v="0"/>
    <n v="12461.58"/>
    <n v="352589.58"/>
  </r>
  <r>
    <s v="SHP-00350"/>
    <s v="2025-07-26"/>
    <x v="7"/>
    <x v="3"/>
    <x v="3"/>
    <x v="0"/>
    <s v="TRK-024"/>
    <s v="S. Chebet"/>
    <n v="903"/>
    <n v="591.69000000000005"/>
    <n v="534296.06999999995"/>
    <n v="663"/>
    <s v="2025-07-28"/>
    <d v="2025-07-01T00:00:00"/>
    <s v="2025-07-31"/>
    <s v="July 2025"/>
    <x v="0"/>
    <n v="29631.69"/>
    <n v="563927.75999999989"/>
  </r>
  <r>
    <s v="SHP-00351"/>
    <s v="2025-08-17"/>
    <x v="6"/>
    <x v="2"/>
    <x v="0"/>
    <x v="0"/>
    <s v="TRK-006"/>
    <s v="A. Hassan"/>
    <n v="1110"/>
    <n v="220.85"/>
    <n v="245143.5"/>
    <n v="285"/>
    <s v="2025-08-18"/>
    <d v="2025-08-01T00:00:00"/>
    <s v="2025-08-22"/>
    <s v="August 2025"/>
    <x v="0"/>
    <n v="10372.120000000001"/>
    <n v="255515.62"/>
  </r>
  <r>
    <s v="SHP-00352"/>
    <s v="2025-04-24"/>
    <x v="0"/>
    <x v="2"/>
    <x v="2"/>
    <x v="2"/>
    <s v="TRK-007"/>
    <s v="M. Otieno"/>
    <n v="2435"/>
    <n v="646.76"/>
    <n v="1574860.6"/>
    <n v="609"/>
    <s v="2025-04-26"/>
    <d v="2025-04-01T00:00:00"/>
    <s v="2025-04-26"/>
    <s v="April 2025"/>
    <x v="1"/>
    <n v="35714.559999999998"/>
    <n v="1610575.1600000001"/>
  </r>
  <r>
    <s v="SHP-00353"/>
    <s v="2025-04-03"/>
    <x v="0"/>
    <x v="1"/>
    <x v="4"/>
    <x v="3"/>
    <s v="TRK-028"/>
    <s v="E. Achieng"/>
    <n v="764"/>
    <n v="440.71"/>
    <n v="336702.44"/>
    <n v="376"/>
    <s v="2025-04-05"/>
    <d v="2025-04-01T00:00:00"/>
    <s v="2025-04-07"/>
    <s v="April 2025"/>
    <x v="0"/>
    <n v="20805.560000000001"/>
    <n v="357508"/>
  </r>
  <r>
    <s v="SHP-00354"/>
    <s v="2025-08-12"/>
    <x v="6"/>
    <x v="5"/>
    <x v="4"/>
    <x v="3"/>
    <s v="TRK-010"/>
    <s v="M. Otieno"/>
    <n v="474"/>
    <n v="795.18"/>
    <n v="376915.32"/>
    <n v="381"/>
    <s v="2025-08-14"/>
    <d v="2025-08-01T00:00:00"/>
    <s v="2025-08-18"/>
    <s v="August 2025"/>
    <x v="0"/>
    <n v="15409.27"/>
    <n v="392324.59"/>
  </r>
  <r>
    <s v="SHP-00355"/>
    <s v="2025-06-02"/>
    <x v="9"/>
    <x v="7"/>
    <x v="5"/>
    <x v="0"/>
    <s v="TRK-024"/>
    <s v="B. Kiprono"/>
    <n v="384"/>
    <n v="580.25"/>
    <n v="222816"/>
    <n v="709"/>
    <s v="2025-06-05"/>
    <d v="2025-06-01T00:00:00"/>
    <s v="2025-06-06"/>
    <s v="June 2025"/>
    <x v="0"/>
    <n v="39344.25"/>
    <n v="262160.25"/>
  </r>
  <r>
    <s v="SHP-00356"/>
    <s v="2025-06-17"/>
    <x v="9"/>
    <x v="5"/>
    <x v="3"/>
    <x v="2"/>
    <s v="TRK-005"/>
    <s v="L. Wekesa"/>
    <n v="1994"/>
    <n v="177.96"/>
    <n v="354852.24"/>
    <n v="30"/>
    <s v="2025-06-18"/>
    <d v="2025-06-01T00:00:00"/>
    <s v="2025-06-18"/>
    <s v="June 2025"/>
    <x v="1"/>
    <n v="1218.22"/>
    <n v="356070.45999999996"/>
  </r>
  <r>
    <s v="SHP-00357"/>
    <s v="2025-02-08"/>
    <x v="1"/>
    <x v="3"/>
    <x v="3"/>
    <x v="3"/>
    <s v="TRK-029"/>
    <s v="L. Wekesa"/>
    <n v="55"/>
    <n v="493.56"/>
    <n v="27145.8"/>
    <n v="122"/>
    <s v="2025-02-09"/>
    <d v="2025-02-01T00:00:00"/>
    <s v="2025-02-13"/>
    <s v="February 2025"/>
    <x v="0"/>
    <n v="4957.6400000000003"/>
    <n v="32103.439999999999"/>
  </r>
  <r>
    <s v="SHP-00358"/>
    <s v="2025-06-16"/>
    <x v="9"/>
    <x v="4"/>
    <x v="0"/>
    <x v="1"/>
    <s v="TRK-011"/>
    <s v="B. Kiprono"/>
    <n v="1640"/>
    <n v="226.12"/>
    <n v="370836.8"/>
    <n v="312"/>
    <s v="2025-06-17"/>
    <d v="2025-06-01T00:00:00"/>
    <s v="2025-06-17"/>
    <s v="June 2025"/>
    <x v="1"/>
    <n v="18895.73"/>
    <n v="389732.52999999997"/>
  </r>
  <r>
    <s v="SHP-00359"/>
    <s v="2025-07-09"/>
    <x v="7"/>
    <x v="7"/>
    <x v="4"/>
    <x v="0"/>
    <s v="TRK-019"/>
    <s v="B. Kiprono"/>
    <n v="1359"/>
    <n v="179.65"/>
    <n v="244144.35"/>
    <n v="82"/>
    <s v="2025-07-10"/>
    <d v="2025-07-01T00:00:00"/>
    <s v="2025-07-14"/>
    <s v="July 2025"/>
    <x v="0"/>
    <n v="4399.66"/>
    <n v="248544.01"/>
  </r>
  <r>
    <s v="SHP-00360"/>
    <s v="2025-02-13"/>
    <x v="1"/>
    <x v="4"/>
    <x v="3"/>
    <x v="1"/>
    <s v="TRK-006"/>
    <s v="K. Barasa"/>
    <n v="886"/>
    <n v="496.29"/>
    <n v="439712.94"/>
    <n v="504"/>
    <s v="2025-02-15"/>
    <d v="2025-02-01T00:00:00"/>
    <s v="2025-02-14"/>
    <s v="February 2025"/>
    <x v="1"/>
    <n v="17946.439999999999"/>
    <n v="457659.38"/>
  </r>
  <r>
    <s v="SHP-00361"/>
    <s v="2025-04-14"/>
    <x v="0"/>
    <x v="4"/>
    <x v="1"/>
    <x v="0"/>
    <s v="TRK-023"/>
    <s v="P. Maina"/>
    <n v="330"/>
    <n v="382.72"/>
    <n v="126297.60000000001"/>
    <n v="106"/>
    <s v="2025-04-15"/>
    <d v="2025-04-01T00:00:00"/>
    <s v="2025-04-15"/>
    <s v="April 2025"/>
    <x v="1"/>
    <n v="4973.92"/>
    <n v="131271.52000000002"/>
  </r>
  <r>
    <s v="SHP-00362"/>
    <s v="2025-04-26"/>
    <x v="0"/>
    <x v="7"/>
    <x v="3"/>
    <x v="0"/>
    <s v="TRK-022"/>
    <s v="S. Chebet"/>
    <n v="317"/>
    <n v="828.74"/>
    <n v="262710.58"/>
    <n v="382"/>
    <s v="2025-04-28"/>
    <d v="2025-04-01T00:00:00"/>
    <s v="2025-04-29"/>
    <s v="April 2025"/>
    <x v="0"/>
    <n v="16610.63"/>
    <n v="279321.21000000002"/>
  </r>
  <r>
    <s v="SHP-00363"/>
    <s v="2025-11-15"/>
    <x v="2"/>
    <x v="5"/>
    <x v="0"/>
    <x v="1"/>
    <s v="TRK-012"/>
    <s v="J. Mutua"/>
    <n v="2143"/>
    <n v="536.64"/>
    <n v="1150019.52"/>
    <n v="542"/>
    <s v="2025-11-17"/>
    <d v="2025-11-01T00:00:00"/>
    <s v="2025-11-20"/>
    <s v="November 2025"/>
    <x v="0"/>
    <n v="30864.54"/>
    <n v="1180884.06"/>
  </r>
  <r>
    <s v="SHP-00364"/>
    <s v="2025-11-08"/>
    <x v="2"/>
    <x v="5"/>
    <x v="2"/>
    <x v="3"/>
    <s v="TRK-006"/>
    <s v="B. Kiprono"/>
    <n v="602"/>
    <n v="175.92"/>
    <n v="105903.84"/>
    <n v="191"/>
    <s v="2025-11-09"/>
    <d v="2025-11-01T00:00:00"/>
    <s v="2025-11-11"/>
    <s v="November 2025"/>
    <x v="0"/>
    <n v="10607.55"/>
    <n v="116511.39"/>
  </r>
  <r>
    <s v="SHP-00365"/>
    <s v="2025-02-11"/>
    <x v="1"/>
    <x v="3"/>
    <x v="3"/>
    <x v="0"/>
    <s v="TRK-029"/>
    <s v="E. Achieng"/>
    <n v="773"/>
    <n v="288.38"/>
    <n v="222917.74"/>
    <n v="665"/>
    <s v="2025-02-13"/>
    <d v="2025-02-01T00:00:00"/>
    <s v="2025-02-15"/>
    <s v="February 2025"/>
    <x v="0"/>
    <n v="36682.550000000003"/>
    <n v="259600.28999999998"/>
  </r>
  <r>
    <s v="SHP-00366"/>
    <s v="2025-09-27"/>
    <x v="11"/>
    <x v="2"/>
    <x v="3"/>
    <x v="3"/>
    <s v="TRK-024"/>
    <s v="M. Otieno"/>
    <n v="1206"/>
    <n v="663.85"/>
    <n v="800603.1"/>
    <n v="585"/>
    <s v="2025-09-29"/>
    <d v="2025-09-01T00:00:00"/>
    <s v="2025-09-29"/>
    <s v="September 2025"/>
    <x v="1"/>
    <n v="32145.03"/>
    <n v="832748.13"/>
  </r>
  <r>
    <s v="SHP-00367"/>
    <s v="2025-05-02"/>
    <x v="10"/>
    <x v="6"/>
    <x v="2"/>
    <x v="3"/>
    <s v="TRK-027"/>
    <s v="B. Kiprono"/>
    <n v="1802"/>
    <n v="272.95"/>
    <n v="491855.9"/>
    <n v="44"/>
    <s v="2025-05-03"/>
    <d v="2025-05-01T00:00:00"/>
    <s v="2025-05-03"/>
    <s v="May 2025"/>
    <x v="1"/>
    <n v="2414.34"/>
    <n v="494270.24000000005"/>
  </r>
  <r>
    <s v="SHP-00368"/>
    <s v="2025-08-14"/>
    <x v="6"/>
    <x v="0"/>
    <x v="2"/>
    <x v="0"/>
    <s v="TRK-030"/>
    <s v="K. Barasa"/>
    <n v="2388"/>
    <n v="785.64"/>
    <n v="1876108.32"/>
    <n v="578"/>
    <s v="2025-08-16"/>
    <d v="2025-08-01T00:00:00"/>
    <s v="2025-08-20"/>
    <s v="August 2025"/>
    <x v="0"/>
    <n v="29101.03"/>
    <n v="1905209.35"/>
  </r>
  <r>
    <s v="SHP-00369"/>
    <s v="2025-07-30"/>
    <x v="7"/>
    <x v="7"/>
    <x v="2"/>
    <x v="1"/>
    <s v="TRK-021"/>
    <s v="A. Hassan"/>
    <n v="331"/>
    <n v="83.84"/>
    <n v="27751.040000000001"/>
    <n v="652"/>
    <s v="2025-08-01"/>
    <d v="2025-08-01T00:00:00"/>
    <s v="2025-08-01"/>
    <s v="August 2025"/>
    <x v="1"/>
    <n v="28940.42"/>
    <n v="56691.46"/>
  </r>
  <r>
    <s v="SHP-00370"/>
    <s v="2025-09-11"/>
    <x v="11"/>
    <x v="4"/>
    <x v="0"/>
    <x v="0"/>
    <s v="TRK-029"/>
    <s v="B. Kiprono"/>
    <n v="1906"/>
    <n v="442.79"/>
    <n v="843957.74"/>
    <n v="713"/>
    <s v="2025-09-14"/>
    <d v="2025-09-01T00:00:00"/>
    <s v="2025-09-18"/>
    <s v="September 2025"/>
    <x v="0"/>
    <n v="42059.59"/>
    <n v="886017.33"/>
  </r>
  <r>
    <s v="SHP-00371"/>
    <s v="2025-11-28"/>
    <x v="2"/>
    <x v="7"/>
    <x v="1"/>
    <x v="1"/>
    <s v="TRK-017"/>
    <s v="E. Achieng"/>
    <n v="673"/>
    <n v="608.5"/>
    <n v="409520.5"/>
    <n v="338"/>
    <s v="2025-11-29"/>
    <d v="2025-11-01T00:00:00"/>
    <s v="2025-11-29"/>
    <s v="November 2025"/>
    <x v="1"/>
    <n v="17896.919999999998"/>
    <n v="427417.42"/>
  </r>
  <r>
    <s v="SHP-00372"/>
    <s v="2025-05-02"/>
    <x v="10"/>
    <x v="3"/>
    <x v="0"/>
    <x v="2"/>
    <s v="TRK-017"/>
    <s v="K. Barasa"/>
    <n v="2131"/>
    <n v="182.2"/>
    <n v="388268.2"/>
    <n v="244"/>
    <s v="2025-05-03"/>
    <d v="2025-05-01T00:00:00"/>
    <s v="2025-05-03"/>
    <s v="May 2025"/>
    <x v="1"/>
    <n v="11649.78"/>
    <n v="399917.98000000004"/>
  </r>
  <r>
    <s v="SHP-00373"/>
    <s v="2025-03-09"/>
    <x v="4"/>
    <x v="2"/>
    <x v="2"/>
    <x v="0"/>
    <s v="TRK-025"/>
    <s v="E. Achieng"/>
    <n v="966"/>
    <n v="546.36"/>
    <n v="527783.76"/>
    <n v="489"/>
    <s v="2025-03-11"/>
    <d v="2025-03-01T00:00:00"/>
    <s v="2025-03-12"/>
    <s v="March 2025"/>
    <x v="0"/>
    <n v="28700.14"/>
    <n v="556483.9"/>
  </r>
  <r>
    <s v="SHP-00374"/>
    <s v="2025-12-02"/>
    <x v="8"/>
    <x v="1"/>
    <x v="0"/>
    <x v="0"/>
    <s v="TRK-006"/>
    <s v="B. Kiprono"/>
    <n v="1944"/>
    <n v="79.83"/>
    <n v="155189.51999999999"/>
    <n v="648"/>
    <s v="2025-12-04"/>
    <d v="2025-12-01T00:00:00"/>
    <s v="2025-12-05"/>
    <s v="December 2025"/>
    <x v="0"/>
    <n v="32746.39"/>
    <n v="187935.90999999997"/>
  </r>
  <r>
    <s v="SHP-00375"/>
    <s v="2025-10-05"/>
    <x v="5"/>
    <x v="1"/>
    <x v="4"/>
    <x v="1"/>
    <s v="TRK-012"/>
    <s v="K. Barasa"/>
    <n v="1977"/>
    <n v="171.92"/>
    <n v="339885.84"/>
    <n v="564"/>
    <s v="2025-10-07"/>
    <d v="2025-10-01T00:00:00"/>
    <s v="2025-10-07"/>
    <s v="October 2025"/>
    <x v="1"/>
    <n v="26888.71"/>
    <n v="366774.55000000005"/>
  </r>
  <r>
    <s v="SHP-00376"/>
    <s v="2025-08-21"/>
    <x v="6"/>
    <x v="2"/>
    <x v="0"/>
    <x v="0"/>
    <s v="TRK-003"/>
    <s v="J. Mutua"/>
    <n v="1843"/>
    <n v="601.80999999999995"/>
    <n v="1109135.83"/>
    <n v="548"/>
    <s v="2025-08-23"/>
    <d v="2025-08-01T00:00:00"/>
    <s v="2025-08-27"/>
    <s v="August 2025"/>
    <x v="0"/>
    <n v="25818.53"/>
    <n v="1134954.3600000001"/>
  </r>
  <r>
    <s v="SHP-00377"/>
    <s v="2025-05-11"/>
    <x v="10"/>
    <x v="4"/>
    <x v="1"/>
    <x v="3"/>
    <s v="TRK-022"/>
    <s v="L. Wekesa"/>
    <n v="158"/>
    <n v="232.75"/>
    <n v="36774.5"/>
    <n v="85"/>
    <s v="2025-05-12"/>
    <d v="2025-05-01T00:00:00"/>
    <s v="2025-05-12"/>
    <s v="May 2025"/>
    <x v="1"/>
    <n v="3035.58"/>
    <n v="39810.080000000002"/>
  </r>
  <r>
    <s v="SHP-00378"/>
    <s v="2025-01-05"/>
    <x v="3"/>
    <x v="4"/>
    <x v="0"/>
    <x v="1"/>
    <s v="TRK-030"/>
    <s v="D. Said"/>
    <n v="1307"/>
    <n v="116.48"/>
    <n v="152239.35999999999"/>
    <n v="220"/>
    <s v="2025-01-06"/>
    <d v="2025-01-01T00:00:00"/>
    <s v="2025-01-08"/>
    <s v="January 2025"/>
    <x v="0"/>
    <n v="8000.96"/>
    <n v="160240.31999999998"/>
  </r>
  <r>
    <s v="SHP-00379"/>
    <s v="2025-07-02"/>
    <x v="7"/>
    <x v="6"/>
    <x v="5"/>
    <x v="2"/>
    <s v="TRK-004"/>
    <s v="E. Achieng"/>
    <n v="1149"/>
    <n v="191.75"/>
    <n v="220320.75"/>
    <n v="342"/>
    <s v="2025-07-03"/>
    <d v="2025-07-01T00:00:00"/>
    <s v="2025-07-04"/>
    <s v="July 2025"/>
    <x v="0"/>
    <n v="18829.63"/>
    <n v="239150.38"/>
  </r>
  <r>
    <s v="SHP-00380"/>
    <s v="2025-04-10"/>
    <x v="0"/>
    <x v="7"/>
    <x v="4"/>
    <x v="2"/>
    <s v="TRK-019"/>
    <s v="E. Achieng"/>
    <n v="2237"/>
    <n v="255.91"/>
    <n v="572470.67000000004"/>
    <n v="124"/>
    <s v="2025-04-11"/>
    <d v="2025-04-01T00:00:00"/>
    <s v="2025-04-11"/>
    <s v="April 2025"/>
    <x v="1"/>
    <n v="7171.69"/>
    <n v="579642.36"/>
  </r>
  <r>
    <s v="SHP-00381"/>
    <s v="2025-12-18"/>
    <x v="8"/>
    <x v="1"/>
    <x v="0"/>
    <x v="1"/>
    <s v="TRK-012"/>
    <s v="B. Kiprono"/>
    <n v="137"/>
    <n v="523.38"/>
    <n v="71703.06"/>
    <n v="45"/>
    <s v="2025-12-19"/>
    <d v="2025-12-01T00:00:00"/>
    <s v="2025-12-22"/>
    <s v="December 2025"/>
    <x v="0"/>
    <n v="1866.95"/>
    <n v="73570.009999999995"/>
  </r>
  <r>
    <s v="SHP-00382"/>
    <s v="2025-01-31"/>
    <x v="3"/>
    <x v="3"/>
    <x v="2"/>
    <x v="2"/>
    <s v="TRK-013"/>
    <s v="L. Wekesa"/>
    <n v="2108"/>
    <n v="112.16"/>
    <n v="236433.28"/>
    <n v="581"/>
    <s v="2025-02-02"/>
    <d v="2025-02-01T00:00:00"/>
    <s v="2025-02-05"/>
    <s v="February 2025"/>
    <x v="0"/>
    <n v="22603.11"/>
    <n v="259036.39"/>
  </r>
  <r>
    <s v="SHP-00383"/>
    <s v="2025-08-02"/>
    <x v="6"/>
    <x v="0"/>
    <x v="3"/>
    <x v="2"/>
    <s v="TRK-016"/>
    <s v="D. Said"/>
    <n v="2195"/>
    <n v="241.42"/>
    <n v="529916.9"/>
    <n v="105"/>
    <s v="2025-08-03"/>
    <d v="2025-08-01T00:00:00"/>
    <s v="2025-08-02"/>
    <s v="August 2025"/>
    <x v="1"/>
    <n v="6352.12"/>
    <n v="536269.02"/>
  </r>
  <r>
    <s v="SHP-00384"/>
    <s v="2025-08-07"/>
    <x v="6"/>
    <x v="6"/>
    <x v="2"/>
    <x v="0"/>
    <s v="TRK-015"/>
    <s v="A. Hassan"/>
    <n v="1123"/>
    <n v="635.23"/>
    <n v="713363.29"/>
    <n v="521"/>
    <s v="2025-08-09"/>
    <d v="2025-08-01T00:00:00"/>
    <s v="2025-08-10"/>
    <s v="August 2025"/>
    <x v="0"/>
    <n v="30871.98"/>
    <n v="744235.27"/>
  </r>
  <r>
    <s v="SHP-00385"/>
    <s v="2025-04-18"/>
    <x v="0"/>
    <x v="2"/>
    <x v="5"/>
    <x v="2"/>
    <s v="TRK-007"/>
    <s v="A. Hassan"/>
    <n v="1764"/>
    <n v="500.27"/>
    <n v="882476.28"/>
    <n v="648"/>
    <s v="2025-04-20"/>
    <d v="2025-04-01T00:00:00"/>
    <s v="2025-04-20"/>
    <s v="April 2025"/>
    <x v="1"/>
    <n v="33610.870000000003"/>
    <n v="916087.15"/>
  </r>
  <r>
    <s v="SHP-00386"/>
    <s v="2025-03-14"/>
    <x v="4"/>
    <x v="1"/>
    <x v="1"/>
    <x v="2"/>
    <s v="TRK-020"/>
    <s v="M. Otieno"/>
    <n v="1137"/>
    <n v="692.76"/>
    <n v="787668.12"/>
    <n v="307"/>
    <s v="2025-03-15"/>
    <d v="2025-03-01T00:00:00"/>
    <s v="2025-03-18"/>
    <s v="March 2025"/>
    <x v="0"/>
    <n v="15732.98"/>
    <n v="803401.1"/>
  </r>
  <r>
    <s v="SHP-00387"/>
    <s v="2025-08-11"/>
    <x v="6"/>
    <x v="2"/>
    <x v="0"/>
    <x v="2"/>
    <s v="TRK-024"/>
    <s v="M. Otieno"/>
    <n v="1886"/>
    <n v="197.23"/>
    <n v="371975.78"/>
    <n v="257"/>
    <s v="2025-08-12"/>
    <d v="2025-08-01T00:00:00"/>
    <s v="2025-08-11"/>
    <s v="August 2025"/>
    <x v="1"/>
    <n v="15703.19"/>
    <n v="387678.97000000003"/>
  </r>
  <r>
    <s v="SHP-00388"/>
    <s v="2025-11-07"/>
    <x v="2"/>
    <x v="5"/>
    <x v="4"/>
    <x v="1"/>
    <s v="TRK-016"/>
    <s v="L. Wekesa"/>
    <n v="2167"/>
    <n v="484.21"/>
    <n v="1049283.07"/>
    <n v="490"/>
    <s v="2025-11-09"/>
    <d v="2025-11-01T00:00:00"/>
    <s v="2025-11-09"/>
    <s v="November 2025"/>
    <x v="1"/>
    <n v="27778.31"/>
    <n v="1077061.3800000001"/>
  </r>
  <r>
    <s v="SHP-00389"/>
    <s v="2025-12-27"/>
    <x v="8"/>
    <x v="1"/>
    <x v="4"/>
    <x v="1"/>
    <s v="TRK-001"/>
    <s v="L. Wekesa"/>
    <n v="2499"/>
    <n v="343.47"/>
    <n v="858331.53"/>
    <n v="565"/>
    <s v="2025-12-29"/>
    <d v="2025-12-01T00:00:00"/>
    <s v="2025-12-28"/>
    <s v="December 2025"/>
    <x v="1"/>
    <n v="25786.17"/>
    <n v="884117.70000000007"/>
  </r>
  <r>
    <s v="SHP-00390"/>
    <s v="2025-07-20"/>
    <x v="7"/>
    <x v="6"/>
    <x v="1"/>
    <x v="0"/>
    <s v="TRK-005"/>
    <s v="E. Achieng"/>
    <n v="92"/>
    <n v="142.81"/>
    <n v="13138.52"/>
    <n v="718"/>
    <s v="2025-07-23"/>
    <d v="2025-07-01T00:00:00"/>
    <s v="2025-07-25"/>
    <s v="July 2025"/>
    <x v="0"/>
    <n v="27177.25"/>
    <n v="40315.770000000004"/>
  </r>
  <r>
    <s v="SHP-00391"/>
    <s v="2025-08-11"/>
    <x v="6"/>
    <x v="6"/>
    <x v="2"/>
    <x v="0"/>
    <s v="TRK-002"/>
    <s v="A. Hassan"/>
    <n v="2172"/>
    <n v="234.05"/>
    <n v="508356.6"/>
    <n v="399"/>
    <s v="2025-08-13"/>
    <d v="2025-08-01T00:00:00"/>
    <s v="2025-08-15"/>
    <s v="August 2025"/>
    <x v="0"/>
    <n v="16729.53"/>
    <n v="525086.13"/>
  </r>
  <r>
    <s v="SHP-00392"/>
    <s v="2025-06-04"/>
    <x v="9"/>
    <x v="7"/>
    <x v="1"/>
    <x v="1"/>
    <s v="TRK-020"/>
    <s v="B. Kiprono"/>
    <n v="1298"/>
    <n v="140.43"/>
    <n v="182278.14"/>
    <n v="143"/>
    <s v="2025-06-05"/>
    <d v="2025-06-01T00:00:00"/>
    <s v="2025-06-05"/>
    <s v="June 2025"/>
    <x v="1"/>
    <n v="8293.2199999999993"/>
    <n v="190571.36000000002"/>
  </r>
  <r>
    <s v="SHP-00393"/>
    <s v="2025-12-10"/>
    <x v="8"/>
    <x v="6"/>
    <x v="4"/>
    <x v="2"/>
    <s v="TRK-003"/>
    <s v="L. Wekesa"/>
    <n v="650"/>
    <n v="273.26"/>
    <n v="177619"/>
    <n v="425"/>
    <s v="2025-12-12"/>
    <d v="2025-12-01T00:00:00"/>
    <s v="2025-12-11"/>
    <s v="December 2025"/>
    <x v="1"/>
    <n v="19785.310000000001"/>
    <n v="197404.31"/>
  </r>
  <r>
    <s v="SHP-00394"/>
    <s v="2025-08-14"/>
    <x v="6"/>
    <x v="5"/>
    <x v="2"/>
    <x v="1"/>
    <s v="TRK-028"/>
    <s v="D. Said"/>
    <n v="80"/>
    <n v="822.87"/>
    <n v="65829.600000000006"/>
    <n v="712"/>
    <s v="2025-08-17"/>
    <d v="2025-08-01T00:00:00"/>
    <s v="2025-08-17"/>
    <s v="August 2025"/>
    <x v="1"/>
    <n v="38375.769999999997"/>
    <n v="104205.37"/>
  </r>
  <r>
    <s v="SHP-00395"/>
    <s v="2025-08-30"/>
    <x v="6"/>
    <x v="1"/>
    <x v="1"/>
    <x v="1"/>
    <s v="TRK-020"/>
    <s v="A. Hassan"/>
    <n v="1709"/>
    <n v="96.7"/>
    <n v="165260.29999999999"/>
    <n v="456"/>
    <s v="2025-09-01"/>
    <d v="2025-09-01T00:00:00"/>
    <s v="2025-09-04"/>
    <s v="September 2025"/>
    <x v="0"/>
    <n v="19197"/>
    <n v="184457.3"/>
  </r>
  <r>
    <s v="SHP-00396"/>
    <s v="2025-06-28"/>
    <x v="9"/>
    <x v="1"/>
    <x v="2"/>
    <x v="2"/>
    <s v="TRK-006"/>
    <s v="S. Chebet"/>
    <n v="349"/>
    <n v="645.59"/>
    <n v="225310.91"/>
    <n v="245"/>
    <s v="2025-06-29"/>
    <d v="2025-06-01T00:00:00"/>
    <s v="2025-06-28"/>
    <s v="June 2025"/>
    <x v="1"/>
    <n v="13987.75"/>
    <n v="239298.66"/>
  </r>
  <r>
    <s v="SHP-00397"/>
    <s v="2025-08-05"/>
    <x v="6"/>
    <x v="5"/>
    <x v="2"/>
    <x v="3"/>
    <s v="TRK-008"/>
    <s v="P. Maina"/>
    <n v="555"/>
    <n v="334.87"/>
    <n v="185852.85"/>
    <n v="533"/>
    <s v="2025-08-07"/>
    <d v="2025-08-01T00:00:00"/>
    <s v="2025-08-06"/>
    <s v="August 2025"/>
    <x v="1"/>
    <n v="19024.900000000001"/>
    <n v="204877.75"/>
  </r>
  <r>
    <s v="SHP-00398"/>
    <s v="2025-12-09"/>
    <x v="8"/>
    <x v="0"/>
    <x v="1"/>
    <x v="3"/>
    <s v="TRK-001"/>
    <s v="L. Wekesa"/>
    <n v="2296"/>
    <n v="311.23"/>
    <n v="714584.08"/>
    <n v="538"/>
    <s v="2025-12-11"/>
    <d v="2025-12-01T00:00:00"/>
    <s v="2025-12-13"/>
    <s v="December 2025"/>
    <x v="0"/>
    <n v="26457.53"/>
    <n v="741041.61"/>
  </r>
  <r>
    <s v="SHP-00399"/>
    <s v="2025-04-17"/>
    <x v="0"/>
    <x v="0"/>
    <x v="1"/>
    <x v="3"/>
    <s v="TRK-006"/>
    <s v="D. Said"/>
    <n v="1326"/>
    <n v="367.26"/>
    <n v="486986.76"/>
    <n v="108"/>
    <s v="2025-04-18"/>
    <d v="2025-04-01T00:00:00"/>
    <s v="2025-04-21"/>
    <s v="April 2025"/>
    <x v="0"/>
    <n v="5017.04"/>
    <n v="492003.8"/>
  </r>
  <r>
    <s v="SHP-00400"/>
    <s v="2025-06-02"/>
    <x v="9"/>
    <x v="6"/>
    <x v="2"/>
    <x v="3"/>
    <s v="TRK-003"/>
    <s v="D. Said"/>
    <n v="864"/>
    <n v="800.42"/>
    <n v="691562.88"/>
    <n v="245"/>
    <s v="2025-06-03"/>
    <d v="2025-06-01T00:00:00"/>
    <s v="2025-06-03"/>
    <s v="June 2025"/>
    <x v="1"/>
    <n v="13308.89"/>
    <n v="704871.77"/>
  </r>
  <r>
    <s v="SHP-00401"/>
    <s v="2025-10-16"/>
    <x v="5"/>
    <x v="1"/>
    <x v="2"/>
    <x v="3"/>
    <s v="TRK-029"/>
    <s v="P. Maina"/>
    <n v="2026"/>
    <n v="452.83"/>
    <n v="917433.58"/>
    <n v="68"/>
    <s v="2025-10-17"/>
    <d v="2025-10-01T00:00:00"/>
    <s v="2025-10-17"/>
    <s v="October 2025"/>
    <x v="1"/>
    <n v="2968.77"/>
    <n v="920402.35"/>
  </r>
  <r>
    <s v="SHP-00402"/>
    <s v="2025-08-22"/>
    <x v="6"/>
    <x v="0"/>
    <x v="3"/>
    <x v="3"/>
    <s v="TRK-023"/>
    <s v="E. Achieng"/>
    <n v="1300"/>
    <n v="417"/>
    <n v="542100"/>
    <n v="467"/>
    <s v="2025-08-24"/>
    <d v="2025-08-01T00:00:00"/>
    <s v="2025-08-24"/>
    <s v="August 2025"/>
    <x v="1"/>
    <n v="27588.47"/>
    <n v="569688.47"/>
  </r>
  <r>
    <s v="SHP-00403"/>
    <s v="2025-08-25"/>
    <x v="6"/>
    <x v="0"/>
    <x v="1"/>
    <x v="1"/>
    <s v="TRK-026"/>
    <s v="P. Maina"/>
    <n v="138"/>
    <n v="436.02"/>
    <n v="60170.76"/>
    <n v="428"/>
    <s v="2025-08-27"/>
    <d v="2025-08-01T00:00:00"/>
    <s v="2025-08-28"/>
    <s v="August 2025"/>
    <x v="0"/>
    <n v="24507.74"/>
    <n v="84678.5"/>
  </r>
  <r>
    <s v="SHP-00404"/>
    <s v="2025-07-18"/>
    <x v="7"/>
    <x v="4"/>
    <x v="2"/>
    <x v="3"/>
    <s v="TRK-014"/>
    <s v="A. Hassan"/>
    <n v="595"/>
    <n v="346.65"/>
    <n v="206256.75"/>
    <n v="34"/>
    <s v="2025-07-19"/>
    <d v="2025-07-01T00:00:00"/>
    <s v="2025-07-20"/>
    <s v="July 2025"/>
    <x v="0"/>
    <n v="1626.5"/>
    <n v="207883.25"/>
  </r>
  <r>
    <s v="SHP-00405"/>
    <s v="2025-08-03"/>
    <x v="6"/>
    <x v="7"/>
    <x v="0"/>
    <x v="0"/>
    <s v="TRK-030"/>
    <s v="M. Otieno"/>
    <n v="1155"/>
    <n v="95.27"/>
    <n v="110036.85"/>
    <n v="150"/>
    <s v="2025-08-04"/>
    <d v="2025-08-01T00:00:00"/>
    <s v="2025-08-04"/>
    <s v="August 2025"/>
    <x v="1"/>
    <n v="6381.73"/>
    <n v="116418.58"/>
  </r>
  <r>
    <s v="SHP-00406"/>
    <s v="2025-09-23"/>
    <x v="11"/>
    <x v="7"/>
    <x v="2"/>
    <x v="1"/>
    <s v="TRK-009"/>
    <s v="L. Wekesa"/>
    <n v="890"/>
    <n v="150.30000000000001"/>
    <n v="133767"/>
    <n v="364"/>
    <s v="2025-09-25"/>
    <d v="2025-09-01T00:00:00"/>
    <s v="2025-09-25"/>
    <s v="September 2025"/>
    <x v="1"/>
    <n v="18862.900000000001"/>
    <n v="152629.9"/>
  </r>
  <r>
    <s v="SHP-00407"/>
    <s v="2025-06-25"/>
    <x v="9"/>
    <x v="6"/>
    <x v="4"/>
    <x v="3"/>
    <s v="TRK-019"/>
    <s v="E. Achieng"/>
    <n v="2450"/>
    <n v="149.65"/>
    <n v="366642.5"/>
    <n v="256"/>
    <s v="2025-06-26"/>
    <d v="2025-06-01T00:00:00"/>
    <s v="2025-06-26"/>
    <s v="June 2025"/>
    <x v="1"/>
    <n v="12634.28"/>
    <n v="379276.78"/>
  </r>
  <r>
    <s v="SHP-00408"/>
    <s v="2025-08-02"/>
    <x v="6"/>
    <x v="3"/>
    <x v="2"/>
    <x v="3"/>
    <s v="TRK-013"/>
    <s v="L. Wekesa"/>
    <n v="1535"/>
    <n v="179.53"/>
    <n v="275578.55"/>
    <n v="122"/>
    <s v="2025-08-03"/>
    <d v="2025-08-01T00:00:00"/>
    <s v="2025-08-03"/>
    <s v="August 2025"/>
    <x v="1"/>
    <n v="6346.32"/>
    <n v="281924.87"/>
  </r>
  <r>
    <s v="SHP-00409"/>
    <s v="2025-01-15"/>
    <x v="3"/>
    <x v="4"/>
    <x v="0"/>
    <x v="2"/>
    <s v="TRK-004"/>
    <s v="A. Hassan"/>
    <n v="1586"/>
    <n v="762.49"/>
    <n v="1209309.1399999999"/>
    <n v="455"/>
    <s v="2025-01-17"/>
    <d v="2025-01-01T00:00:00"/>
    <s v="2025-01-19"/>
    <s v="January 2025"/>
    <x v="0"/>
    <n v="21446.58"/>
    <n v="1230755.72"/>
  </r>
  <r>
    <s v="SHP-00410"/>
    <s v="2025-11-03"/>
    <x v="2"/>
    <x v="0"/>
    <x v="4"/>
    <x v="2"/>
    <s v="TRK-009"/>
    <s v="E. Achieng"/>
    <n v="1014"/>
    <n v="369.07"/>
    <n v="374236.98"/>
    <n v="291"/>
    <s v="2025-11-04"/>
    <d v="2025-11-01T00:00:00"/>
    <s v="2025-11-04"/>
    <s v="November 2025"/>
    <x v="1"/>
    <n v="13244.87"/>
    <n v="387481.85"/>
  </r>
  <r>
    <s v="SHP-00411"/>
    <s v="2025-04-27"/>
    <x v="0"/>
    <x v="0"/>
    <x v="2"/>
    <x v="2"/>
    <s v="TRK-020"/>
    <s v="J. Mutua"/>
    <n v="134"/>
    <n v="280.24"/>
    <n v="37552.160000000003"/>
    <n v="116"/>
    <s v="2025-04-28"/>
    <d v="2025-04-01T00:00:00"/>
    <s v="2025-05-01"/>
    <s v="May 2025"/>
    <x v="0"/>
    <n v="5759.7"/>
    <n v="43311.86"/>
  </r>
  <r>
    <s v="SHP-00412"/>
    <s v="2025-10-05"/>
    <x v="5"/>
    <x v="0"/>
    <x v="1"/>
    <x v="1"/>
    <s v="TRK-018"/>
    <s v="E. Achieng"/>
    <n v="2143"/>
    <n v="725.64"/>
    <n v="1555046.52"/>
    <n v="340"/>
    <s v="2025-10-06"/>
    <d v="2025-10-01T00:00:00"/>
    <s v="2025-10-05"/>
    <s v="October 2025"/>
    <x v="1"/>
    <n v="17378.97"/>
    <n v="1572425.49"/>
  </r>
  <r>
    <s v="SHP-00413"/>
    <s v="2025-03-21"/>
    <x v="4"/>
    <x v="5"/>
    <x v="1"/>
    <x v="2"/>
    <s v="TRK-018"/>
    <s v="E. Achieng"/>
    <n v="1992"/>
    <n v="328.77"/>
    <n v="654909.84"/>
    <n v="219"/>
    <s v="2025-03-22"/>
    <d v="2025-03-01T00:00:00"/>
    <s v="2025-03-21"/>
    <s v="March 2025"/>
    <x v="1"/>
    <n v="7715.03"/>
    <n v="662624.87"/>
  </r>
  <r>
    <s v="SHP-00414"/>
    <s v="2025-12-17"/>
    <x v="8"/>
    <x v="5"/>
    <x v="3"/>
    <x v="2"/>
    <s v="TRK-019"/>
    <s v="S. Chebet"/>
    <n v="282"/>
    <n v="129.13999999999999"/>
    <n v="36417.480000000003"/>
    <n v="273"/>
    <s v="2025-12-18"/>
    <d v="2025-12-01T00:00:00"/>
    <s v="2025-12-18"/>
    <s v="December 2025"/>
    <x v="1"/>
    <n v="14655.15"/>
    <n v="51072.630000000005"/>
  </r>
  <r>
    <s v="SHP-00415"/>
    <s v="2025-03-10"/>
    <x v="4"/>
    <x v="0"/>
    <x v="4"/>
    <x v="0"/>
    <s v="TRK-028"/>
    <s v="M. Otieno"/>
    <n v="91"/>
    <n v="276.69"/>
    <n v="25178.79"/>
    <n v="35"/>
    <s v="2025-03-11"/>
    <d v="2025-03-01T00:00:00"/>
    <s v="2025-03-11"/>
    <s v="March 2025"/>
    <x v="1"/>
    <n v="1302"/>
    <n v="26480.79"/>
  </r>
  <r>
    <s v="SHP-00416"/>
    <s v="2025-05-13"/>
    <x v="10"/>
    <x v="2"/>
    <x v="0"/>
    <x v="0"/>
    <s v="TRK-004"/>
    <s v="L. Wekesa"/>
    <n v="2007"/>
    <n v="801.82"/>
    <n v="1609252.74"/>
    <n v="215"/>
    <s v="2025-05-14"/>
    <d v="2025-05-01T00:00:00"/>
    <s v="2025-05-13"/>
    <s v="May 2025"/>
    <x v="1"/>
    <n v="10956.24"/>
    <n v="1620208.98"/>
  </r>
  <r>
    <s v="SHP-00417"/>
    <s v="2025-08-05"/>
    <x v="6"/>
    <x v="0"/>
    <x v="3"/>
    <x v="3"/>
    <s v="TRK-006"/>
    <s v="P. Maina"/>
    <n v="2280"/>
    <n v="624.59"/>
    <n v="1424065.2"/>
    <n v="480"/>
    <s v="2025-08-07"/>
    <d v="2025-08-01T00:00:00"/>
    <s v="2025-08-10"/>
    <s v="August 2025"/>
    <x v="0"/>
    <n v="22966.76"/>
    <n v="1447031.96"/>
  </r>
  <r>
    <s v="SHP-00418"/>
    <s v="2025-06-27"/>
    <x v="9"/>
    <x v="6"/>
    <x v="5"/>
    <x v="0"/>
    <s v="TRK-016"/>
    <s v="B. Kiprono"/>
    <n v="2059"/>
    <n v="380.08"/>
    <n v="782584.72"/>
    <n v="42"/>
    <s v="2025-06-28"/>
    <d v="2025-06-01T00:00:00"/>
    <s v="2025-06-28"/>
    <s v="June 2025"/>
    <x v="1"/>
    <n v="2578.04"/>
    <n v="785162.76"/>
  </r>
  <r>
    <s v="SHP-00419"/>
    <s v="2025-01-20"/>
    <x v="3"/>
    <x v="0"/>
    <x v="5"/>
    <x v="3"/>
    <s v="TRK-009"/>
    <s v="L. Wekesa"/>
    <n v="1315"/>
    <n v="374.32"/>
    <n v="492230.8"/>
    <n v="600"/>
    <s v="2025-01-22"/>
    <d v="2025-01-01T00:00:00"/>
    <s v="2025-01-22"/>
    <s v="January 2025"/>
    <x v="1"/>
    <n v="0"/>
    <n v="492230.8"/>
  </r>
  <r>
    <s v="SHP-00420"/>
    <s v="2025-04-12"/>
    <x v="0"/>
    <x v="4"/>
    <x v="5"/>
    <x v="3"/>
    <s v="TRK-024"/>
    <s v="P. Maina"/>
    <n v="983"/>
    <n v="373.44"/>
    <n v="367091.52"/>
    <n v="424"/>
    <s v="2025-04-14"/>
    <d v="2025-04-01T00:00:00"/>
    <s v="2025-04-16"/>
    <s v="April 2025"/>
    <x v="0"/>
    <n v="20620.919999999998"/>
    <n v="387712.44"/>
  </r>
  <r>
    <s v="SHP-00421"/>
    <s v="2025-02-04"/>
    <x v="1"/>
    <x v="0"/>
    <x v="2"/>
    <x v="2"/>
    <s v="TRK-023"/>
    <s v="B. Kiprono"/>
    <n v="1160"/>
    <n v="659.96"/>
    <n v="765553.6"/>
    <n v="518"/>
    <s v="2025-02-06"/>
    <d v="2025-02-01T00:00:00"/>
    <s v="2025-02-06"/>
    <s v="February 2025"/>
    <x v="1"/>
    <n v="22703.95"/>
    <n v="788257.54999999993"/>
  </r>
  <r>
    <s v="SHP-00422"/>
    <s v="2025-01-28"/>
    <x v="3"/>
    <x v="6"/>
    <x v="1"/>
    <x v="1"/>
    <s v="TRK-015"/>
    <s v="K. Barasa"/>
    <n v="1800"/>
    <n v="542.44000000000005"/>
    <n v="976392"/>
    <n v="116"/>
    <s v="2025-01-29"/>
    <d v="2025-01-01T00:00:00"/>
    <s v="2025-02-01"/>
    <s v="February 2025"/>
    <x v="0"/>
    <n v="4655.21"/>
    <n v="981047.21"/>
  </r>
  <r>
    <s v="SHP-00423"/>
    <s v="2025-02-11"/>
    <x v="1"/>
    <x v="2"/>
    <x v="4"/>
    <x v="2"/>
    <s v="TRK-007"/>
    <s v="K. Barasa"/>
    <n v="1412"/>
    <n v="180.18"/>
    <n v="254414.16"/>
    <n v="358"/>
    <s v="2025-02-13"/>
    <d v="2025-02-01T00:00:00"/>
    <s v="2025-02-13"/>
    <s v="February 2025"/>
    <x v="1"/>
    <n v="16199.13"/>
    <n v="270613.28999999998"/>
  </r>
  <r>
    <s v="SHP-00424"/>
    <s v="2025-01-08"/>
    <x v="3"/>
    <x v="2"/>
    <x v="2"/>
    <x v="0"/>
    <s v="TRK-022"/>
    <s v="K. Barasa"/>
    <n v="2219"/>
    <n v="705.77"/>
    <n v="1566103.63"/>
    <n v="552"/>
    <s v="2025-01-10"/>
    <d v="2025-01-01T00:00:00"/>
    <s v="2025-01-10"/>
    <s v="January 2025"/>
    <x v="1"/>
    <n v="31065.439999999999"/>
    <n v="1597169.0699999998"/>
  </r>
  <r>
    <s v="SHP-00425"/>
    <s v="2025-10-05"/>
    <x v="5"/>
    <x v="4"/>
    <x v="1"/>
    <x v="3"/>
    <s v="TRK-006"/>
    <s v="M. Otieno"/>
    <n v="461"/>
    <n v="289.35000000000002"/>
    <n v="133390.35"/>
    <n v="70"/>
    <s v="2025-10-06"/>
    <d v="2025-10-01T00:00:00"/>
    <s v="2025-10-07"/>
    <s v="October 2025"/>
    <x v="0"/>
    <n v="2813.37"/>
    <n v="136203.72"/>
  </r>
  <r>
    <s v="SHP-00426"/>
    <s v="2025-10-09"/>
    <x v="5"/>
    <x v="7"/>
    <x v="0"/>
    <x v="2"/>
    <s v="TRK-022"/>
    <s v="P. Maina"/>
    <n v="1604"/>
    <n v="207.53"/>
    <n v="332878.12"/>
    <n v="102"/>
    <s v="2025-10-10"/>
    <d v="2025-10-01T00:00:00"/>
    <s v="2025-10-12"/>
    <s v="October 2025"/>
    <x v="0"/>
    <n v="6148.99"/>
    <n v="339027.11"/>
  </r>
  <r>
    <s v="SHP-00427"/>
    <s v="2025-04-28"/>
    <x v="0"/>
    <x v="0"/>
    <x v="2"/>
    <x v="0"/>
    <s v="TRK-017"/>
    <s v="K. Barasa"/>
    <n v="1250"/>
    <n v="73.56"/>
    <n v="91950"/>
    <n v="556"/>
    <s v="2025-04-30"/>
    <d v="2025-04-01T00:00:00"/>
    <s v="2025-04-29"/>
    <s v="April 2025"/>
    <x v="1"/>
    <n v="32388.97"/>
    <n v="124338.97"/>
  </r>
  <r>
    <s v="SHP-00428"/>
    <s v="2025-09-23"/>
    <x v="11"/>
    <x v="3"/>
    <x v="5"/>
    <x v="2"/>
    <s v="TRK-024"/>
    <s v="E. Achieng"/>
    <n v="1569"/>
    <n v="681.71"/>
    <n v="1069602.99"/>
    <n v="544"/>
    <s v="2025-09-25"/>
    <d v="2025-09-01T00:00:00"/>
    <s v="2025-09-25"/>
    <s v="September 2025"/>
    <x v="1"/>
    <n v="33342.550000000003"/>
    <n v="1102945.54"/>
  </r>
  <r>
    <s v="SHP-00429"/>
    <s v="2025-04-09"/>
    <x v="0"/>
    <x v="4"/>
    <x v="3"/>
    <x v="2"/>
    <s v="TRK-008"/>
    <s v="B. Kiprono"/>
    <n v="1032"/>
    <n v="183.79"/>
    <n v="189671.28"/>
    <n v="199"/>
    <s v="2025-04-10"/>
    <d v="2025-04-01T00:00:00"/>
    <s v="2025-04-14"/>
    <s v="April 2025"/>
    <x v="0"/>
    <n v="11778.1"/>
    <n v="201449.38"/>
  </r>
  <r>
    <s v="SHP-00430"/>
    <s v="2025-09-23"/>
    <x v="11"/>
    <x v="2"/>
    <x v="0"/>
    <x v="1"/>
    <s v="TRK-019"/>
    <s v="K. Barasa"/>
    <n v="1770"/>
    <n v="891.96"/>
    <n v="1578769.2"/>
    <n v="82"/>
    <s v="2025-09-24"/>
    <d v="2025-09-01T00:00:00"/>
    <s v="2025-09-25"/>
    <s v="September 2025"/>
    <x v="0"/>
    <n v="3046.6"/>
    <n v="1581815.8"/>
  </r>
  <r>
    <s v="SHP-00431"/>
    <s v="2025-08-08"/>
    <x v="6"/>
    <x v="7"/>
    <x v="1"/>
    <x v="1"/>
    <s v="TRK-017"/>
    <s v="M. Otieno"/>
    <n v="593"/>
    <n v="402"/>
    <n v="238386"/>
    <n v="424"/>
    <s v="2025-08-10"/>
    <d v="2025-08-01T00:00:00"/>
    <s v="2025-08-14"/>
    <s v="August 2025"/>
    <x v="0"/>
    <n v="19086.47"/>
    <n v="257472.47"/>
  </r>
  <r>
    <s v="SHP-00432"/>
    <s v="2025-07-30"/>
    <x v="7"/>
    <x v="3"/>
    <x v="2"/>
    <x v="2"/>
    <s v="TRK-011"/>
    <s v="M. Otieno"/>
    <n v="1788"/>
    <n v="393.64"/>
    <n v="703828.32"/>
    <n v="247"/>
    <s v="2025-07-31"/>
    <d v="2025-07-01T00:00:00"/>
    <s v="2025-07-31"/>
    <s v="July 2025"/>
    <x v="1"/>
    <n v="10832.95"/>
    <n v="714661.2699999999"/>
  </r>
  <r>
    <s v="SHP-00433"/>
    <s v="2025-08-07"/>
    <x v="6"/>
    <x v="7"/>
    <x v="2"/>
    <x v="2"/>
    <s v="TRK-023"/>
    <s v="D. Said"/>
    <n v="577"/>
    <n v="141.06"/>
    <n v="81391.62"/>
    <n v="249"/>
    <s v="2025-08-08"/>
    <d v="2025-08-01T00:00:00"/>
    <s v="2025-08-07"/>
    <s v="August 2025"/>
    <x v="1"/>
    <n v="10898.34"/>
    <n v="92289.959999999992"/>
  </r>
  <r>
    <s v="SHP-00434"/>
    <s v="2025-06-19"/>
    <x v="9"/>
    <x v="0"/>
    <x v="2"/>
    <x v="1"/>
    <s v="TRK-025"/>
    <s v="L. Wekesa"/>
    <n v="1345"/>
    <n v="348.11"/>
    <n v="468207.95"/>
    <n v="214"/>
    <s v="2025-06-20"/>
    <d v="2025-06-01T00:00:00"/>
    <s v="2025-06-22"/>
    <s v="June 2025"/>
    <x v="0"/>
    <n v="10745.78"/>
    <n v="478953.73000000004"/>
  </r>
  <r>
    <s v="SHP-00435"/>
    <s v="2025-07-11"/>
    <x v="7"/>
    <x v="4"/>
    <x v="0"/>
    <x v="1"/>
    <s v="TRK-029"/>
    <s v="B. Kiprono"/>
    <n v="1719"/>
    <n v="530.01"/>
    <n v="911087.19"/>
    <n v="240"/>
    <s v="2025-07-12"/>
    <d v="2025-07-01T00:00:00"/>
    <s v="2025-07-12"/>
    <s v="July 2025"/>
    <x v="1"/>
    <n v="11640.44"/>
    <n v="922727.62999999989"/>
  </r>
  <r>
    <s v="SHP-00436"/>
    <s v="2025-12-10"/>
    <x v="8"/>
    <x v="6"/>
    <x v="0"/>
    <x v="3"/>
    <s v="TRK-009"/>
    <s v="M. Otieno"/>
    <n v="113"/>
    <n v="325.64999999999998"/>
    <n v="36798.449999999997"/>
    <n v="525"/>
    <s v="2025-12-12"/>
    <d v="2025-12-01T00:00:00"/>
    <s v="2025-12-11"/>
    <s v="December 2025"/>
    <x v="1"/>
    <n v="27619.63"/>
    <n v="64418.080000000002"/>
  </r>
  <r>
    <s v="SHP-00437"/>
    <s v="2025-06-25"/>
    <x v="9"/>
    <x v="0"/>
    <x v="4"/>
    <x v="0"/>
    <s v="TRK-022"/>
    <s v="L. Wekesa"/>
    <n v="1024"/>
    <n v="730.56"/>
    <n v="748093.43999999994"/>
    <n v="528"/>
    <s v="2025-06-27"/>
    <d v="2025-06-01T00:00:00"/>
    <s v="2025-06-27"/>
    <s v="June 2025"/>
    <x v="1"/>
    <n v="22248.25"/>
    <n v="770341.69"/>
  </r>
  <r>
    <s v="SHP-00438"/>
    <s v="2025-10-18"/>
    <x v="5"/>
    <x v="4"/>
    <x v="0"/>
    <x v="2"/>
    <s v="TRK-017"/>
    <s v="E. Achieng"/>
    <n v="1541"/>
    <n v="582.1"/>
    <n v="897016.1"/>
    <n v="210"/>
    <s v="2025-10-19"/>
    <d v="2025-10-01T00:00:00"/>
    <s v="2025-10-18"/>
    <s v="October 2025"/>
    <x v="1"/>
    <n v="8540.73"/>
    <n v="905556.83"/>
  </r>
  <r>
    <s v="SHP-00439"/>
    <s v="2025-03-23"/>
    <x v="4"/>
    <x v="6"/>
    <x v="4"/>
    <x v="2"/>
    <s v="TRK-008"/>
    <s v="J. Mutua"/>
    <n v="428"/>
    <n v="150.93"/>
    <n v="64598.04"/>
    <n v="602"/>
    <s v="2025-03-25"/>
    <d v="2025-03-01T00:00:00"/>
    <s v="2025-03-26"/>
    <s v="March 2025"/>
    <x v="0"/>
    <n v="36470.239999999998"/>
    <n v="101068.28"/>
  </r>
  <r>
    <s v="SHP-00440"/>
    <s v="2025-05-30"/>
    <x v="10"/>
    <x v="3"/>
    <x v="0"/>
    <x v="2"/>
    <s v="TRK-003"/>
    <s v="E. Achieng"/>
    <n v="932"/>
    <n v="495.67"/>
    <n v="461964.44"/>
    <n v="520"/>
    <s v="2025-06-01"/>
    <d v="2025-06-01T00:00:00"/>
    <s v="2025-06-01"/>
    <s v="June 2025"/>
    <x v="1"/>
    <n v="29672.12"/>
    <n v="491636.56"/>
  </r>
  <r>
    <s v="SHP-00441"/>
    <s v="2025-04-08"/>
    <x v="0"/>
    <x v="1"/>
    <x v="0"/>
    <x v="2"/>
    <s v="TRK-012"/>
    <s v="L. Wekesa"/>
    <n v="1876"/>
    <n v="736.22"/>
    <n v="1381148.72"/>
    <n v="584"/>
    <s v="2025-04-10"/>
    <d v="2025-04-01T00:00:00"/>
    <s v="2025-04-12"/>
    <s v="April 2025"/>
    <x v="0"/>
    <n v="29944.71"/>
    <n v="1411093.43"/>
  </r>
  <r>
    <s v="SHP-00442"/>
    <s v="2025-07-29"/>
    <x v="7"/>
    <x v="7"/>
    <x v="1"/>
    <x v="0"/>
    <s v="TRK-016"/>
    <s v="L. Wekesa"/>
    <n v="1683"/>
    <n v="677.59"/>
    <n v="1140383.97"/>
    <n v="65"/>
    <s v="2025-07-30"/>
    <d v="2025-07-01T00:00:00"/>
    <s v="2025-07-30"/>
    <s v="July 2025"/>
    <x v="1"/>
    <n v="3421.86"/>
    <n v="1143805.83"/>
  </r>
  <r>
    <s v="SHP-00443"/>
    <s v="2025-02-02"/>
    <x v="1"/>
    <x v="2"/>
    <x v="4"/>
    <x v="0"/>
    <s v="TRK-028"/>
    <s v="J. Mutua"/>
    <n v="736"/>
    <n v="553.36"/>
    <n v="407272.96000000002"/>
    <n v="442"/>
    <s v="2025-02-04"/>
    <d v="2025-02-01T00:00:00"/>
    <s v="2025-02-04"/>
    <s v="February 2025"/>
    <x v="1"/>
    <n v="21541.07"/>
    <n v="428814.03"/>
  </r>
  <r>
    <s v="SHP-00444"/>
    <s v="2025-07-20"/>
    <x v="7"/>
    <x v="2"/>
    <x v="1"/>
    <x v="0"/>
    <s v="TRK-027"/>
    <s v="L. Wekesa"/>
    <n v="868"/>
    <n v="189.53"/>
    <n v="164512.04"/>
    <n v="255"/>
    <s v="2025-07-21"/>
    <d v="2025-07-01T00:00:00"/>
    <s v="2025-07-21"/>
    <s v="July 2025"/>
    <x v="1"/>
    <n v="15636.22"/>
    <n v="180148.26"/>
  </r>
  <r>
    <s v="SHP-00445"/>
    <s v="2025-09-13"/>
    <x v="11"/>
    <x v="4"/>
    <x v="1"/>
    <x v="3"/>
    <s v="TRK-004"/>
    <s v="M. Otieno"/>
    <n v="641"/>
    <n v="663.23"/>
    <n v="425130.43"/>
    <n v="690"/>
    <s v="2025-09-15"/>
    <d v="2025-09-01T00:00:00"/>
    <s v="2025-09-17"/>
    <s v="September 2025"/>
    <x v="0"/>
    <n v="37316.730000000003"/>
    <n v="462447.16"/>
  </r>
  <r>
    <s v="SHP-00446"/>
    <s v="2025-01-08"/>
    <x v="3"/>
    <x v="5"/>
    <x v="2"/>
    <x v="3"/>
    <s v="TRK-025"/>
    <s v="E. Achieng"/>
    <n v="2269"/>
    <n v="526.77"/>
    <n v="1195241.1299999999"/>
    <n v="470"/>
    <s v="2025-01-10"/>
    <d v="2025-01-01T00:00:00"/>
    <s v="2025-01-12"/>
    <s v="January 2025"/>
    <x v="0"/>
    <n v="22719.81"/>
    <n v="1217960.94"/>
  </r>
  <r>
    <s v="SHP-00447"/>
    <s v="2025-07-05"/>
    <x v="7"/>
    <x v="6"/>
    <x v="0"/>
    <x v="2"/>
    <s v="TRK-020"/>
    <s v="S. Chebet"/>
    <n v="1394"/>
    <n v="555.08000000000004"/>
    <n v="773781.52"/>
    <n v="692"/>
    <s v="2025-07-07"/>
    <d v="2025-07-01T00:00:00"/>
    <s v="2025-07-09"/>
    <s v="July 2025"/>
    <x v="0"/>
    <n v="37565.97"/>
    <n v="811347.49"/>
  </r>
  <r>
    <s v="SHP-00448"/>
    <s v="2025-12-23"/>
    <x v="8"/>
    <x v="5"/>
    <x v="2"/>
    <x v="2"/>
    <s v="TRK-016"/>
    <s v="A. Hassan"/>
    <n v="1803"/>
    <n v="806.26"/>
    <n v="1453686.78"/>
    <n v="708"/>
    <s v="2025-12-26"/>
    <d v="2025-12-01T00:00:00"/>
    <s v="2025-12-25"/>
    <s v="December 2025"/>
    <x v="1"/>
    <n v="36860.53"/>
    <n v="1490547.31"/>
  </r>
  <r>
    <s v="SHP-00449"/>
    <s v="2025-06-06"/>
    <x v="9"/>
    <x v="7"/>
    <x v="0"/>
    <x v="0"/>
    <s v="TRK-025"/>
    <s v="B. Kiprono"/>
    <n v="1807"/>
    <n v="453.02"/>
    <n v="818607.14"/>
    <n v="202"/>
    <s v="2025-06-07"/>
    <d v="2025-06-01T00:00:00"/>
    <s v="2025-06-07"/>
    <s v="June 2025"/>
    <x v="1"/>
    <n v="12028.36"/>
    <n v="830635.5"/>
  </r>
  <r>
    <s v="SHP-00450"/>
    <s v="2025-04-17"/>
    <x v="0"/>
    <x v="1"/>
    <x v="5"/>
    <x v="1"/>
    <s v="TRK-016"/>
    <s v="E. Achieng"/>
    <n v="924"/>
    <n v="195.23"/>
    <n v="180392.52"/>
    <n v="565"/>
    <s v="2025-04-19"/>
    <d v="2025-04-01T00:00:00"/>
    <s v="2025-04-18"/>
    <s v="April 2025"/>
    <x v="1"/>
    <n v="28391.67"/>
    <n v="208784.19"/>
  </r>
  <r>
    <s v="SHP-00451"/>
    <s v="2025-03-25"/>
    <x v="4"/>
    <x v="6"/>
    <x v="2"/>
    <x v="2"/>
    <s v="TRK-013"/>
    <s v="A. Hassan"/>
    <n v="1368"/>
    <n v="193.08"/>
    <n v="264133.44"/>
    <n v="384"/>
    <s v="2025-03-27"/>
    <d v="2025-03-01T00:00:00"/>
    <s v="2025-03-30"/>
    <s v="March 2025"/>
    <x v="0"/>
    <n v="17188.759999999998"/>
    <n v="281322.2"/>
  </r>
  <r>
    <s v="SHP-00452"/>
    <s v="2025-09-14"/>
    <x v="11"/>
    <x v="5"/>
    <x v="5"/>
    <x v="1"/>
    <s v="TRK-011"/>
    <s v="K. Barasa"/>
    <n v="659"/>
    <n v="858.29"/>
    <n v="565613.11"/>
    <n v="222"/>
    <s v="2025-09-15"/>
    <d v="2025-09-01T00:00:00"/>
    <s v="2025-09-18"/>
    <s v="September 2025"/>
    <x v="0"/>
    <n v="8949.3700000000008"/>
    <n v="574562.48"/>
  </r>
  <r>
    <s v="SHP-00453"/>
    <s v="2025-10-04"/>
    <x v="5"/>
    <x v="6"/>
    <x v="4"/>
    <x v="0"/>
    <s v="TRK-013"/>
    <s v="B. Kiprono"/>
    <n v="1976"/>
    <n v="647.91"/>
    <n v="1280270.1599999999"/>
    <n v="456"/>
    <s v="2025-10-06"/>
    <d v="2025-10-01T00:00:00"/>
    <s v="2025-10-06"/>
    <s v="October 2025"/>
    <x v="1"/>
    <n v="25396.53"/>
    <n v="1305666.69"/>
  </r>
  <r>
    <s v="SHP-00454"/>
    <s v="2025-12-30"/>
    <x v="8"/>
    <x v="3"/>
    <x v="3"/>
    <x v="2"/>
    <s v="TRK-020"/>
    <s v="J. Mutua"/>
    <n v="826"/>
    <n v="582.96"/>
    <n v="481524.96"/>
    <n v="150"/>
    <s v="2025-12-31"/>
    <d v="2025-12-01T00:00:00"/>
    <s v="2025-12-30"/>
    <s v="December 2025"/>
    <x v="1"/>
    <n v="5483.94"/>
    <n v="487008.9"/>
  </r>
  <r>
    <s v="SHP-00455"/>
    <s v="2025-12-07"/>
    <x v="8"/>
    <x v="1"/>
    <x v="2"/>
    <x v="2"/>
    <s v="TRK-008"/>
    <s v="J. Mutua"/>
    <n v="363"/>
    <n v="265.29000000000002"/>
    <n v="96300.27"/>
    <n v="553"/>
    <s v="2025-12-09"/>
    <d v="2025-12-01T00:00:00"/>
    <s v="2025-12-12"/>
    <s v="December 2025"/>
    <x v="0"/>
    <n v="31871.83"/>
    <n v="128172.1"/>
  </r>
  <r>
    <s v="SHP-00456"/>
    <s v="2025-11-13"/>
    <x v="2"/>
    <x v="5"/>
    <x v="2"/>
    <x v="2"/>
    <s v="TRK-012"/>
    <s v="A. Hassan"/>
    <n v="1851"/>
    <n v="379.63"/>
    <n v="702695.13"/>
    <n v="642"/>
    <s v="2025-11-15"/>
    <d v="2025-11-01T00:00:00"/>
    <s v="2025-11-17"/>
    <s v="November 2025"/>
    <x v="0"/>
    <n v="38097.89"/>
    <n v="740793.02"/>
  </r>
  <r>
    <s v="SHP-00457"/>
    <s v="2025-07-08"/>
    <x v="7"/>
    <x v="5"/>
    <x v="0"/>
    <x v="0"/>
    <s v="TRK-014"/>
    <s v="S. Chebet"/>
    <n v="1517"/>
    <n v="496.93"/>
    <n v="753842.81"/>
    <n v="17"/>
    <s v="2025-07-09"/>
    <d v="2025-07-01T00:00:00"/>
    <s v="2025-07-12"/>
    <s v="July 2025"/>
    <x v="0"/>
    <n v="619.72"/>
    <n v="754462.53"/>
  </r>
  <r>
    <s v="SHP-00458"/>
    <s v="2025-04-03"/>
    <x v="0"/>
    <x v="4"/>
    <x v="0"/>
    <x v="2"/>
    <s v="TRK-015"/>
    <s v="A. Hassan"/>
    <n v="53"/>
    <n v="496.69"/>
    <n v="26324.57"/>
    <n v="394"/>
    <s v="2025-04-05"/>
    <d v="2025-04-01T00:00:00"/>
    <s v="2025-04-04"/>
    <s v="April 2025"/>
    <x v="1"/>
    <n v="21429.68"/>
    <n v="47754.25"/>
  </r>
  <r>
    <s v="SHP-00459"/>
    <s v="2025-10-01"/>
    <x v="5"/>
    <x v="1"/>
    <x v="2"/>
    <x v="0"/>
    <s v="TRK-027"/>
    <s v="M. Otieno"/>
    <n v="646"/>
    <n v="872.26"/>
    <n v="563479.96"/>
    <n v="373"/>
    <s v="2025-10-03"/>
    <d v="2025-10-01T00:00:00"/>
    <s v="2025-10-02"/>
    <s v="October 2025"/>
    <x v="1"/>
    <n v="18628.02"/>
    <n v="582107.98"/>
  </r>
  <r>
    <s v="SHP-00460"/>
    <s v="2025-07-06"/>
    <x v="7"/>
    <x v="7"/>
    <x v="1"/>
    <x v="1"/>
    <s v="TRK-028"/>
    <s v="P. Maina"/>
    <n v="2468"/>
    <n v="882.71"/>
    <n v="2178528.2799999998"/>
    <n v="584"/>
    <s v="2025-07-08"/>
    <d v="2025-07-01T00:00:00"/>
    <s v="2025-07-07"/>
    <s v="July 2025"/>
    <x v="1"/>
    <n v="28673.68"/>
    <n v="2207201.96"/>
  </r>
  <r>
    <s v="SHP-00461"/>
    <s v="2025-04-10"/>
    <x v="0"/>
    <x v="2"/>
    <x v="1"/>
    <x v="0"/>
    <s v="TRK-016"/>
    <s v="K. Barasa"/>
    <n v="1519"/>
    <n v="259.66000000000003"/>
    <n v="394423.54"/>
    <n v="483"/>
    <s v="2025-04-12"/>
    <d v="2025-04-01T00:00:00"/>
    <s v="2025-04-11"/>
    <s v="April 2025"/>
    <x v="1"/>
    <n v="19890.53"/>
    <n v="414314.06999999995"/>
  </r>
  <r>
    <s v="SHP-00462"/>
    <s v="2025-04-08"/>
    <x v="0"/>
    <x v="1"/>
    <x v="0"/>
    <x v="1"/>
    <s v="TRK-005"/>
    <s v="E. Achieng"/>
    <n v="564"/>
    <n v="150.91999999999999"/>
    <n v="85118.88"/>
    <n v="389"/>
    <s v="2025-04-10"/>
    <d v="2025-04-01T00:00:00"/>
    <s v="2025-04-09"/>
    <s v="April 2025"/>
    <x v="1"/>
    <n v="21371.8"/>
    <n v="106490.68000000001"/>
  </r>
  <r>
    <s v="SHP-00463"/>
    <s v="2025-04-06"/>
    <x v="0"/>
    <x v="4"/>
    <x v="0"/>
    <x v="2"/>
    <s v="TRK-009"/>
    <s v="E. Achieng"/>
    <n v="2224"/>
    <n v="837.23"/>
    <n v="1861999.52"/>
    <n v="94"/>
    <s v="2025-04-07"/>
    <d v="2025-04-01T00:00:00"/>
    <s v="2025-04-06"/>
    <s v="April 2025"/>
    <x v="1"/>
    <n v="3878.88"/>
    <n v="1865878.4"/>
  </r>
  <r>
    <s v="SHP-00464"/>
    <s v="2025-02-06"/>
    <x v="1"/>
    <x v="6"/>
    <x v="0"/>
    <x v="3"/>
    <s v="TRK-023"/>
    <s v="A. Hassan"/>
    <n v="2407"/>
    <n v="867.81"/>
    <n v="2088818.67"/>
    <n v="123"/>
    <s v="2025-02-07"/>
    <d v="2025-02-01T00:00:00"/>
    <s v="2025-02-08"/>
    <s v="February 2025"/>
    <x v="0"/>
    <n v="5273.7"/>
    <n v="2094092.3699999999"/>
  </r>
  <r>
    <s v="SHP-00465"/>
    <s v="2025-12-24"/>
    <x v="8"/>
    <x v="6"/>
    <x v="1"/>
    <x v="2"/>
    <s v="TRK-016"/>
    <s v="M. Otieno"/>
    <n v="2451"/>
    <n v="234.14"/>
    <n v="573877.14"/>
    <n v="390"/>
    <s v="2025-12-26"/>
    <d v="2025-12-01T00:00:00"/>
    <s v="2025-12-26"/>
    <s v="December 2025"/>
    <x v="1"/>
    <n v="17681.150000000001"/>
    <n v="591558.29"/>
  </r>
  <r>
    <s v="SHP-00466"/>
    <s v="2025-04-26"/>
    <x v="0"/>
    <x v="5"/>
    <x v="4"/>
    <x v="2"/>
    <s v="TRK-009"/>
    <s v="S. Chebet"/>
    <n v="2149"/>
    <n v="165.01"/>
    <n v="354606.49"/>
    <n v="680"/>
    <s v="2025-04-28"/>
    <d v="2025-04-01T00:00:00"/>
    <s v="2025-04-28"/>
    <s v="April 2025"/>
    <x v="1"/>
    <n v="24026.49"/>
    <n v="378632.98"/>
  </r>
  <r>
    <s v="SHP-00467"/>
    <s v="2025-01-26"/>
    <x v="3"/>
    <x v="4"/>
    <x v="2"/>
    <x v="2"/>
    <s v="TRK-012"/>
    <s v="K. Barasa"/>
    <n v="719"/>
    <n v="97.86"/>
    <n v="70361.34"/>
    <n v="285"/>
    <s v="2025-01-27"/>
    <d v="2025-01-01T00:00:00"/>
    <s v="2025-01-29"/>
    <s v="January 2025"/>
    <x v="0"/>
    <n v="17265.12"/>
    <n v="87626.459999999992"/>
  </r>
  <r>
    <s v="SHP-00468"/>
    <s v="2025-05-08"/>
    <x v="10"/>
    <x v="0"/>
    <x v="5"/>
    <x v="2"/>
    <s v="TRK-028"/>
    <s v="B. Kiprono"/>
    <n v="1096"/>
    <n v="650.16999999999996"/>
    <n v="712586.32"/>
    <n v="80"/>
    <s v="2025-05-09"/>
    <d v="2025-05-01T00:00:00"/>
    <s v="2025-05-09"/>
    <s v="May 2025"/>
    <x v="1"/>
    <n v="3944.43"/>
    <n v="716530.75"/>
  </r>
  <r>
    <s v="SHP-00469"/>
    <s v="2025-04-02"/>
    <x v="0"/>
    <x v="2"/>
    <x v="2"/>
    <x v="0"/>
    <s v="TRK-025"/>
    <s v="J. Mutua"/>
    <n v="2002"/>
    <n v="439.85"/>
    <n v="880579.7"/>
    <n v="589"/>
    <s v="2025-04-04"/>
    <d v="2025-04-01T00:00:00"/>
    <s v="2025-04-03"/>
    <s v="April 2025"/>
    <x v="1"/>
    <n v="35816.5"/>
    <n v="916396.2"/>
  </r>
  <r>
    <s v="SHP-00470"/>
    <s v="2025-10-05"/>
    <x v="5"/>
    <x v="4"/>
    <x v="3"/>
    <x v="1"/>
    <s v="TRK-025"/>
    <s v="D. Said"/>
    <n v="2032"/>
    <n v="762.25"/>
    <n v="1548892"/>
    <n v="292"/>
    <s v="2025-10-06"/>
    <d v="2025-10-01T00:00:00"/>
    <s v="2025-10-08"/>
    <s v="October 2025"/>
    <x v="0"/>
    <n v="16186.22"/>
    <n v="1565078.22"/>
  </r>
  <r>
    <s v="SHP-00471"/>
    <s v="2025-03-03"/>
    <x v="4"/>
    <x v="3"/>
    <x v="0"/>
    <x v="2"/>
    <s v="TRK-015"/>
    <s v="A. Hassan"/>
    <n v="1877"/>
    <n v="277.19"/>
    <n v="520285.63"/>
    <n v="97"/>
    <s v="2025-03-04"/>
    <d v="2025-03-01T00:00:00"/>
    <s v="2025-03-04"/>
    <s v="March 2025"/>
    <x v="1"/>
    <n v="4897.7299999999996"/>
    <n v="525183.36"/>
  </r>
  <r>
    <s v="SHP-00472"/>
    <s v="2025-07-15"/>
    <x v="7"/>
    <x v="1"/>
    <x v="4"/>
    <x v="2"/>
    <s v="TRK-014"/>
    <s v="B. Kiprono"/>
    <n v="2101"/>
    <n v="702.52"/>
    <n v="1475994.52"/>
    <n v="657"/>
    <s v="2025-07-17"/>
    <d v="2025-07-01T00:00:00"/>
    <s v="2025-07-17"/>
    <s v="July 2025"/>
    <x v="1"/>
    <n v="28945.3"/>
    <n v="1504939.82"/>
  </r>
  <r>
    <s v="SHP-00473"/>
    <s v="2025-01-29"/>
    <x v="3"/>
    <x v="0"/>
    <x v="5"/>
    <x v="3"/>
    <s v="TRK-006"/>
    <s v="S. Chebet"/>
    <n v="625"/>
    <n v="53.76"/>
    <n v="33600"/>
    <n v="604"/>
    <s v="2025-01-31"/>
    <d v="2025-01-01T00:00:00"/>
    <s v="2025-02-01"/>
    <s v="February 2025"/>
    <x v="0"/>
    <n v="22156.02"/>
    <n v="55756.020000000004"/>
  </r>
  <r>
    <s v="SHP-00474"/>
    <s v="2025-10-19"/>
    <x v="5"/>
    <x v="2"/>
    <x v="3"/>
    <x v="2"/>
    <s v="TRK-021"/>
    <s v="Not Found"/>
    <n v="713"/>
    <n v="83.28"/>
    <n v="59378.64"/>
    <n v="687"/>
    <s v="2025-10-21"/>
    <d v="2025-10-01T00:00:00"/>
    <s v="2025-10-21"/>
    <s v="October 2025"/>
    <x v="1"/>
    <n v="26777.91"/>
    <n v="86156.55"/>
  </r>
  <r>
    <s v="SHP-00475"/>
    <s v="2025-12-06"/>
    <x v="8"/>
    <x v="7"/>
    <x v="2"/>
    <x v="1"/>
    <s v="TRK-009"/>
    <s v="D. Said"/>
    <n v="2397"/>
    <n v="544.66"/>
    <n v="1305550.02"/>
    <n v="510"/>
    <s v="2025-12-08"/>
    <d v="2025-12-01T00:00:00"/>
    <s v="2025-12-11"/>
    <s v="December 2025"/>
    <x v="0"/>
    <n v="30193.15"/>
    <n v="1335743.17"/>
  </r>
  <r>
    <s v="SHP-00476"/>
    <s v="2025-08-02"/>
    <x v="6"/>
    <x v="4"/>
    <x v="4"/>
    <x v="1"/>
    <s v="TRK-014"/>
    <s v="A. Hassan"/>
    <n v="988"/>
    <n v="634.97"/>
    <n v="627350.36"/>
    <n v="639"/>
    <s v="2025-08-04"/>
    <d v="2025-08-01T00:00:00"/>
    <s v="2025-08-04"/>
    <s v="August 2025"/>
    <x v="1"/>
    <n v="22482"/>
    <n v="649832.36"/>
  </r>
  <r>
    <s v="SHP-00477"/>
    <s v="2025-04-17"/>
    <x v="0"/>
    <x v="1"/>
    <x v="5"/>
    <x v="0"/>
    <s v="TRK-024"/>
    <s v="L. Wekesa"/>
    <n v="2391"/>
    <n v="787.52"/>
    <n v="1882960.32"/>
    <n v="168"/>
    <s v="2025-04-18"/>
    <d v="2025-04-01T00:00:00"/>
    <s v="2025-04-18"/>
    <s v="April 2025"/>
    <x v="1"/>
    <n v="7961.32"/>
    <n v="1890921.6400000001"/>
  </r>
  <r>
    <s v="SHP-00478"/>
    <s v="2025-11-05"/>
    <x v="2"/>
    <x v="7"/>
    <x v="4"/>
    <x v="3"/>
    <s v="TRK-007"/>
    <s v="A. Hassan"/>
    <n v="2136"/>
    <n v="305.43"/>
    <n v="652398.48"/>
    <n v="702"/>
    <s v="2025-11-08"/>
    <d v="2025-11-01T00:00:00"/>
    <s v="2025-11-08"/>
    <s v="November 2025"/>
    <x v="1"/>
    <n v="32575.23"/>
    <n v="684973.71"/>
  </r>
  <r>
    <s v="SHP-00479"/>
    <s v="2025-01-10"/>
    <x v="3"/>
    <x v="0"/>
    <x v="5"/>
    <x v="3"/>
    <s v="TRK-003"/>
    <s v="D. Said"/>
    <n v="808"/>
    <n v="623.64"/>
    <n v="503901.12"/>
    <n v="414"/>
    <s v="2025-01-12"/>
    <d v="2025-01-01T00:00:00"/>
    <s v="2025-01-14"/>
    <s v="January 2025"/>
    <x v="0"/>
    <n v="16236.28"/>
    <n v="520137.4"/>
  </r>
  <r>
    <s v="SHP-00480"/>
    <s v="2025-08-08"/>
    <x v="6"/>
    <x v="6"/>
    <x v="5"/>
    <x v="1"/>
    <s v="TRK-017"/>
    <s v="M. Otieno"/>
    <n v="1084"/>
    <n v="654.51"/>
    <n v="709488.84"/>
    <n v="190"/>
    <s v="2025-08-09"/>
    <d v="2025-08-01T00:00:00"/>
    <s v="2025-08-12"/>
    <s v="August 2025"/>
    <x v="0"/>
    <n v="10363.98"/>
    <n v="719852.82"/>
  </r>
  <r>
    <s v="SHP-00481"/>
    <s v="2025-02-23"/>
    <x v="1"/>
    <x v="3"/>
    <x v="3"/>
    <x v="0"/>
    <s v="TRK-003"/>
    <s v="P. Maina"/>
    <n v="881"/>
    <n v="698.05"/>
    <n v="614982.05000000005"/>
    <n v="263"/>
    <s v="2025-02-24"/>
    <d v="2025-02-01T00:00:00"/>
    <s v="2025-02-25"/>
    <s v="February 2025"/>
    <x v="0"/>
    <n v="14422.13"/>
    <n v="629404.18000000005"/>
  </r>
  <r>
    <s v="SHP-00482"/>
    <s v="2025-01-11"/>
    <x v="3"/>
    <x v="7"/>
    <x v="1"/>
    <x v="0"/>
    <s v="TRK-024"/>
    <s v="J. Mutua"/>
    <n v="2499"/>
    <n v="539.66"/>
    <n v="1348610.34"/>
    <n v="656"/>
    <s v="2025-01-13"/>
    <d v="2025-01-01T00:00:00"/>
    <s v="2025-01-16"/>
    <s v="January 2025"/>
    <x v="0"/>
    <n v="39866.54"/>
    <n v="1388476.8800000001"/>
  </r>
  <r>
    <s v="SHP-00483"/>
    <s v="2025-06-14"/>
    <x v="9"/>
    <x v="5"/>
    <x v="4"/>
    <x v="0"/>
    <s v="TRK-005"/>
    <s v="E. Achieng"/>
    <n v="523"/>
    <n v="186.47"/>
    <n v="97523.81"/>
    <n v="714"/>
    <s v="2025-06-17"/>
    <d v="2025-06-01T00:00:00"/>
    <s v="2025-06-18"/>
    <s v="June 2025"/>
    <x v="0"/>
    <n v="40374.67"/>
    <n v="137898.47999999998"/>
  </r>
  <r>
    <s v="SHP-00484"/>
    <s v="2025-01-08"/>
    <x v="3"/>
    <x v="1"/>
    <x v="5"/>
    <x v="3"/>
    <s v="TRK-022"/>
    <s v="S. Chebet"/>
    <n v="2333"/>
    <n v="401.89"/>
    <n v="937609.37"/>
    <n v="255"/>
    <s v="2025-01-09"/>
    <d v="2025-01-01T00:00:00"/>
    <s v="2025-01-10"/>
    <s v="January 2025"/>
    <x v="0"/>
    <n v="9075.1299999999992"/>
    <n v="946684.5"/>
  </r>
  <r>
    <s v="SHP-00485"/>
    <s v="2025-03-07"/>
    <x v="4"/>
    <x v="4"/>
    <x v="0"/>
    <x v="1"/>
    <s v="TRK-028"/>
    <s v="E. Achieng"/>
    <n v="1284"/>
    <n v="511.26"/>
    <n v="656457.84"/>
    <n v="130"/>
    <s v="2025-03-08"/>
    <d v="2025-03-01T00:00:00"/>
    <s v="2025-03-08"/>
    <s v="March 2025"/>
    <x v="1"/>
    <n v="4570.12"/>
    <n v="661027.96"/>
  </r>
  <r>
    <s v="SHP-00486"/>
    <s v="2025-05-12"/>
    <x v="10"/>
    <x v="7"/>
    <x v="2"/>
    <x v="1"/>
    <s v="TRK-005"/>
    <s v="E. Achieng"/>
    <n v="333"/>
    <n v="876.97"/>
    <n v="292031.01"/>
    <n v="706"/>
    <s v="2025-05-15"/>
    <d v="2025-05-01T00:00:00"/>
    <s v="2025-05-15"/>
    <s v="May 2025"/>
    <x v="1"/>
    <n v="33028.97"/>
    <n v="325059.98"/>
  </r>
  <r>
    <s v="SHP-00487"/>
    <s v="2025-05-21"/>
    <x v="10"/>
    <x v="1"/>
    <x v="2"/>
    <x v="1"/>
    <s v="TRK-021"/>
    <s v="B. Kiprono"/>
    <n v="1741"/>
    <n v="350.09"/>
    <n v="609506.68999999994"/>
    <n v="175"/>
    <s v="2025-05-22"/>
    <d v="2025-05-01T00:00:00"/>
    <s v="2025-05-22"/>
    <s v="May 2025"/>
    <x v="1"/>
    <n v="7660.29"/>
    <n v="617166.98"/>
  </r>
  <r>
    <s v="SHP-00488"/>
    <s v="2025-04-21"/>
    <x v="0"/>
    <x v="0"/>
    <x v="2"/>
    <x v="2"/>
    <s v="TRK-030"/>
    <s v="S. Chebet"/>
    <n v="449"/>
    <n v="608.30999999999995"/>
    <n v="273131.19"/>
    <n v="261"/>
    <s v="2025-04-22"/>
    <d v="2025-04-01T00:00:00"/>
    <s v="2025-04-23"/>
    <s v="April 2025"/>
    <x v="0"/>
    <n v="12607.11"/>
    <n v="285738.3"/>
  </r>
  <r>
    <s v="SHP-00489"/>
    <s v="2025-05-23"/>
    <x v="10"/>
    <x v="5"/>
    <x v="2"/>
    <x v="0"/>
    <s v="TRK-026"/>
    <s v="M. Otieno"/>
    <n v="2000"/>
    <n v="862.37"/>
    <n v="1724740"/>
    <n v="448"/>
    <s v="2025-05-25"/>
    <d v="2025-05-01T00:00:00"/>
    <s v="2025-05-27"/>
    <s v="May 2025"/>
    <x v="0"/>
    <n v="24057.13"/>
    <n v="1748797.13"/>
  </r>
  <r>
    <s v="SHP-00490"/>
    <s v="2025-02-02"/>
    <x v="1"/>
    <x v="5"/>
    <x v="3"/>
    <x v="2"/>
    <s v="TRK-014"/>
    <s v="J. Mutua"/>
    <n v="967"/>
    <n v="339.04"/>
    <n v="327851.68"/>
    <n v="634"/>
    <s v="2025-02-04"/>
    <d v="2025-02-01T00:00:00"/>
    <s v="2025-02-05"/>
    <s v="February 2025"/>
    <x v="0"/>
    <n v="29077.06"/>
    <n v="356928.74"/>
  </r>
  <r>
    <s v="SHP-00491"/>
    <s v="2025-08-12"/>
    <x v="6"/>
    <x v="1"/>
    <x v="3"/>
    <x v="3"/>
    <s v="TRK-001"/>
    <s v="E. Achieng"/>
    <n v="1382"/>
    <n v="79.650000000000006"/>
    <n v="110076.3"/>
    <n v="647"/>
    <s v="2025-08-14"/>
    <d v="2025-08-01T00:00:00"/>
    <s v="2025-08-15"/>
    <s v="August 2025"/>
    <x v="0"/>
    <n v="36394.410000000003"/>
    <n v="146470.71000000002"/>
  </r>
  <r>
    <s v="SHP-00492"/>
    <s v="2025-12-10"/>
    <x v="8"/>
    <x v="1"/>
    <x v="3"/>
    <x v="2"/>
    <s v="TRK-016"/>
    <s v="E. Achieng"/>
    <n v="1664"/>
    <n v="559.23"/>
    <n v="930558.72"/>
    <n v="396"/>
    <s v="2025-12-12"/>
    <d v="2025-12-01T00:00:00"/>
    <s v="2025-12-14"/>
    <s v="December 2025"/>
    <x v="0"/>
    <n v="21511.1"/>
    <n v="952069.82"/>
  </r>
  <r>
    <s v="SHP-00493"/>
    <s v="2025-12-05"/>
    <x v="8"/>
    <x v="6"/>
    <x v="4"/>
    <x v="1"/>
    <s v="TRK-025"/>
    <s v="D. Said"/>
    <n v="724"/>
    <n v="212.28"/>
    <n v="153690.72"/>
    <n v="192"/>
    <s v="2025-12-06"/>
    <d v="2025-12-01T00:00:00"/>
    <s v="2025-12-07"/>
    <s v="December 2025"/>
    <x v="0"/>
    <n v="7423.09"/>
    <n v="161113.81"/>
  </r>
  <r>
    <s v="SHP-00494"/>
    <s v="2025-07-06"/>
    <x v="7"/>
    <x v="7"/>
    <x v="5"/>
    <x v="1"/>
    <s v="TRK-026"/>
    <s v="J. Mutua"/>
    <n v="1665"/>
    <n v="134.84"/>
    <n v="224508.6"/>
    <n v="532"/>
    <s v="2025-07-08"/>
    <d v="2025-07-01T00:00:00"/>
    <s v="2025-07-08"/>
    <s v="July 2025"/>
    <x v="1"/>
    <n v="32821.14"/>
    <n v="257329.74"/>
  </r>
  <r>
    <s v="SHP-00495"/>
    <s v="2025-12-17"/>
    <x v="8"/>
    <x v="2"/>
    <x v="5"/>
    <x v="2"/>
    <s v="TRK-007"/>
    <s v="P. Maina"/>
    <n v="792"/>
    <n v="234.86"/>
    <n v="186009.12"/>
    <n v="557"/>
    <s v="2025-12-19"/>
    <d v="2025-12-01T00:00:00"/>
    <s v="2025-12-20"/>
    <s v="December 2025"/>
    <x v="0"/>
    <n v="31254.67"/>
    <n v="217263.78999999998"/>
  </r>
  <r>
    <s v="SHP-00496"/>
    <s v="2025-12-15"/>
    <x v="8"/>
    <x v="0"/>
    <x v="0"/>
    <x v="0"/>
    <s v="TRK-006"/>
    <s v="P. Maina"/>
    <n v="943"/>
    <n v="580.21"/>
    <n v="547138.03"/>
    <n v="595"/>
    <s v="2025-12-17"/>
    <d v="2025-12-01T00:00:00"/>
    <s v="2025-12-18"/>
    <s v="December 2025"/>
    <x v="0"/>
    <n v="25482.11"/>
    <n v="572620.14"/>
  </r>
  <r>
    <s v="SHP-00497"/>
    <s v="2025-06-18"/>
    <x v="9"/>
    <x v="0"/>
    <x v="1"/>
    <x v="2"/>
    <s v="TRK-003"/>
    <s v="P. Maina"/>
    <n v="1774"/>
    <n v="746.16"/>
    <n v="1323687.8400000001"/>
    <n v="36"/>
    <s v="2025-06-19"/>
    <d v="2025-06-01T00:00:00"/>
    <s v="2025-06-23"/>
    <s v="June 2025"/>
    <x v="0"/>
    <n v="1451.44"/>
    <n v="1325139.28"/>
  </r>
  <r>
    <s v="SHP-00498"/>
    <s v="2025-11-06"/>
    <x v="2"/>
    <x v="2"/>
    <x v="2"/>
    <x v="2"/>
    <s v="TRK-010"/>
    <s v="E. Achieng"/>
    <n v="1978"/>
    <n v="558.80999999999995"/>
    <n v="1105326.18"/>
    <n v="449"/>
    <s v="2025-11-08"/>
    <d v="2025-11-01T00:00:00"/>
    <s v="2025-11-11"/>
    <s v="November 2025"/>
    <x v="0"/>
    <n v="23120.61"/>
    <n v="1128446.79"/>
  </r>
  <r>
    <s v="SHP-00499"/>
    <s v="2025-09-02"/>
    <x v="11"/>
    <x v="7"/>
    <x v="0"/>
    <x v="0"/>
    <s v="TRK-028"/>
    <s v="M. Otieno"/>
    <n v="1367"/>
    <n v="86.78"/>
    <n v="118628.26"/>
    <n v="237"/>
    <s v="2025-09-03"/>
    <d v="2025-09-01T00:00:00"/>
    <s v="2025-09-05"/>
    <s v="September 2025"/>
    <x v="0"/>
    <n v="8621.0499999999993"/>
    <n v="127249.31"/>
  </r>
  <r>
    <s v="SHP-00500"/>
    <s v="2025-10-03"/>
    <x v="5"/>
    <x v="1"/>
    <x v="1"/>
    <x v="2"/>
    <s v="TRK-004"/>
    <s v="D. Said"/>
    <n v="2216"/>
    <n v="751.8"/>
    <n v="1665988.8"/>
    <n v="671"/>
    <s v="2025-10-05"/>
    <d v="2025-10-01T00:00:00"/>
    <s v="2025-10-06"/>
    <s v="October 2025"/>
    <x v="0"/>
    <n v="24473.99"/>
    <n v="1690462.79"/>
  </r>
  <r>
    <s v="SHP-00501"/>
    <s v="2025-12-20"/>
    <x v="8"/>
    <x v="5"/>
    <x v="3"/>
    <x v="1"/>
    <s v="TRK-007"/>
    <s v="S. Chebet"/>
    <n v="835"/>
    <n v="582.72"/>
    <n v="486571.2"/>
    <n v="271"/>
    <s v="2025-12-21"/>
    <d v="2025-12-01T00:00:00"/>
    <s v="2025-12-24"/>
    <s v="December 2025"/>
    <x v="0"/>
    <n v="16204.65"/>
    <n v="502775.85000000003"/>
  </r>
  <r>
    <s v="SHP-00502"/>
    <s v="2025-05-06"/>
    <x v="10"/>
    <x v="6"/>
    <x v="1"/>
    <x v="3"/>
    <s v="TRK-018"/>
    <s v="K. Barasa"/>
    <n v="101"/>
    <n v="249.71"/>
    <n v="25220.71"/>
    <n v="611"/>
    <s v="2025-05-08"/>
    <d v="2025-05-01T00:00:00"/>
    <s v="2025-05-08"/>
    <s v="May 2025"/>
    <x v="1"/>
    <n v="32219.48"/>
    <n v="57440.19"/>
  </r>
  <r>
    <s v="SHP-00503"/>
    <s v="2025-07-15"/>
    <x v="7"/>
    <x v="1"/>
    <x v="5"/>
    <x v="2"/>
    <s v="TRK-009"/>
    <s v="A. Hassan"/>
    <n v="1550"/>
    <n v="677.51"/>
    <n v="1050140.5"/>
    <n v="127"/>
    <s v="2025-07-16"/>
    <d v="2025-07-01T00:00:00"/>
    <s v="2025-07-16"/>
    <s v="July 2025"/>
    <x v="1"/>
    <n v="4900.12"/>
    <n v="1055040.6200000001"/>
  </r>
  <r>
    <s v="SHP-00504"/>
    <s v="2025-02-23"/>
    <x v="1"/>
    <x v="5"/>
    <x v="4"/>
    <x v="3"/>
    <s v="TRK-008"/>
    <s v="M. Otieno"/>
    <n v="2335"/>
    <n v="826.08"/>
    <n v="1928896.8"/>
    <n v="260"/>
    <s v="2025-02-24"/>
    <d v="2025-02-01T00:00:00"/>
    <s v="2025-02-25"/>
    <s v="February 2025"/>
    <x v="0"/>
    <n v="10414.36"/>
    <n v="1939311.1600000001"/>
  </r>
  <r>
    <s v="SHP-00505"/>
    <s v="2025-03-10"/>
    <x v="4"/>
    <x v="1"/>
    <x v="5"/>
    <x v="1"/>
    <s v="TRK-007"/>
    <s v="S. Chebet"/>
    <n v="952"/>
    <n v="273.36"/>
    <n v="260238.72"/>
    <n v="106"/>
    <s v="2025-03-11"/>
    <d v="2025-03-01T00:00:00"/>
    <s v="2025-03-13"/>
    <s v="March 2025"/>
    <x v="0"/>
    <n v="6525.91"/>
    <n v="266764.63"/>
  </r>
  <r>
    <s v="SHP-00506"/>
    <s v="2025-08-23"/>
    <x v="6"/>
    <x v="0"/>
    <x v="3"/>
    <x v="1"/>
    <s v="TRK-012"/>
    <s v="D. Said"/>
    <n v="1733"/>
    <n v="112.74"/>
    <n v="195378.42"/>
    <n v="451"/>
    <s v="2025-08-25"/>
    <d v="2025-08-01T00:00:00"/>
    <s v="2025-08-25"/>
    <s v="August 2025"/>
    <x v="1"/>
    <n v="23818.080000000002"/>
    <n v="219196.5"/>
  </r>
  <r>
    <s v="SHP-00507"/>
    <s v="2025-02-11"/>
    <x v="1"/>
    <x v="6"/>
    <x v="3"/>
    <x v="3"/>
    <s v="TRK-027"/>
    <s v="A. Hassan"/>
    <n v="2204"/>
    <n v="452.94"/>
    <n v="998279.76"/>
    <n v="255"/>
    <s v="2025-02-12"/>
    <d v="2025-02-01T00:00:00"/>
    <s v="2025-02-11"/>
    <s v="February 2025"/>
    <x v="1"/>
    <n v="14343.98"/>
    <n v="1012623.74"/>
  </r>
  <r>
    <s v="SHP-00508"/>
    <s v="2025-10-09"/>
    <x v="5"/>
    <x v="6"/>
    <x v="3"/>
    <x v="1"/>
    <s v="TRK-003"/>
    <s v="E. Achieng"/>
    <n v="359"/>
    <n v="382.36"/>
    <n v="137267.24"/>
    <n v="177"/>
    <s v="2025-10-10"/>
    <d v="2025-10-01T00:00:00"/>
    <s v="2025-10-10"/>
    <s v="October 2025"/>
    <x v="1"/>
    <n v="9148.4699999999993"/>
    <n v="146415.71"/>
  </r>
  <r>
    <s v="SHP-00509"/>
    <s v="2025-04-28"/>
    <x v="0"/>
    <x v="5"/>
    <x v="1"/>
    <x v="0"/>
    <s v="TRK-029"/>
    <s v="J. Mutua"/>
    <n v="813"/>
    <n v="192.5"/>
    <n v="156502.5"/>
    <n v="602"/>
    <s v="2025-04-30"/>
    <d v="2025-04-01T00:00:00"/>
    <s v="2025-04-30"/>
    <s v="April 2025"/>
    <x v="1"/>
    <n v="26385.38"/>
    <n v="182887.88"/>
  </r>
  <r>
    <s v="SHP-00510"/>
    <s v="2025-03-16"/>
    <x v="4"/>
    <x v="0"/>
    <x v="5"/>
    <x v="3"/>
    <s v="TRK-025"/>
    <s v="L. Wekesa"/>
    <n v="166"/>
    <n v="76.510000000000005"/>
    <n v="12700.66"/>
    <n v="356"/>
    <s v="2025-03-18"/>
    <d v="2025-03-01T00:00:00"/>
    <s v="2025-03-20"/>
    <s v="March 2025"/>
    <x v="0"/>
    <n v="15817.18"/>
    <n v="28517.84"/>
  </r>
  <r>
    <s v="SHP-00511"/>
    <s v="2025-03-02"/>
    <x v="4"/>
    <x v="0"/>
    <x v="0"/>
    <x v="0"/>
    <s v="TRK-024"/>
    <s v="K. Barasa"/>
    <n v="2422"/>
    <n v="411.59"/>
    <n v="996870.98"/>
    <n v="114"/>
    <s v="2025-03-03"/>
    <d v="2025-03-01T00:00:00"/>
    <s v="2025-03-03"/>
    <s v="March 2025"/>
    <x v="1"/>
    <n v="6716"/>
    <n v="1003586.98"/>
  </r>
  <r>
    <s v="SHP-00512"/>
    <s v="2025-06-07"/>
    <x v="9"/>
    <x v="2"/>
    <x v="0"/>
    <x v="3"/>
    <s v="TRK-017"/>
    <s v="L. Wekesa"/>
    <n v="935"/>
    <n v="607.55999999999995"/>
    <n v="568068.6"/>
    <n v="411"/>
    <s v="2025-06-09"/>
    <d v="2025-06-01T00:00:00"/>
    <s v="2025-06-11"/>
    <s v="June 2025"/>
    <x v="0"/>
    <n v="19803.13"/>
    <n v="587871.73"/>
  </r>
  <r>
    <s v="SHP-00513"/>
    <s v="2025-01-12"/>
    <x v="3"/>
    <x v="5"/>
    <x v="0"/>
    <x v="2"/>
    <s v="TRK-030"/>
    <s v="S. Chebet"/>
    <n v="373"/>
    <n v="816.14"/>
    <n v="304420.21999999997"/>
    <n v="105"/>
    <s v="2025-01-13"/>
    <d v="2025-01-01T00:00:00"/>
    <s v="2025-01-17"/>
    <s v="January 2025"/>
    <x v="0"/>
    <n v="3829.34"/>
    <n v="308249.56"/>
  </r>
  <r>
    <s v="SHP-00514"/>
    <s v="2025-05-12"/>
    <x v="10"/>
    <x v="1"/>
    <x v="4"/>
    <x v="3"/>
    <s v="TRK-024"/>
    <s v="E. Achieng"/>
    <n v="819"/>
    <n v="503.99"/>
    <n v="412767.81"/>
    <n v="27"/>
    <s v="2025-05-13"/>
    <d v="2025-05-01T00:00:00"/>
    <s v="2025-05-13"/>
    <s v="May 2025"/>
    <x v="1"/>
    <n v="1039.83"/>
    <n v="413807.64"/>
  </r>
  <r>
    <s v="SHP-00515"/>
    <s v="2025-01-30"/>
    <x v="3"/>
    <x v="3"/>
    <x v="3"/>
    <x v="1"/>
    <s v="TRK-021"/>
    <s v="J. Mutua"/>
    <n v="140"/>
    <n v="179.79"/>
    <n v="25170.6"/>
    <n v="419"/>
    <s v="2025-02-01"/>
    <d v="2025-02-01T00:00:00"/>
    <s v="2025-02-01"/>
    <s v="February 2025"/>
    <x v="1"/>
    <n v="19012.86"/>
    <n v="44183.46"/>
  </r>
  <r>
    <s v="SHP-00516"/>
    <s v="2025-10-29"/>
    <x v="5"/>
    <x v="2"/>
    <x v="3"/>
    <x v="3"/>
    <s v="TRK-028"/>
    <s v="L. Wekesa"/>
    <n v="1786"/>
    <n v="165.78"/>
    <n v="296083.08"/>
    <n v="26"/>
    <s v="2025-10-30"/>
    <d v="2025-10-01T00:00:00"/>
    <s v="2025-10-30"/>
    <s v="October 2025"/>
    <x v="1"/>
    <n v="1450.6"/>
    <n v="297533.68"/>
  </r>
  <r>
    <s v="SHP-00517"/>
    <s v="2025-09-18"/>
    <x v="11"/>
    <x v="3"/>
    <x v="1"/>
    <x v="1"/>
    <s v="TRK-011"/>
    <s v="K. Barasa"/>
    <n v="2248"/>
    <n v="748.98"/>
    <n v="1683707.04"/>
    <n v="311"/>
    <s v="2025-09-19"/>
    <d v="2025-09-01T00:00:00"/>
    <s v="2025-09-19"/>
    <s v="September 2025"/>
    <x v="1"/>
    <n v="17464.310000000001"/>
    <n v="1701171.35"/>
  </r>
  <r>
    <s v="SHP-00518"/>
    <s v="2025-06-10"/>
    <x v="9"/>
    <x v="1"/>
    <x v="3"/>
    <x v="3"/>
    <s v="TRK-013"/>
    <s v="L. Wekesa"/>
    <n v="2289"/>
    <n v="836.26"/>
    <n v="1914199.14"/>
    <n v="365"/>
    <s v="2025-06-12"/>
    <d v="2025-06-01T00:00:00"/>
    <s v="2025-06-13"/>
    <s v="June 2025"/>
    <x v="0"/>
    <n v="20883.61"/>
    <n v="1935082.75"/>
  </r>
  <r>
    <s v="SHP-00519"/>
    <s v="2025-04-19"/>
    <x v="0"/>
    <x v="6"/>
    <x v="5"/>
    <x v="1"/>
    <s v="TRK-023"/>
    <s v="Not Found"/>
    <n v="1394"/>
    <n v="169.74"/>
    <n v="236617.56"/>
    <n v="59"/>
    <s v="2025-04-20"/>
    <d v="2025-04-01T00:00:00"/>
    <s v="2025-04-20"/>
    <s v="April 2025"/>
    <x v="1"/>
    <n v="2623.38"/>
    <n v="239240.94"/>
  </r>
  <r>
    <s v="SHP-00520"/>
    <s v="2025-07-18"/>
    <x v="7"/>
    <x v="1"/>
    <x v="3"/>
    <x v="3"/>
    <s v="TRK-008"/>
    <s v="A. Hassan"/>
    <n v="923"/>
    <n v="368.99"/>
    <n v="340577.77"/>
    <n v="459"/>
    <s v="2025-07-20"/>
    <d v="2025-07-01T00:00:00"/>
    <s v="2025-07-19"/>
    <s v="July 2025"/>
    <x v="1"/>
    <n v="25851.15"/>
    <n v="366428.92000000004"/>
  </r>
  <r>
    <s v="SHP-00521"/>
    <s v="2025-06-02"/>
    <x v="9"/>
    <x v="5"/>
    <x v="5"/>
    <x v="2"/>
    <s v="TRK-030"/>
    <s v="K. Barasa"/>
    <n v="1396"/>
    <n v="154.9"/>
    <n v="216240.4"/>
    <n v="352"/>
    <s v="2025-06-04"/>
    <d v="2025-06-01T00:00:00"/>
    <s v="2025-06-04"/>
    <s v="June 2025"/>
    <x v="1"/>
    <n v="12455.08"/>
    <n v="228695.47999999998"/>
  </r>
  <r>
    <s v="SHP-00522"/>
    <s v="2025-02-18"/>
    <x v="1"/>
    <x v="6"/>
    <x v="3"/>
    <x v="0"/>
    <s v="TRK-023"/>
    <s v="E. Achieng"/>
    <n v="579"/>
    <n v="676.26"/>
    <n v="391554.54"/>
    <n v="640"/>
    <s v="2025-02-20"/>
    <d v="2025-02-01T00:00:00"/>
    <s v="2025-02-20"/>
    <s v="February 2025"/>
    <x v="1"/>
    <n v="27919.47"/>
    <n v="419474.01"/>
  </r>
  <r>
    <s v="SHP-00523"/>
    <s v="2025-08-09"/>
    <x v="6"/>
    <x v="3"/>
    <x v="1"/>
    <x v="1"/>
    <s v="TRK-008"/>
    <s v="S. Chebet"/>
    <n v="2500"/>
    <n v="702.79"/>
    <n v="1756975"/>
    <n v="674"/>
    <s v="2025-08-11"/>
    <d v="2025-08-01T00:00:00"/>
    <s v="2025-08-11"/>
    <s v="August 2025"/>
    <x v="1"/>
    <n v="32968.6"/>
    <n v="1789943.6"/>
  </r>
  <r>
    <s v="SHP-00524"/>
    <s v="2025-03-22"/>
    <x v="4"/>
    <x v="4"/>
    <x v="0"/>
    <x v="0"/>
    <s v="TRK-001"/>
    <s v="P. Maina"/>
    <n v="1378"/>
    <n v="56.7"/>
    <n v="78132.600000000006"/>
    <n v="29"/>
    <s v="2025-03-23"/>
    <d v="2025-03-01T00:00:00"/>
    <s v="2025-03-24"/>
    <s v="March 2025"/>
    <x v="0"/>
    <n v="1180.58"/>
    <n v="79313.180000000008"/>
  </r>
  <r>
    <s v="SHP-00525"/>
    <s v="2025-10-23"/>
    <x v="5"/>
    <x v="4"/>
    <x v="4"/>
    <x v="0"/>
    <s v="TRK-009"/>
    <s v="K. Barasa"/>
    <n v="1924"/>
    <n v="675.36"/>
    <n v="1299392.6399999999"/>
    <n v="527"/>
    <s v="2025-10-25"/>
    <d v="2025-10-01T00:00:00"/>
    <s v="2025-10-27"/>
    <s v="October 2025"/>
    <x v="0"/>
    <n v="30334.3"/>
    <n v="1329726.94"/>
  </r>
  <r>
    <s v="SHP-00526"/>
    <s v="2025-06-12"/>
    <x v="9"/>
    <x v="5"/>
    <x v="4"/>
    <x v="1"/>
    <s v="TRK-018"/>
    <s v="J. Mutua"/>
    <n v="555"/>
    <n v="795.38"/>
    <n v="441435.9"/>
    <n v="513"/>
    <s v="2025-06-14"/>
    <d v="2025-06-01T00:00:00"/>
    <s v="2025-06-13"/>
    <s v="June 2025"/>
    <x v="1"/>
    <n v="20694.79"/>
    <n v="462130.69"/>
  </r>
  <r>
    <s v="SHP-00527"/>
    <s v="2025-02-16"/>
    <x v="1"/>
    <x v="5"/>
    <x v="1"/>
    <x v="0"/>
    <s v="TRK-018"/>
    <s v="S. Chebet"/>
    <n v="743"/>
    <n v="469.43"/>
    <n v="348786.49"/>
    <n v="123"/>
    <s v="2025-02-17"/>
    <d v="2025-02-01T00:00:00"/>
    <s v="2025-02-21"/>
    <s v="February 2025"/>
    <x v="0"/>
    <n v="4841.41"/>
    <n v="353627.89999999997"/>
  </r>
  <r>
    <s v="SHP-00528"/>
    <s v="2025-04-23"/>
    <x v="0"/>
    <x v="4"/>
    <x v="4"/>
    <x v="1"/>
    <s v="TRK-009"/>
    <s v="B. Kiprono"/>
    <n v="1519"/>
    <n v="839.24"/>
    <n v="1274805.56"/>
    <n v="672"/>
    <s v="2025-04-25"/>
    <d v="2025-04-01T00:00:00"/>
    <s v="2025-04-27"/>
    <s v="April 2025"/>
    <x v="0"/>
    <n v="25955.03"/>
    <n v="1300760.5900000001"/>
  </r>
  <r>
    <s v="SHP-00529"/>
    <s v="2025-11-18"/>
    <x v="2"/>
    <x v="1"/>
    <x v="5"/>
    <x v="0"/>
    <s v="TRK-015"/>
    <s v="J. Mutua"/>
    <n v="73"/>
    <n v="416.2"/>
    <n v="30382.6"/>
    <n v="717"/>
    <s v="2025-11-21"/>
    <d v="2025-11-01T00:00:00"/>
    <s v="2025-11-21"/>
    <s v="November 2025"/>
    <x v="1"/>
    <n v="42834.559999999998"/>
    <n v="73217.16"/>
  </r>
  <r>
    <s v="SHP-00530"/>
    <s v="2025-05-22"/>
    <x v="10"/>
    <x v="7"/>
    <x v="2"/>
    <x v="2"/>
    <s v="TRK-015"/>
    <s v="K. Barasa"/>
    <n v="2207"/>
    <n v="745.2"/>
    <n v="1644656.4"/>
    <n v="616"/>
    <s v="2025-05-24"/>
    <d v="2025-05-01T00:00:00"/>
    <s v="2025-05-23"/>
    <s v="May 2025"/>
    <x v="1"/>
    <n v="0"/>
    <n v="1644656.4"/>
  </r>
  <r>
    <s v="SHP-00531"/>
    <s v="2025-10-04"/>
    <x v="5"/>
    <x v="0"/>
    <x v="4"/>
    <x v="0"/>
    <s v="TRK-029"/>
    <s v="K. Barasa"/>
    <n v="1624"/>
    <n v="360.86"/>
    <n v="586036.64"/>
    <n v="435"/>
    <s v="2025-10-06"/>
    <d v="2025-10-01T00:00:00"/>
    <s v="2025-10-06"/>
    <s v="October 2025"/>
    <x v="1"/>
    <n v="18914.89"/>
    <n v="604951.53"/>
  </r>
  <r>
    <s v="SHP-00532"/>
    <s v="2025-04-08"/>
    <x v="0"/>
    <x v="4"/>
    <x v="2"/>
    <x v="0"/>
    <s v="TRK-011"/>
    <s v="M. Otieno"/>
    <n v="1075"/>
    <n v="560.72"/>
    <n v="602774"/>
    <n v="532"/>
    <s v="2025-04-10"/>
    <d v="2025-04-01T00:00:00"/>
    <s v="2025-04-12"/>
    <s v="April 2025"/>
    <x v="0"/>
    <n v="30211.759999999998"/>
    <n v="632985.76"/>
  </r>
  <r>
    <s v="SHP-00533"/>
    <s v="2025-11-07"/>
    <x v="2"/>
    <x v="0"/>
    <x v="1"/>
    <x v="1"/>
    <s v="TRK-025"/>
    <s v="E. Achieng"/>
    <n v="328"/>
    <n v="603.41999999999996"/>
    <n v="197921.76"/>
    <n v="398"/>
    <s v="2025-11-09"/>
    <d v="2025-11-01T00:00:00"/>
    <s v="2025-11-08"/>
    <s v="November 2025"/>
    <x v="1"/>
    <n v="23668.19"/>
    <n v="221589.95"/>
  </r>
  <r>
    <s v="SHP-00534"/>
    <s v="2025-07-29"/>
    <x v="7"/>
    <x v="1"/>
    <x v="2"/>
    <x v="2"/>
    <s v="TRK-011"/>
    <s v="P. Maina"/>
    <n v="2385"/>
    <n v="47.98"/>
    <n v="114432.3"/>
    <n v="495"/>
    <s v="2025-07-31"/>
    <d v="2025-07-01T00:00:00"/>
    <s v="2025-08-03"/>
    <s v="August 2025"/>
    <x v="0"/>
    <n v="25318.34"/>
    <n v="139750.64000000001"/>
  </r>
  <r>
    <s v="SHP-00535"/>
    <s v="2025-05-04"/>
    <x v="10"/>
    <x v="4"/>
    <x v="5"/>
    <x v="3"/>
    <s v="TRK-017"/>
    <s v="M. Otieno"/>
    <n v="484"/>
    <n v="740.95"/>
    <n v="358619.8"/>
    <n v="271"/>
    <s v="2025-05-05"/>
    <d v="2025-05-01T00:00:00"/>
    <s v="2025-05-05"/>
    <s v="May 2025"/>
    <x v="1"/>
    <n v="13299.94"/>
    <n v="371919.74"/>
  </r>
  <r>
    <s v="SHP-00536"/>
    <s v="2025-01-15"/>
    <x v="3"/>
    <x v="6"/>
    <x v="1"/>
    <x v="0"/>
    <s v="TRK-028"/>
    <s v="K. Barasa"/>
    <n v="1226"/>
    <n v="279.77"/>
    <n v="342998.02"/>
    <n v="265"/>
    <s v="2025-01-16"/>
    <d v="2025-01-01T00:00:00"/>
    <s v="2025-01-17"/>
    <s v="January 2025"/>
    <x v="0"/>
    <n v="15831.74"/>
    <n v="358829.76"/>
  </r>
  <r>
    <s v="SHP-00537"/>
    <s v="2025-01-09"/>
    <x v="3"/>
    <x v="2"/>
    <x v="5"/>
    <x v="1"/>
    <s v="TRK-007"/>
    <s v="M. Otieno"/>
    <n v="1398"/>
    <n v="702.34"/>
    <n v="981871.32"/>
    <n v="281"/>
    <s v="2025-01-10"/>
    <d v="2025-01-01T00:00:00"/>
    <s v="2025-01-10"/>
    <s v="January 2025"/>
    <x v="1"/>
    <n v="9983.33"/>
    <n v="991854.64999999991"/>
  </r>
  <r>
    <s v="SHP-00538"/>
    <s v="2025-06-21"/>
    <x v="9"/>
    <x v="6"/>
    <x v="2"/>
    <x v="1"/>
    <s v="TRK-022"/>
    <s v="Not Found"/>
    <n v="443"/>
    <n v="63.51"/>
    <n v="28134.93"/>
    <n v="146"/>
    <s v="2025-06-22"/>
    <d v="2025-06-01T00:00:00"/>
    <s v="2025-06-25"/>
    <s v="June 2025"/>
    <x v="0"/>
    <n v="5536.24"/>
    <n v="33671.17"/>
  </r>
  <r>
    <s v="SHP-00539"/>
    <s v="2025-01-06"/>
    <x v="3"/>
    <x v="7"/>
    <x v="5"/>
    <x v="2"/>
    <s v="TRK-008"/>
    <s v="B. Kiprono"/>
    <n v="2253"/>
    <n v="680.93"/>
    <n v="1534135.29"/>
    <n v="668"/>
    <s v="2025-01-08"/>
    <d v="2025-01-01T00:00:00"/>
    <s v="2025-01-10"/>
    <s v="January 2025"/>
    <x v="0"/>
    <n v="23813.77"/>
    <n v="1557949.06"/>
  </r>
  <r>
    <s v="SHP-00540"/>
    <s v="2025-01-28"/>
    <x v="3"/>
    <x v="3"/>
    <x v="5"/>
    <x v="0"/>
    <s v="TRK-021"/>
    <s v="D. Said"/>
    <n v="1279"/>
    <n v="671.2"/>
    <n v="858464.8"/>
    <n v="418"/>
    <s v="2025-01-30"/>
    <d v="2025-01-01T00:00:00"/>
    <s v="2025-01-31"/>
    <s v="January 2025"/>
    <x v="0"/>
    <n v="22931.59"/>
    <n v="881396.39"/>
  </r>
  <r>
    <s v="SHP-00541"/>
    <s v="2025-05-13"/>
    <x v="10"/>
    <x v="3"/>
    <x v="0"/>
    <x v="3"/>
    <s v="TRK-012"/>
    <s v="E. Achieng"/>
    <n v="2413"/>
    <n v="770.28"/>
    <n v="1858685.64"/>
    <n v="543"/>
    <s v="2025-05-15"/>
    <d v="2025-05-01T00:00:00"/>
    <s v="2025-05-16"/>
    <s v="May 2025"/>
    <x v="0"/>
    <n v="26997.86"/>
    <n v="1885683.5"/>
  </r>
  <r>
    <s v="SHP-00542"/>
    <s v="2025-04-23"/>
    <x v="0"/>
    <x v="0"/>
    <x v="3"/>
    <x v="3"/>
    <s v="TRK-027"/>
    <s v="B. Kiprono"/>
    <n v="195"/>
    <n v="642.04"/>
    <n v="125197.8"/>
    <n v="351"/>
    <s v="2025-04-25"/>
    <d v="2025-04-01T00:00:00"/>
    <s v="2025-04-28"/>
    <s v="April 2025"/>
    <x v="0"/>
    <n v="18657.68"/>
    <n v="143855.48000000001"/>
  </r>
  <r>
    <s v="SHP-00543"/>
    <s v="2025-11-29"/>
    <x v="2"/>
    <x v="7"/>
    <x v="2"/>
    <x v="3"/>
    <s v="TRK-024"/>
    <s v="M. Otieno"/>
    <n v="938"/>
    <n v="61.84"/>
    <n v="58005.919999999998"/>
    <n v="638"/>
    <s v="2025-12-01"/>
    <d v="2025-12-01T00:00:00"/>
    <s v="2025-12-01"/>
    <s v="December 2025"/>
    <x v="1"/>
    <n v="25204.52"/>
    <n v="83210.44"/>
  </r>
  <r>
    <s v="SHP-00544"/>
    <s v="2025-04-17"/>
    <x v="0"/>
    <x v="7"/>
    <x v="5"/>
    <x v="0"/>
    <s v="TRK-017"/>
    <s v="M. Otieno"/>
    <n v="514"/>
    <n v="241.83"/>
    <n v="124300.62"/>
    <n v="418"/>
    <s v="2025-04-19"/>
    <d v="2025-04-01T00:00:00"/>
    <s v="2025-04-19"/>
    <s v="April 2025"/>
    <x v="1"/>
    <n v="16575.3"/>
    <n v="140875.91999999998"/>
  </r>
  <r>
    <s v="SHP-00545"/>
    <s v="2025-09-13"/>
    <x v="11"/>
    <x v="3"/>
    <x v="4"/>
    <x v="0"/>
    <s v="TRK-018"/>
    <s v="P. Maina"/>
    <n v="321"/>
    <n v="119.5"/>
    <n v="38359.5"/>
    <n v="167"/>
    <s v="2025-09-14"/>
    <d v="2025-09-01T00:00:00"/>
    <s v="2025-09-14"/>
    <s v="September 2025"/>
    <x v="1"/>
    <n v="10180.549999999999"/>
    <n v="48540.05"/>
  </r>
  <r>
    <s v="SHP-00546"/>
    <s v="2025-08-13"/>
    <x v="6"/>
    <x v="2"/>
    <x v="1"/>
    <x v="0"/>
    <s v="TRK-019"/>
    <s v="A. Hassan"/>
    <n v="1293"/>
    <n v="748.36"/>
    <n v="967629.48"/>
    <n v="90"/>
    <s v="2025-08-14"/>
    <d v="2025-08-01T00:00:00"/>
    <s v="2025-08-18"/>
    <s v="August 2025"/>
    <x v="0"/>
    <n v="4082.03"/>
    <n v="971711.51"/>
  </r>
  <r>
    <s v="SHP-00547"/>
    <s v="2025-03-19"/>
    <x v="4"/>
    <x v="0"/>
    <x v="4"/>
    <x v="3"/>
    <s v="TRK-025"/>
    <s v="B. Kiprono"/>
    <n v="1639"/>
    <n v="879.59"/>
    <n v="1441648.01"/>
    <n v="351"/>
    <s v="2025-03-21"/>
    <d v="2025-03-01T00:00:00"/>
    <s v="2025-03-22"/>
    <s v="March 2025"/>
    <x v="0"/>
    <n v="12802.8"/>
    <n v="1454450.81"/>
  </r>
  <r>
    <s v="SHP-00548"/>
    <s v="2025-04-14"/>
    <x v="0"/>
    <x v="4"/>
    <x v="4"/>
    <x v="1"/>
    <s v="TRK-023"/>
    <s v="P. Maina"/>
    <n v="325"/>
    <n v="51.13"/>
    <n v="16617.25"/>
    <n v="238"/>
    <s v="2025-04-15"/>
    <d v="2025-04-01T00:00:00"/>
    <s v="2025-04-15"/>
    <s v="April 2025"/>
    <x v="1"/>
    <n v="9751.18"/>
    <n v="26368.43"/>
  </r>
  <r>
    <s v="SHP-00549"/>
    <s v="2025-08-20"/>
    <x v="6"/>
    <x v="3"/>
    <x v="1"/>
    <x v="0"/>
    <s v="TRK-018"/>
    <s v="P. Maina"/>
    <n v="1724"/>
    <n v="831.2"/>
    <n v="1432988.8"/>
    <n v="31"/>
    <s v="2025-08-21"/>
    <d v="2025-08-01T00:00:00"/>
    <s v="2025-08-24"/>
    <s v="August 2025"/>
    <x v="0"/>
    <n v="1832.76"/>
    <n v="1434821.56"/>
  </r>
  <r>
    <s v="SHP-00550"/>
    <s v="2025-11-18"/>
    <x v="2"/>
    <x v="4"/>
    <x v="4"/>
    <x v="0"/>
    <s v="TRK-018"/>
    <s v="B. Kiprono"/>
    <n v="2290"/>
    <n v="295.64999999999998"/>
    <n v="677038.5"/>
    <n v="102"/>
    <s v="2025-11-19"/>
    <d v="2025-11-01T00:00:00"/>
    <s v="2025-11-19"/>
    <s v="November 2025"/>
    <x v="1"/>
    <n v="6004.17"/>
    <n v="683042.67"/>
  </r>
  <r>
    <s v="SHP-00551"/>
    <s v="2025-12-09"/>
    <x v="8"/>
    <x v="5"/>
    <x v="3"/>
    <x v="2"/>
    <s v="TRK-018"/>
    <s v="S. Chebet"/>
    <n v="139"/>
    <n v="586.97"/>
    <n v="81588.83"/>
    <n v="108"/>
    <s v="2025-12-10"/>
    <d v="2025-12-01T00:00:00"/>
    <s v="2025-12-12"/>
    <s v="December 2025"/>
    <x v="0"/>
    <n v="6549.98"/>
    <n v="88138.81"/>
  </r>
  <r>
    <s v="SHP-00552"/>
    <s v="2025-08-10"/>
    <x v="6"/>
    <x v="4"/>
    <x v="0"/>
    <x v="1"/>
    <s v="TRK-027"/>
    <s v="S. Chebet"/>
    <n v="235"/>
    <n v="352.18"/>
    <n v="82762.3"/>
    <n v="24"/>
    <s v="2025-08-11"/>
    <d v="2025-08-01T00:00:00"/>
    <s v="2025-08-15"/>
    <s v="August 2025"/>
    <x v="0"/>
    <n v="858.18"/>
    <n v="83620.479999999996"/>
  </r>
  <r>
    <s v="SHP-00553"/>
    <s v="2025-09-18"/>
    <x v="11"/>
    <x v="2"/>
    <x v="2"/>
    <x v="0"/>
    <s v="TRK-013"/>
    <s v="E. Achieng"/>
    <n v="94"/>
    <n v="358.76"/>
    <n v="33723.440000000002"/>
    <n v="114"/>
    <s v="2025-09-19"/>
    <d v="2025-09-01T00:00:00"/>
    <s v="2025-09-19"/>
    <s v="September 2025"/>
    <x v="1"/>
    <n v="6423.62"/>
    <n v="40147.060000000005"/>
  </r>
  <r>
    <s v="SHP-00554"/>
    <s v="2025-05-30"/>
    <x v="10"/>
    <x v="7"/>
    <x v="3"/>
    <x v="1"/>
    <s v="TRK-015"/>
    <s v="P. Maina"/>
    <n v="1408"/>
    <n v="367.67"/>
    <n v="517679.35999999999"/>
    <n v="33"/>
    <s v="2025-05-31"/>
    <d v="2025-05-01T00:00:00"/>
    <s v="2025-06-01"/>
    <s v="June 2025"/>
    <x v="0"/>
    <n v="1546.49"/>
    <n v="519225.85"/>
  </r>
  <r>
    <s v="SHP-00555"/>
    <s v="2025-01-15"/>
    <x v="3"/>
    <x v="6"/>
    <x v="4"/>
    <x v="3"/>
    <s v="TRK-010"/>
    <s v="B. Kiprono"/>
    <n v="959"/>
    <n v="819.4"/>
    <n v="785804.6"/>
    <n v="665"/>
    <s v="2025-01-17"/>
    <d v="2025-01-01T00:00:00"/>
    <s v="2025-01-18"/>
    <s v="January 2025"/>
    <x v="0"/>
    <n v="39218.26"/>
    <n v="825022.86"/>
  </r>
  <r>
    <s v="SHP-00556"/>
    <s v="2025-08-31"/>
    <x v="6"/>
    <x v="6"/>
    <x v="2"/>
    <x v="0"/>
    <s v="TRK-029"/>
    <s v="J. Mutua"/>
    <n v="783"/>
    <n v="646.66999999999996"/>
    <n v="506342.61"/>
    <n v="377"/>
    <s v="2025-09-02"/>
    <d v="2025-09-01T00:00:00"/>
    <s v="2025-09-06"/>
    <s v="September 2025"/>
    <x v="0"/>
    <n v="23216.48"/>
    <n v="529559.09"/>
  </r>
  <r>
    <s v="SHP-00557"/>
    <s v="2025-01-13"/>
    <x v="3"/>
    <x v="6"/>
    <x v="3"/>
    <x v="0"/>
    <s v="TRK-007"/>
    <s v="S. Chebet"/>
    <n v="1306"/>
    <n v="535.65"/>
    <n v="699558.9"/>
    <n v="320"/>
    <s v="2025-01-14"/>
    <d v="2025-01-01T00:00:00"/>
    <s v="2025-01-17"/>
    <s v="January 2025"/>
    <x v="0"/>
    <n v="11763.19"/>
    <n v="711322.09"/>
  </r>
  <r>
    <s v="SHP-00558"/>
    <s v="2025-05-25"/>
    <x v="10"/>
    <x v="6"/>
    <x v="4"/>
    <x v="2"/>
    <s v="TRK-030"/>
    <s v="E. Achieng"/>
    <n v="840"/>
    <n v="811.56"/>
    <n v="681710.4"/>
    <n v="316"/>
    <s v="2025-05-26"/>
    <d v="2025-05-01T00:00:00"/>
    <s v="2025-05-28"/>
    <s v="May 2025"/>
    <x v="0"/>
    <n v="14603.03"/>
    <n v="696313.43"/>
  </r>
  <r>
    <s v="SHP-00559"/>
    <s v="2025-04-11"/>
    <x v="0"/>
    <x v="1"/>
    <x v="5"/>
    <x v="3"/>
    <s v="TRK-015"/>
    <s v="S. Chebet"/>
    <n v="1038"/>
    <n v="736.64"/>
    <n v="764632.32"/>
    <n v="254"/>
    <s v="2025-04-12"/>
    <d v="2025-04-01T00:00:00"/>
    <s v="2025-04-14"/>
    <s v="April 2025"/>
    <x v="0"/>
    <n v="14681.96"/>
    <n v="779314.27999999991"/>
  </r>
  <r>
    <s v="SHP-00560"/>
    <s v="2025-07-20"/>
    <x v="7"/>
    <x v="1"/>
    <x v="1"/>
    <x v="2"/>
    <s v="TRK-012"/>
    <s v="B. Kiprono"/>
    <n v="834"/>
    <n v="679.32"/>
    <n v="566552.88"/>
    <n v="335"/>
    <s v="2025-07-21"/>
    <d v="2025-07-01T00:00:00"/>
    <s v="2025-07-21"/>
    <s v="July 2025"/>
    <x v="1"/>
    <n v="12224.52"/>
    <n v="578777.4"/>
  </r>
  <r>
    <s v="SHP-00561"/>
    <s v="2025-03-03"/>
    <x v="4"/>
    <x v="2"/>
    <x v="1"/>
    <x v="2"/>
    <s v="TRK-026"/>
    <s v="J. Mutua"/>
    <n v="2372"/>
    <n v="816.12"/>
    <n v="1935836.64"/>
    <n v="688"/>
    <s v="2025-03-05"/>
    <d v="2025-03-01T00:00:00"/>
    <s v="2025-03-06"/>
    <s v="March 2025"/>
    <x v="0"/>
    <n v="37119.660000000003"/>
    <n v="1972956.2999999998"/>
  </r>
  <r>
    <s v="SHP-00562"/>
    <s v="2025-12-09"/>
    <x v="8"/>
    <x v="3"/>
    <x v="2"/>
    <x v="1"/>
    <s v="TRK-019"/>
    <s v="L. Wekesa"/>
    <n v="2223"/>
    <n v="538.30999999999995"/>
    <n v="1196663.1299999999"/>
    <n v="269"/>
    <s v="2025-12-10"/>
    <d v="2025-12-01T00:00:00"/>
    <s v="2025-12-10"/>
    <s v="December 2025"/>
    <x v="1"/>
    <n v="16309.27"/>
    <n v="1212972.3999999999"/>
  </r>
  <r>
    <s v="SHP-00563"/>
    <s v="2025-07-21"/>
    <x v="7"/>
    <x v="3"/>
    <x v="4"/>
    <x v="2"/>
    <s v="TRK-026"/>
    <s v="D. Said"/>
    <n v="1453"/>
    <n v="363.86"/>
    <n v="528688.57999999996"/>
    <n v="77"/>
    <s v="2025-07-22"/>
    <d v="2025-07-01T00:00:00"/>
    <s v="2025-07-22"/>
    <s v="July 2025"/>
    <x v="1"/>
    <n v="4160.2299999999996"/>
    <n v="532848.80999999994"/>
  </r>
  <r>
    <s v="SHP-00564"/>
    <s v="2025-09-26"/>
    <x v="11"/>
    <x v="1"/>
    <x v="0"/>
    <x v="3"/>
    <s v="TRK-020"/>
    <s v="J. Mutua"/>
    <n v="1751"/>
    <n v="262.07"/>
    <n v="458884.57"/>
    <n v="345"/>
    <s v="2025-09-27"/>
    <d v="2025-09-01T00:00:00"/>
    <s v="2025-09-27"/>
    <s v="September 2025"/>
    <x v="1"/>
    <n v="18597.89"/>
    <n v="477482.46"/>
  </r>
  <r>
    <s v="SHP-00565"/>
    <s v="2025-09-10"/>
    <x v="11"/>
    <x v="6"/>
    <x v="4"/>
    <x v="1"/>
    <s v="TRK-003"/>
    <s v="K. Barasa"/>
    <n v="2059"/>
    <n v="235.19"/>
    <n v="484256.21"/>
    <n v="311"/>
    <s v="2025-09-11"/>
    <d v="2025-09-01T00:00:00"/>
    <s v="2025-09-11"/>
    <s v="September 2025"/>
    <x v="1"/>
    <n v="17281.509999999998"/>
    <n v="501537.72000000003"/>
  </r>
  <r>
    <s v="SHP-00566"/>
    <s v="2025-03-15"/>
    <x v="4"/>
    <x v="4"/>
    <x v="3"/>
    <x v="1"/>
    <s v="TRK-014"/>
    <s v="M. Otieno"/>
    <n v="1994"/>
    <n v="708.83"/>
    <n v="1413407.02"/>
    <n v="134"/>
    <s v="2025-03-16"/>
    <d v="2025-03-01T00:00:00"/>
    <s v="2025-03-16"/>
    <s v="March 2025"/>
    <x v="1"/>
    <n v="8277.2000000000007"/>
    <n v="1421684.22"/>
  </r>
  <r>
    <s v="SHP-00567"/>
    <s v="2025-11-27"/>
    <x v="2"/>
    <x v="2"/>
    <x v="4"/>
    <x v="3"/>
    <s v="TRK-021"/>
    <s v="P. Maina"/>
    <n v="1653"/>
    <n v="844.6"/>
    <n v="1396123.8"/>
    <n v="349"/>
    <s v="2025-11-28"/>
    <d v="2025-11-01T00:00:00"/>
    <s v="2025-12-01"/>
    <s v="December 2025"/>
    <x v="0"/>
    <n v="15681.32"/>
    <n v="1411805.12"/>
  </r>
  <r>
    <s v="SHP-00568"/>
    <s v="2025-06-04"/>
    <x v="9"/>
    <x v="6"/>
    <x v="3"/>
    <x v="3"/>
    <s v="TRK-011"/>
    <s v="Not Found"/>
    <n v="1600"/>
    <n v="482.51"/>
    <n v="772016"/>
    <n v="389"/>
    <s v="2025-06-06"/>
    <d v="2025-06-01T00:00:00"/>
    <s v="2025-06-10"/>
    <s v="June 2025"/>
    <x v="0"/>
    <n v="17832.7"/>
    <n v="789848.7"/>
  </r>
  <r>
    <s v="SHP-00569"/>
    <s v="2025-05-08"/>
    <x v="10"/>
    <x v="1"/>
    <x v="3"/>
    <x v="0"/>
    <s v="TRK-005"/>
    <s v="K. Barasa"/>
    <n v="1197"/>
    <n v="496.95"/>
    <n v="594849.15"/>
    <n v="205"/>
    <s v="2025-05-09"/>
    <d v="2025-05-01T00:00:00"/>
    <s v="2025-05-13"/>
    <s v="May 2025"/>
    <x v="0"/>
    <n v="12560.03"/>
    <n v="607409.18000000005"/>
  </r>
  <r>
    <s v="SHP-00570"/>
    <s v="2025-05-20"/>
    <x v="10"/>
    <x v="0"/>
    <x v="0"/>
    <x v="3"/>
    <s v="TRK-008"/>
    <s v="P. Maina"/>
    <n v="2493"/>
    <n v="617.67999999999995"/>
    <n v="1539876.24"/>
    <n v="412"/>
    <s v="2025-05-22"/>
    <d v="2025-05-01T00:00:00"/>
    <s v="2025-05-21"/>
    <s v="May 2025"/>
    <x v="1"/>
    <n v="23701.91"/>
    <n v="1563578.15"/>
  </r>
  <r>
    <s v="SHP-00571"/>
    <s v="2025-09-29"/>
    <x v="11"/>
    <x v="7"/>
    <x v="0"/>
    <x v="0"/>
    <s v="TRK-005"/>
    <s v="S. Chebet"/>
    <n v="1268"/>
    <n v="620.6"/>
    <n v="786920.8"/>
    <n v="482"/>
    <s v="2025-10-01"/>
    <d v="2025-10-01T00:00:00"/>
    <s v="2025-09-30"/>
    <s v="September 2025"/>
    <x v="1"/>
    <n v="22385.200000000001"/>
    <n v="809306"/>
  </r>
  <r>
    <s v="SHP-00572"/>
    <s v="2025-07-06"/>
    <x v="7"/>
    <x v="3"/>
    <x v="0"/>
    <x v="3"/>
    <s v="TRK-018"/>
    <s v="P. Maina"/>
    <n v="1050"/>
    <n v="237.2"/>
    <n v="249060"/>
    <n v="292"/>
    <s v="2025-07-07"/>
    <d v="2025-07-01T00:00:00"/>
    <s v="2025-07-07"/>
    <s v="July 2025"/>
    <x v="1"/>
    <n v="16765.71"/>
    <n v="265825.71000000002"/>
  </r>
  <r>
    <s v="SHP-00573"/>
    <s v="2025-03-19"/>
    <x v="4"/>
    <x v="7"/>
    <x v="5"/>
    <x v="1"/>
    <s v="TRK-017"/>
    <s v="P. Maina"/>
    <n v="323"/>
    <n v="538.89"/>
    <n v="174061.47"/>
    <n v="691"/>
    <s v="2025-03-21"/>
    <d v="2025-03-01T00:00:00"/>
    <s v="2025-03-22"/>
    <s v="March 2025"/>
    <x v="0"/>
    <n v="36168.35"/>
    <n v="210229.82"/>
  </r>
  <r>
    <s v="SHP-00574"/>
    <s v="2025-01-12"/>
    <x v="3"/>
    <x v="1"/>
    <x v="1"/>
    <x v="1"/>
    <s v="TRK-018"/>
    <s v="L. Wekesa"/>
    <n v="1097"/>
    <n v="480.6"/>
    <n v="527218.19999999995"/>
    <n v="152"/>
    <s v="2025-01-13"/>
    <d v="2025-01-01T00:00:00"/>
    <s v="2025-01-13"/>
    <s v="January 2025"/>
    <x v="1"/>
    <n v="8053.8"/>
    <n v="535272"/>
  </r>
  <r>
    <s v="SHP-00575"/>
    <s v="2025-01-03"/>
    <x v="3"/>
    <x v="5"/>
    <x v="0"/>
    <x v="0"/>
    <s v="TRK-018"/>
    <s v="B. Kiprono"/>
    <n v="1115"/>
    <n v="711.34"/>
    <n v="793144.1"/>
    <n v="528"/>
    <s v="2025-01-05"/>
    <d v="2025-01-01T00:00:00"/>
    <s v="2025-01-05"/>
    <s v="January 2025"/>
    <x v="1"/>
    <n v="19125.59"/>
    <n v="812269.69"/>
  </r>
  <r>
    <s v="SHP-00576"/>
    <s v="2025-01-10"/>
    <x v="3"/>
    <x v="2"/>
    <x v="1"/>
    <x v="3"/>
    <s v="TRK-009"/>
    <s v="P. Maina"/>
    <n v="1373"/>
    <n v="755.4"/>
    <n v="1037164.2"/>
    <n v="545"/>
    <s v="2025-01-12"/>
    <d v="2025-01-01T00:00:00"/>
    <s v="2025-01-12"/>
    <s v="January 2025"/>
    <x v="1"/>
    <n v="31781.17"/>
    <n v="1068945.3699999999"/>
  </r>
  <r>
    <s v="SHP-00577"/>
    <s v="2025-04-04"/>
    <x v="0"/>
    <x v="4"/>
    <x v="4"/>
    <x v="3"/>
    <s v="TRK-004"/>
    <s v="P. Maina"/>
    <n v="189"/>
    <n v="386.34"/>
    <n v="73018.259999999995"/>
    <n v="577"/>
    <s v="2025-04-06"/>
    <d v="2025-04-01T00:00:00"/>
    <s v="2025-04-05"/>
    <s v="April 2025"/>
    <x v="1"/>
    <n v="24338.23"/>
    <n v="97356.489999999991"/>
  </r>
  <r>
    <s v="SHP-00578"/>
    <s v="2025-12-03"/>
    <x v="8"/>
    <x v="0"/>
    <x v="3"/>
    <x v="2"/>
    <s v="TRK-007"/>
    <s v="S. Chebet"/>
    <n v="1520"/>
    <n v="174.99"/>
    <n v="265984.8"/>
    <n v="567"/>
    <s v="2025-12-05"/>
    <d v="2025-12-01T00:00:00"/>
    <s v="2025-12-05"/>
    <s v="December 2025"/>
    <x v="1"/>
    <n v="23533.33"/>
    <n v="289518.13"/>
  </r>
  <r>
    <s v="SHP-00579"/>
    <s v="2025-01-26"/>
    <x v="3"/>
    <x v="4"/>
    <x v="2"/>
    <x v="3"/>
    <s v="TRK-025"/>
    <s v="J. Mutua"/>
    <n v="2067"/>
    <n v="384.16"/>
    <n v="794058.72"/>
    <n v="404"/>
    <s v="2025-01-28"/>
    <d v="2025-01-01T00:00:00"/>
    <s v="2025-01-27"/>
    <s v="January 2025"/>
    <x v="1"/>
    <n v="18945.04"/>
    <n v="813003.76"/>
  </r>
  <r>
    <s v="SHP-00580"/>
    <s v="2025-07-18"/>
    <x v="7"/>
    <x v="1"/>
    <x v="3"/>
    <x v="1"/>
    <s v="TRK-020"/>
    <s v="A. Hassan"/>
    <n v="1294"/>
    <n v="436.46"/>
    <n v="564779.24"/>
    <n v="430"/>
    <s v="2025-07-20"/>
    <d v="2025-07-01T00:00:00"/>
    <s v="2025-07-23"/>
    <s v="July 2025"/>
    <x v="0"/>
    <n v="21816.1"/>
    <n v="586595.34"/>
  </r>
  <r>
    <s v="SHP-00581"/>
    <s v="2025-01-02"/>
    <x v="3"/>
    <x v="5"/>
    <x v="5"/>
    <x v="0"/>
    <s v="TRK-007"/>
    <s v="S. Chebet"/>
    <n v="1377"/>
    <n v="596.15"/>
    <n v="820898.55"/>
    <n v="18"/>
    <s v="2025-01-03"/>
    <d v="2025-01-01T00:00:00"/>
    <s v="2025-01-06"/>
    <s v="January 2025"/>
    <x v="0"/>
    <n v="759.87"/>
    <n v="821658.42"/>
  </r>
  <r>
    <s v="SHP-00582"/>
    <s v="2025-03-13"/>
    <x v="4"/>
    <x v="1"/>
    <x v="4"/>
    <x v="3"/>
    <s v="TRK-004"/>
    <s v="K. Barasa"/>
    <n v="2262"/>
    <n v="770.67"/>
    <n v="1743255.54"/>
    <n v="665"/>
    <s v="2025-03-15"/>
    <d v="2025-03-01T00:00:00"/>
    <s v="2025-03-14"/>
    <s v="March 2025"/>
    <x v="1"/>
    <n v="23777.5"/>
    <n v="1767033.04"/>
  </r>
  <r>
    <s v="SHP-00583"/>
    <s v="2025-04-16"/>
    <x v="0"/>
    <x v="2"/>
    <x v="2"/>
    <x v="0"/>
    <s v="TRK-028"/>
    <s v="J. Mutua"/>
    <n v="902"/>
    <n v="528.45000000000005"/>
    <n v="476661.9"/>
    <n v="606"/>
    <s v="2025-04-18"/>
    <d v="2025-04-01T00:00:00"/>
    <s v="2025-04-18"/>
    <s v="April 2025"/>
    <x v="1"/>
    <n v="25811.21"/>
    <n v="502473.11000000004"/>
  </r>
  <r>
    <s v="SHP-00584"/>
    <s v="2025-06-24"/>
    <x v="9"/>
    <x v="6"/>
    <x v="3"/>
    <x v="3"/>
    <s v="TRK-010"/>
    <s v="D. Said"/>
    <n v="1605"/>
    <n v="48.3"/>
    <n v="77521.5"/>
    <n v="605"/>
    <s v="2025-06-26"/>
    <d v="2025-06-01T00:00:00"/>
    <s v="2025-06-30"/>
    <s v="June 2025"/>
    <x v="0"/>
    <n v="32469.31"/>
    <n v="109990.81"/>
  </r>
  <r>
    <s v="SHP-00585"/>
    <s v="2025-06-10"/>
    <x v="9"/>
    <x v="5"/>
    <x v="5"/>
    <x v="2"/>
    <s v="TRK-007"/>
    <s v="E. Achieng"/>
    <n v="177"/>
    <n v="124.2"/>
    <n v="21983.4"/>
    <n v="571"/>
    <s v="2025-06-12"/>
    <d v="2025-06-01T00:00:00"/>
    <s v="2025-06-14"/>
    <s v="June 2025"/>
    <x v="0"/>
    <n v="26577.4"/>
    <n v="48560.800000000003"/>
  </r>
  <r>
    <s v="SHP-00586"/>
    <s v="2025-06-13"/>
    <x v="9"/>
    <x v="2"/>
    <x v="1"/>
    <x v="2"/>
    <s v="TRK-018"/>
    <s v="D. Said"/>
    <n v="541"/>
    <n v="791.96"/>
    <n v="428450.36"/>
    <n v="482"/>
    <s v="2025-06-15"/>
    <d v="2025-06-01T00:00:00"/>
    <s v="2025-06-18"/>
    <s v="June 2025"/>
    <x v="0"/>
    <n v="20704.650000000001"/>
    <n v="449155.01"/>
  </r>
  <r>
    <s v="SHP-00587"/>
    <s v="2025-06-01"/>
    <x v="9"/>
    <x v="1"/>
    <x v="4"/>
    <x v="3"/>
    <s v="TRK-013"/>
    <s v="B. Kiprono"/>
    <n v="1287"/>
    <n v="235.66"/>
    <n v="303294.42"/>
    <n v="195"/>
    <s v="2025-06-02"/>
    <d v="2025-06-01T00:00:00"/>
    <s v="2025-06-04"/>
    <s v="June 2025"/>
    <x v="0"/>
    <n v="11282.42"/>
    <n v="314576.83999999997"/>
  </r>
  <r>
    <s v="SHP-00588"/>
    <s v="2025-09-06"/>
    <x v="11"/>
    <x v="6"/>
    <x v="3"/>
    <x v="0"/>
    <s v="TRK-002"/>
    <s v="J. Mutua"/>
    <n v="1375"/>
    <n v="249.38"/>
    <n v="342897.5"/>
    <n v="270"/>
    <s v="2025-09-07"/>
    <d v="2025-09-01T00:00:00"/>
    <s v="2025-09-07"/>
    <s v="September 2025"/>
    <x v="1"/>
    <n v="12456.61"/>
    <n v="355354.11"/>
  </r>
  <r>
    <s v="SHP-00589"/>
    <s v="2025-11-11"/>
    <x v="2"/>
    <x v="2"/>
    <x v="4"/>
    <x v="2"/>
    <s v="TRK-002"/>
    <s v="D. Said"/>
    <n v="1605"/>
    <n v="673.71"/>
    <n v="1081304.55"/>
    <n v="54"/>
    <s v="2025-11-12"/>
    <d v="2025-11-01T00:00:00"/>
    <s v="2025-11-12"/>
    <s v="November 2025"/>
    <x v="1"/>
    <n v="0"/>
    <n v="1081304.55"/>
  </r>
  <r>
    <s v="SHP-00590"/>
    <s v="2025-12-20"/>
    <x v="8"/>
    <x v="6"/>
    <x v="5"/>
    <x v="1"/>
    <s v="TRK-022"/>
    <s v="J. Mutua"/>
    <n v="528"/>
    <n v="732.57"/>
    <n v="386796.96"/>
    <n v="636"/>
    <s v="2025-12-22"/>
    <d v="2025-12-01T00:00:00"/>
    <s v="2025-12-22"/>
    <s v="December 2025"/>
    <x v="1"/>
    <n v="34041.56"/>
    <n v="420838.52"/>
  </r>
  <r>
    <s v="SHP-00591"/>
    <s v="2025-07-10"/>
    <x v="7"/>
    <x v="4"/>
    <x v="5"/>
    <x v="3"/>
    <s v="TRK-010"/>
    <s v="P. Maina"/>
    <n v="1964"/>
    <n v="335.21"/>
    <n v="658352.43999999994"/>
    <n v="222"/>
    <s v="2025-07-11"/>
    <d v="2025-07-01T00:00:00"/>
    <s v="2025-07-11"/>
    <s v="July 2025"/>
    <x v="1"/>
    <n v="11299.19"/>
    <n v="669651.62999999989"/>
  </r>
  <r>
    <s v="SHP-00592"/>
    <s v="2025-09-09"/>
    <x v="11"/>
    <x v="2"/>
    <x v="0"/>
    <x v="3"/>
    <s v="TRK-029"/>
    <s v="S. Chebet"/>
    <n v="1769"/>
    <n v="259.33"/>
    <n v="458754.77"/>
    <n v="584"/>
    <s v="2025-09-11"/>
    <d v="2025-09-01T00:00:00"/>
    <s v="2025-09-12"/>
    <s v="September 2025"/>
    <x v="0"/>
    <n v="30836.28"/>
    <n v="489591.05000000005"/>
  </r>
  <r>
    <s v="SHP-00593"/>
    <s v="2025-05-14"/>
    <x v="10"/>
    <x v="5"/>
    <x v="2"/>
    <x v="3"/>
    <s v="TRK-006"/>
    <s v="L. Wekesa"/>
    <n v="2434"/>
    <n v="434.62"/>
    <n v="1057865.08"/>
    <n v="514"/>
    <s v="2025-05-16"/>
    <d v="2025-05-01T00:00:00"/>
    <s v="2025-05-16"/>
    <s v="May 2025"/>
    <x v="1"/>
    <n v="21502.02"/>
    <n v="1079367.1000000001"/>
  </r>
  <r>
    <s v="SHP-00594"/>
    <s v="2025-07-27"/>
    <x v="7"/>
    <x v="5"/>
    <x v="2"/>
    <x v="3"/>
    <s v="TRK-002"/>
    <s v="L. Wekesa"/>
    <n v="2471"/>
    <n v="221.86"/>
    <n v="548216.06000000006"/>
    <n v="664"/>
    <s v="2025-07-29"/>
    <d v="2025-07-01T00:00:00"/>
    <s v="2025-08-01"/>
    <s v="August 2025"/>
    <x v="0"/>
    <n v="26569.74"/>
    <n v="574785.80000000005"/>
  </r>
  <r>
    <s v="SHP-00595"/>
    <s v="2025-02-27"/>
    <x v="1"/>
    <x v="7"/>
    <x v="3"/>
    <x v="1"/>
    <s v="TRK-013"/>
    <s v="A. Hassan"/>
    <n v="2420"/>
    <n v="631.52"/>
    <n v="1528278.4"/>
    <n v="269"/>
    <s v="2025-02-28"/>
    <d v="2025-02-01T00:00:00"/>
    <s v="2025-03-01"/>
    <s v="March 2025"/>
    <x v="0"/>
    <n v="11866.6"/>
    <n v="1540145"/>
  </r>
  <r>
    <s v="SHP-00596"/>
    <s v="2025-04-04"/>
    <x v="0"/>
    <x v="6"/>
    <x v="3"/>
    <x v="2"/>
    <s v="TRK-012"/>
    <s v="J. Mutua"/>
    <n v="689"/>
    <n v="659.54"/>
    <n v="454423.06"/>
    <n v="252"/>
    <s v="2025-04-05"/>
    <d v="2025-04-01T00:00:00"/>
    <s v="2025-04-09"/>
    <s v="April 2025"/>
    <x v="0"/>
    <n v="10649.1"/>
    <n v="465072.16"/>
  </r>
  <r>
    <s v="SHP-00597"/>
    <s v="2025-09-19"/>
    <x v="11"/>
    <x v="2"/>
    <x v="2"/>
    <x v="2"/>
    <s v="TRK-026"/>
    <s v="K. Barasa"/>
    <n v="221"/>
    <n v="557.89"/>
    <n v="123293.69"/>
    <n v="491"/>
    <s v="2025-09-21"/>
    <d v="2025-09-01T00:00:00"/>
    <s v="2025-09-22"/>
    <s v="September 2025"/>
    <x v="0"/>
    <n v="20981.27"/>
    <n v="144274.96"/>
  </r>
  <r>
    <s v="SHP-00598"/>
    <s v="2025-06-15"/>
    <x v="9"/>
    <x v="7"/>
    <x v="0"/>
    <x v="3"/>
    <s v="TRK-018"/>
    <s v="J. Mutua"/>
    <n v="576"/>
    <n v="646.22"/>
    <n v="372222.71999999997"/>
    <n v="195"/>
    <s v="2025-06-16"/>
    <d v="2025-06-01T00:00:00"/>
    <s v="2025-06-17"/>
    <s v="June 2025"/>
    <x v="0"/>
    <n v="9370.35"/>
    <n v="381593.06999999995"/>
  </r>
  <r>
    <s v="SHP-00599"/>
    <s v="2025-01-15"/>
    <x v="3"/>
    <x v="2"/>
    <x v="1"/>
    <x v="2"/>
    <s v="TRK-029"/>
    <s v="P. Maina"/>
    <n v="690"/>
    <n v="722.22"/>
    <n v="498331.8"/>
    <n v="236"/>
    <s v="2025-01-16"/>
    <d v="2025-01-01T00:00:00"/>
    <s v="2025-01-19"/>
    <s v="January 2025"/>
    <x v="0"/>
    <n v="12982.88"/>
    <n v="511314.68"/>
  </r>
  <r>
    <s v="SHP-00600"/>
    <s v="2025-10-02"/>
    <x v="5"/>
    <x v="1"/>
    <x v="5"/>
    <x v="1"/>
    <s v="TRK-017"/>
    <s v="B. Kiprono"/>
    <n v="1552"/>
    <n v="78.28"/>
    <n v="121490.56"/>
    <n v="508"/>
    <s v="2025-10-04"/>
    <d v="2025-10-01T00:00:00"/>
    <s v="2025-10-06"/>
    <s v="October 2025"/>
    <x v="0"/>
    <n v="24145.61"/>
    <n v="145636.16999999998"/>
  </r>
  <r>
    <s v="SHP-00601"/>
    <s v="2025-04-24"/>
    <x v="0"/>
    <x v="2"/>
    <x v="0"/>
    <x v="0"/>
    <s v="TRK-019"/>
    <s v="A. Hassan"/>
    <n v="92"/>
    <n v="202.55"/>
    <n v="18634.599999999999"/>
    <n v="609"/>
    <s v="2025-04-26"/>
    <d v="2025-04-01T00:00:00"/>
    <s v="2025-04-25"/>
    <s v="April 2025"/>
    <x v="1"/>
    <n v="22027.5"/>
    <n v="40662.1"/>
  </r>
  <r>
    <s v="SHP-00602"/>
    <s v="2025-12-31"/>
    <x v="8"/>
    <x v="0"/>
    <x v="3"/>
    <x v="2"/>
    <s v="TRK-015"/>
    <s v="E. Achieng"/>
    <n v="690"/>
    <n v="116.39"/>
    <n v="80309.100000000006"/>
    <n v="339"/>
    <s v="2026-01-01"/>
    <d v="2026-01-01T00:00:00"/>
    <s v="2026-01-03"/>
    <s v="January 2026"/>
    <x v="0"/>
    <n v="18978.939999999999"/>
    <n v="99288.040000000008"/>
  </r>
  <r>
    <s v="SHP-00603"/>
    <s v="2025-01-14"/>
    <x v="3"/>
    <x v="1"/>
    <x v="1"/>
    <x v="0"/>
    <s v="TRK-019"/>
    <s v="E. Achieng"/>
    <n v="2428"/>
    <n v="855.89"/>
    <n v="2078100.92"/>
    <n v="104"/>
    <s v="2025-01-15"/>
    <d v="2025-01-01T00:00:00"/>
    <s v="2025-01-15"/>
    <s v="January 2025"/>
    <x v="1"/>
    <n v="5629.41"/>
    <n v="2083730.3299999998"/>
  </r>
  <r>
    <s v="SHP-00604"/>
    <s v="2025-02-01"/>
    <x v="1"/>
    <x v="2"/>
    <x v="1"/>
    <x v="2"/>
    <s v="TRK-023"/>
    <s v="E. Achieng"/>
    <n v="196"/>
    <n v="352.55"/>
    <n v="69099.8"/>
    <n v="573"/>
    <s v="2025-02-03"/>
    <d v="2025-02-01T00:00:00"/>
    <s v="2025-02-05"/>
    <s v="February 2025"/>
    <x v="0"/>
    <n v="30251.89"/>
    <n v="99351.69"/>
  </r>
  <r>
    <s v="SHP-00605"/>
    <s v="2025-01-29"/>
    <x v="3"/>
    <x v="1"/>
    <x v="0"/>
    <x v="0"/>
    <s v="TRK-021"/>
    <s v="B. Kiprono"/>
    <n v="1362"/>
    <n v="823.71"/>
    <n v="1121893.02"/>
    <n v="313"/>
    <s v="2025-01-30"/>
    <d v="2025-01-01T00:00:00"/>
    <s v="2025-01-30"/>
    <s v="January 2025"/>
    <x v="1"/>
    <n v="16497.86"/>
    <n v="1138390.8800000001"/>
  </r>
  <r>
    <s v="SHP-00606"/>
    <s v="2025-06-19"/>
    <x v="9"/>
    <x v="1"/>
    <x v="3"/>
    <x v="3"/>
    <s v="TRK-018"/>
    <s v="E. Achieng"/>
    <n v="1481"/>
    <n v="108.31"/>
    <n v="160407.10999999999"/>
    <n v="555"/>
    <s v="2025-06-21"/>
    <d v="2025-06-01T00:00:00"/>
    <s v="2025-06-21"/>
    <s v="June 2025"/>
    <x v="1"/>
    <n v="28770.09"/>
    <n v="189177.19999999998"/>
  </r>
  <r>
    <s v="SHP-00607"/>
    <s v="2025-10-18"/>
    <x v="5"/>
    <x v="3"/>
    <x v="1"/>
    <x v="2"/>
    <s v="TRK-027"/>
    <s v="A. Hassan"/>
    <n v="2366"/>
    <n v="611.6"/>
    <n v="1447045.6"/>
    <n v="367"/>
    <s v="2025-10-20"/>
    <d v="2025-10-01T00:00:00"/>
    <s v="2025-10-21"/>
    <s v="October 2025"/>
    <x v="0"/>
    <n v="21058.36"/>
    <n v="1468103.9600000002"/>
  </r>
  <r>
    <s v="SHP-00608"/>
    <s v="2025-01-07"/>
    <x v="3"/>
    <x v="6"/>
    <x v="3"/>
    <x v="1"/>
    <s v="TRK-014"/>
    <s v="J. Mutua"/>
    <n v="1297"/>
    <n v="354.66"/>
    <n v="459994.02"/>
    <n v="680"/>
    <s v="2025-01-09"/>
    <d v="2025-01-01T00:00:00"/>
    <s v="2025-01-09"/>
    <s v="January 2025"/>
    <x v="1"/>
    <n v="39835.14"/>
    <n v="499829.16000000003"/>
  </r>
  <r>
    <s v="SHP-00609"/>
    <s v="2025-12-03"/>
    <x v="8"/>
    <x v="5"/>
    <x v="4"/>
    <x v="2"/>
    <s v="TRK-005"/>
    <s v="L. Wekesa"/>
    <n v="2257"/>
    <n v="883.23"/>
    <n v="1993450.11"/>
    <n v="522"/>
    <s v="2025-12-05"/>
    <d v="2025-12-01T00:00:00"/>
    <s v="2025-12-09"/>
    <s v="December 2025"/>
    <x v="0"/>
    <n v="24304.59"/>
    <n v="2017754.7000000002"/>
  </r>
  <r>
    <s v="SHP-00610"/>
    <s v="2025-07-28"/>
    <x v="7"/>
    <x v="3"/>
    <x v="1"/>
    <x v="0"/>
    <s v="TRK-001"/>
    <s v="B. Kiprono"/>
    <n v="1647"/>
    <n v="382.11"/>
    <n v="629335.17000000004"/>
    <n v="617"/>
    <s v="2025-07-30"/>
    <d v="2025-07-01T00:00:00"/>
    <s v="2025-08-02"/>
    <s v="August 2025"/>
    <x v="0"/>
    <n v="24823.040000000001"/>
    <n v="654158.21000000008"/>
  </r>
  <r>
    <s v="SHP-00611"/>
    <s v="2025-04-15"/>
    <x v="0"/>
    <x v="7"/>
    <x v="2"/>
    <x v="0"/>
    <s v="TRK-020"/>
    <s v="L. Wekesa"/>
    <n v="503"/>
    <n v="421.52"/>
    <n v="212024.56"/>
    <n v="169"/>
    <s v="2025-04-16"/>
    <d v="2025-04-01T00:00:00"/>
    <s v="2025-04-16"/>
    <s v="April 2025"/>
    <x v="1"/>
    <n v="8457.9599999999991"/>
    <n v="220482.52"/>
  </r>
  <r>
    <s v="SHP-00612"/>
    <s v="2025-10-13"/>
    <x v="5"/>
    <x v="2"/>
    <x v="4"/>
    <x v="3"/>
    <s v="TRK-012"/>
    <s v="M. Otieno"/>
    <n v="221"/>
    <n v="190.9"/>
    <n v="42188.9"/>
    <n v="196"/>
    <s v="2025-10-14"/>
    <d v="2025-10-01T00:00:00"/>
    <s v="2025-10-14"/>
    <s v="October 2025"/>
    <x v="1"/>
    <n v="8071.06"/>
    <n v="50259.96"/>
  </r>
  <r>
    <s v="SHP-00613"/>
    <s v="2025-01-16"/>
    <x v="3"/>
    <x v="5"/>
    <x v="1"/>
    <x v="1"/>
    <s v="TRK-023"/>
    <s v="S. Chebet"/>
    <n v="576"/>
    <n v="577.54"/>
    <n v="332663.03999999998"/>
    <n v="700"/>
    <s v="2025-01-19"/>
    <d v="2025-01-01T00:00:00"/>
    <s v="2025-01-21"/>
    <s v="January 2025"/>
    <x v="0"/>
    <n v="34208.379999999997"/>
    <n v="366871.42"/>
  </r>
  <r>
    <s v="SHP-00614"/>
    <s v="2025-07-05"/>
    <x v="7"/>
    <x v="1"/>
    <x v="0"/>
    <x v="1"/>
    <s v="TRK-016"/>
    <s v="A. Hassan"/>
    <n v="1513"/>
    <n v="259.52999999999997"/>
    <n v="392668.89"/>
    <n v="534"/>
    <s v="2025-07-07"/>
    <d v="2025-07-01T00:00:00"/>
    <s v="2025-07-07"/>
    <s v="July 2025"/>
    <x v="1"/>
    <n v="31728.57"/>
    <n v="424397.46"/>
  </r>
  <r>
    <s v="SHP-00615"/>
    <s v="2025-12-20"/>
    <x v="8"/>
    <x v="1"/>
    <x v="1"/>
    <x v="0"/>
    <s v="TRK-002"/>
    <s v="P. Maina"/>
    <n v="1656"/>
    <n v="569.91999999999996"/>
    <n v="943787.52000000002"/>
    <n v="214"/>
    <s v="2025-12-21"/>
    <d v="2025-12-01T00:00:00"/>
    <s v="2025-12-24"/>
    <s v="December 2025"/>
    <x v="0"/>
    <n v="11406.7"/>
    <n v="955194.22"/>
  </r>
  <r>
    <s v="SHP-00616"/>
    <s v="2025-05-18"/>
    <x v="10"/>
    <x v="6"/>
    <x v="3"/>
    <x v="1"/>
    <s v="TRK-008"/>
    <s v="L. Wekesa"/>
    <n v="932"/>
    <n v="264.18"/>
    <n v="246215.76"/>
    <n v="310"/>
    <s v="2025-05-19"/>
    <d v="2025-05-01T00:00:00"/>
    <s v="2025-05-19"/>
    <s v="May 2025"/>
    <x v="1"/>
    <n v="13021.5"/>
    <n v="259237.26"/>
  </r>
  <r>
    <s v="SHP-00617"/>
    <s v="2025-04-13"/>
    <x v="0"/>
    <x v="2"/>
    <x v="5"/>
    <x v="0"/>
    <s v="TRK-030"/>
    <s v="D. Said"/>
    <n v="1743"/>
    <n v="652.17999999999995"/>
    <n v="1136749.74"/>
    <n v="359"/>
    <s v="2025-04-15"/>
    <d v="2025-04-01T00:00:00"/>
    <s v="2025-04-16"/>
    <s v="April 2025"/>
    <x v="0"/>
    <n v="20789.09"/>
    <n v="1157538.83"/>
  </r>
  <r>
    <s v="SHP-00618"/>
    <s v="2025-10-25"/>
    <x v="5"/>
    <x v="5"/>
    <x v="4"/>
    <x v="2"/>
    <s v="TRK-028"/>
    <s v="D. Said"/>
    <n v="263"/>
    <n v="81.62"/>
    <n v="21466.06"/>
    <n v="286"/>
    <s v="2025-10-26"/>
    <d v="2025-10-01T00:00:00"/>
    <s v="2025-10-27"/>
    <s v="October 2025"/>
    <x v="0"/>
    <n v="10118.950000000001"/>
    <n v="31585.010000000002"/>
  </r>
  <r>
    <s v="SHP-00619"/>
    <s v="2025-04-01"/>
    <x v="0"/>
    <x v="2"/>
    <x v="0"/>
    <x v="1"/>
    <s v="TRK-025"/>
    <s v="K. Barasa"/>
    <n v="1961"/>
    <n v="814.1"/>
    <n v="1596450.1"/>
    <n v="589"/>
    <s v="2025-04-03"/>
    <d v="2025-04-01T00:00:00"/>
    <s v="2025-04-07"/>
    <s v="April 2025"/>
    <x v="0"/>
    <n v="27676.22"/>
    <n v="1624126.32"/>
  </r>
  <r>
    <s v="SHP-00620"/>
    <s v="2025-09-08"/>
    <x v="11"/>
    <x v="0"/>
    <x v="4"/>
    <x v="2"/>
    <s v="TRK-013"/>
    <s v="B. Kiprono"/>
    <n v="1026"/>
    <n v="811.24"/>
    <n v="832332.24"/>
    <n v="334"/>
    <s v="2025-09-09"/>
    <d v="2025-09-01T00:00:00"/>
    <s v="2025-09-12"/>
    <s v="September 2025"/>
    <x v="0"/>
    <n v="13511.54"/>
    <n v="845843.78"/>
  </r>
  <r>
    <s v="SHP-00621"/>
    <s v="2025-10-25"/>
    <x v="5"/>
    <x v="6"/>
    <x v="2"/>
    <x v="3"/>
    <s v="TRK-015"/>
    <s v="D. Said"/>
    <n v="2366"/>
    <n v="854.81"/>
    <n v="2022480.46"/>
    <n v="611"/>
    <s v="2025-10-27"/>
    <d v="2025-10-01T00:00:00"/>
    <s v="2025-10-28"/>
    <s v="October 2025"/>
    <x v="0"/>
    <n v="36960.26"/>
    <n v="2059440.72"/>
  </r>
  <r>
    <s v="SHP-00622"/>
    <s v="2025-04-08"/>
    <x v="0"/>
    <x v="6"/>
    <x v="1"/>
    <x v="1"/>
    <s v="TRK-024"/>
    <s v="K. Barasa"/>
    <n v="280"/>
    <n v="783.69"/>
    <n v="219433.2"/>
    <n v="384"/>
    <s v="2025-04-10"/>
    <d v="2025-04-01T00:00:00"/>
    <s v="2025-04-10"/>
    <s v="April 2025"/>
    <x v="1"/>
    <n v="18407.669999999998"/>
    <n v="237840.87"/>
  </r>
  <r>
    <s v="SHP-00623"/>
    <s v="2025-03-14"/>
    <x v="4"/>
    <x v="0"/>
    <x v="2"/>
    <x v="3"/>
    <s v="TRK-007"/>
    <s v="J. Mutua"/>
    <n v="619"/>
    <n v="859.02"/>
    <n v="531733.38"/>
    <n v="717"/>
    <s v="2025-03-17"/>
    <d v="2025-03-01T00:00:00"/>
    <s v="2025-03-17"/>
    <s v="March 2025"/>
    <x v="1"/>
    <n v="25597.9"/>
    <n v="557331.28"/>
  </r>
  <r>
    <s v="SHP-00624"/>
    <s v="2025-10-20"/>
    <x v="5"/>
    <x v="5"/>
    <x v="0"/>
    <x v="2"/>
    <s v="TRK-025"/>
    <s v="J. Mutua"/>
    <n v="1951"/>
    <n v="645.53"/>
    <n v="1259429.03"/>
    <n v="305"/>
    <s v="2025-10-21"/>
    <d v="2025-10-01T00:00:00"/>
    <s v="2025-10-24"/>
    <s v="October 2025"/>
    <x v="0"/>
    <n v="15516.38"/>
    <n v="1274945.4099999999"/>
  </r>
  <r>
    <s v="SHP-00625"/>
    <s v="2025-04-24"/>
    <x v="0"/>
    <x v="5"/>
    <x v="1"/>
    <x v="1"/>
    <s v="TRK-010"/>
    <s v="B. Kiprono"/>
    <n v="2417"/>
    <n v="660.35"/>
    <n v="1596065.95"/>
    <n v="75"/>
    <s v="2025-04-25"/>
    <d v="2025-04-01T00:00:00"/>
    <s v="2025-04-24"/>
    <s v="April 2025"/>
    <x v="1"/>
    <n v="3112.91"/>
    <n v="1599178.8599999999"/>
  </r>
  <r>
    <s v="SHP-00626"/>
    <s v="2025-07-07"/>
    <x v="7"/>
    <x v="6"/>
    <x v="4"/>
    <x v="0"/>
    <s v="TRK-015"/>
    <s v="D. Said"/>
    <n v="1922"/>
    <n v="651.94000000000005"/>
    <n v="1253028.68"/>
    <n v="224"/>
    <s v="2025-07-08"/>
    <d v="2025-07-01T00:00:00"/>
    <s v="2025-07-08"/>
    <s v="July 2025"/>
    <x v="1"/>
    <n v="9434.42"/>
    <n v="1262463.0999999999"/>
  </r>
  <r>
    <s v="SHP-00627"/>
    <s v="2025-04-12"/>
    <x v="0"/>
    <x v="3"/>
    <x v="4"/>
    <x v="3"/>
    <s v="TRK-006"/>
    <s v="B. Kiprono"/>
    <n v="2372"/>
    <n v="398.27"/>
    <n v="944696.44"/>
    <n v="324"/>
    <s v="2025-04-13"/>
    <d v="2025-04-01T00:00:00"/>
    <s v="2025-04-13"/>
    <s v="April 2025"/>
    <x v="1"/>
    <n v="17721.919999999998"/>
    <n v="962418.36"/>
  </r>
  <r>
    <s v="SHP-00628"/>
    <s v="2025-05-02"/>
    <x v="10"/>
    <x v="1"/>
    <x v="0"/>
    <x v="1"/>
    <s v="TRK-011"/>
    <s v="D. Said"/>
    <n v="2408"/>
    <n v="550.94000000000005"/>
    <n v="1326663.52"/>
    <n v="26"/>
    <s v="2025-05-03"/>
    <d v="2025-05-01T00:00:00"/>
    <s v="2025-05-04"/>
    <s v="May 2025"/>
    <x v="0"/>
    <n v="1134.17"/>
    <n v="1327797.69"/>
  </r>
  <r>
    <s v="SHP-00629"/>
    <s v="2025-06-16"/>
    <x v="9"/>
    <x v="6"/>
    <x v="1"/>
    <x v="1"/>
    <s v="TRK-019"/>
    <s v="L. Wekesa"/>
    <n v="52"/>
    <n v="785.51"/>
    <n v="40846.519999999997"/>
    <n v="562"/>
    <s v="2025-06-18"/>
    <d v="2025-06-01T00:00:00"/>
    <s v="2025-06-17"/>
    <s v="June 2025"/>
    <x v="1"/>
    <n v="32372.31"/>
    <n v="73218.83"/>
  </r>
  <r>
    <s v="SHP-00630"/>
    <s v="2025-07-27"/>
    <x v="7"/>
    <x v="5"/>
    <x v="5"/>
    <x v="2"/>
    <s v="TRK-011"/>
    <s v="A. Hassan"/>
    <n v="467"/>
    <n v="396.08"/>
    <n v="184969.36"/>
    <n v="434"/>
    <s v="2025-07-29"/>
    <d v="2025-07-01T00:00:00"/>
    <s v="2025-08-02"/>
    <s v="August 2025"/>
    <x v="0"/>
    <n v="17642.75"/>
    <n v="202612.11"/>
  </r>
  <r>
    <s v="SHP-00631"/>
    <s v="2025-09-06"/>
    <x v="11"/>
    <x v="3"/>
    <x v="5"/>
    <x v="3"/>
    <s v="TRK-023"/>
    <s v="D. Said"/>
    <n v="1803"/>
    <n v="881.19"/>
    <n v="1588785.57"/>
    <n v="224"/>
    <s v="2025-09-07"/>
    <d v="2025-09-01T00:00:00"/>
    <s v="2025-09-07"/>
    <s v="September 2025"/>
    <x v="1"/>
    <n v="12384.09"/>
    <n v="1601169.6600000001"/>
  </r>
  <r>
    <s v="SHP-00632"/>
    <s v="2025-12-14"/>
    <x v="8"/>
    <x v="4"/>
    <x v="5"/>
    <x v="1"/>
    <s v="TRK-024"/>
    <s v="E. Achieng"/>
    <n v="2277"/>
    <n v="646.11"/>
    <n v="1471192.47"/>
    <n v="556"/>
    <s v="2025-12-16"/>
    <d v="2025-12-01T00:00:00"/>
    <s v="2025-12-17"/>
    <s v="December 2025"/>
    <x v="0"/>
    <n v="24033.07"/>
    <n v="1495225.54"/>
  </r>
  <r>
    <s v="SHP-00633"/>
    <s v="2025-11-22"/>
    <x v="2"/>
    <x v="1"/>
    <x v="0"/>
    <x v="1"/>
    <s v="TRK-002"/>
    <s v="A. Hassan"/>
    <n v="1789"/>
    <n v="799.07"/>
    <n v="1429536.23"/>
    <n v="84"/>
    <s v="2025-11-23"/>
    <d v="2025-11-01T00:00:00"/>
    <s v="2025-11-24"/>
    <s v="November 2025"/>
    <x v="0"/>
    <n v="4654.47"/>
    <n v="1434190.7"/>
  </r>
  <r>
    <s v="SHP-00634"/>
    <s v="2025-06-10"/>
    <x v="9"/>
    <x v="4"/>
    <x v="2"/>
    <x v="0"/>
    <s v="TRK-006"/>
    <s v="A. Hassan"/>
    <n v="2352"/>
    <n v="178.89"/>
    <n v="420749.28"/>
    <n v="40"/>
    <s v="2025-06-11"/>
    <d v="2025-06-01T00:00:00"/>
    <s v="2025-06-11"/>
    <s v="June 2025"/>
    <x v="1"/>
    <n v="2458.86"/>
    <n v="423208.14"/>
  </r>
  <r>
    <s v="SHP-00635"/>
    <s v="2025-01-11"/>
    <x v="3"/>
    <x v="1"/>
    <x v="4"/>
    <x v="3"/>
    <s v="TRK-014"/>
    <s v="J. Mutua"/>
    <n v="1089"/>
    <n v="501.24"/>
    <n v="545850.36"/>
    <n v="701"/>
    <s v="2025-01-14"/>
    <d v="2025-01-01T00:00:00"/>
    <s v="2025-01-18"/>
    <s v="January 2025"/>
    <x v="0"/>
    <n v="33784.379999999997"/>
    <n v="579634.74"/>
  </r>
  <r>
    <s v="SHP-00636"/>
    <s v="2025-10-02"/>
    <x v="5"/>
    <x v="7"/>
    <x v="4"/>
    <x v="1"/>
    <s v="TRK-010"/>
    <s v="A. Hassan"/>
    <n v="71"/>
    <n v="252.36"/>
    <n v="17917.560000000001"/>
    <n v="380"/>
    <s v="2025-10-04"/>
    <d v="2025-10-01T00:00:00"/>
    <s v="2025-10-04"/>
    <s v="October 2025"/>
    <x v="1"/>
    <n v="19612.61"/>
    <n v="37530.17"/>
  </r>
  <r>
    <s v="SHP-00637"/>
    <s v="2025-04-24"/>
    <x v="0"/>
    <x v="3"/>
    <x v="1"/>
    <x v="0"/>
    <s v="TRK-001"/>
    <s v="B. Kiprono"/>
    <n v="238"/>
    <n v="538.71"/>
    <n v="128212.98"/>
    <n v="560"/>
    <s v="2025-04-26"/>
    <d v="2025-04-01T00:00:00"/>
    <s v="2025-04-30"/>
    <s v="April 2025"/>
    <x v="0"/>
    <n v="22215.56"/>
    <n v="150428.54"/>
  </r>
  <r>
    <s v="SHP-00638"/>
    <s v="2025-07-30"/>
    <x v="7"/>
    <x v="7"/>
    <x v="5"/>
    <x v="1"/>
    <s v="TRK-016"/>
    <s v="D. Said"/>
    <n v="1184"/>
    <n v="132.25"/>
    <n v="156584"/>
    <n v="116"/>
    <s v="2025-07-31"/>
    <d v="2025-07-01T00:00:00"/>
    <s v="2025-07-31"/>
    <s v="July 2025"/>
    <x v="1"/>
    <n v="7161.38"/>
    <n v="163745.38"/>
  </r>
  <r>
    <s v="SHP-00639"/>
    <s v="2025-06-10"/>
    <x v="9"/>
    <x v="6"/>
    <x v="2"/>
    <x v="1"/>
    <s v="TRK-008"/>
    <s v="L. Wekesa"/>
    <n v="159"/>
    <n v="779.42"/>
    <n v="123927.78"/>
    <n v="328"/>
    <s v="2025-06-11"/>
    <d v="2025-06-01T00:00:00"/>
    <s v="2025-06-11"/>
    <s v="June 2025"/>
    <x v="1"/>
    <n v="19729.849999999999"/>
    <n v="143657.63"/>
  </r>
  <r>
    <s v="SHP-00640"/>
    <s v="2025-10-15"/>
    <x v="5"/>
    <x v="5"/>
    <x v="0"/>
    <x v="1"/>
    <s v="TRK-015"/>
    <s v="M. Otieno"/>
    <n v="537"/>
    <n v="198.63"/>
    <n v="106664.31"/>
    <n v="334"/>
    <s v="2025-10-16"/>
    <d v="2025-10-01T00:00:00"/>
    <s v="2025-10-18"/>
    <s v="October 2025"/>
    <x v="0"/>
    <n v="11925.61"/>
    <n v="118589.92"/>
  </r>
  <r>
    <s v="SHP-00641"/>
    <s v="2025-10-06"/>
    <x v="5"/>
    <x v="6"/>
    <x v="1"/>
    <x v="2"/>
    <s v="TRK-020"/>
    <s v="E. Achieng"/>
    <n v="687"/>
    <n v="763.11"/>
    <n v="524256.57"/>
    <n v="150"/>
    <s v="2025-10-07"/>
    <d v="2025-10-01T00:00:00"/>
    <s v="2025-10-07"/>
    <s v="October 2025"/>
    <x v="1"/>
    <n v="6303.7"/>
    <n v="530560.27"/>
  </r>
  <r>
    <s v="SHP-00642"/>
    <s v="2025-11-28"/>
    <x v="2"/>
    <x v="2"/>
    <x v="5"/>
    <x v="0"/>
    <s v="TRK-005"/>
    <s v="K. Barasa"/>
    <n v="2370"/>
    <n v="667.23"/>
    <n v="1581335.1"/>
    <n v="670"/>
    <s v="2025-11-30"/>
    <d v="2025-11-01T00:00:00"/>
    <s v="2025-12-01"/>
    <s v="December 2025"/>
    <x v="0"/>
    <n v="29480.53"/>
    <n v="1610815.6300000001"/>
  </r>
  <r>
    <s v="SHP-00643"/>
    <s v="2025-03-28"/>
    <x v="4"/>
    <x v="4"/>
    <x v="5"/>
    <x v="0"/>
    <s v="TRK-028"/>
    <s v="K. Barasa"/>
    <n v="1023"/>
    <n v="665.22"/>
    <n v="680520.06"/>
    <n v="276"/>
    <s v="2025-03-29"/>
    <d v="2025-03-01T00:00:00"/>
    <s v="2025-03-31"/>
    <s v="March 2025"/>
    <x v="0"/>
    <n v="11115.93"/>
    <n v="691635.99000000011"/>
  </r>
  <r>
    <s v="SHP-00644"/>
    <s v="2025-12-09"/>
    <x v="8"/>
    <x v="7"/>
    <x v="3"/>
    <x v="3"/>
    <s v="TRK-002"/>
    <s v="M. Otieno"/>
    <n v="2364"/>
    <n v="349.53"/>
    <n v="826288.92"/>
    <n v="306"/>
    <s v="2025-12-10"/>
    <d v="2025-12-01T00:00:00"/>
    <s v="2025-12-11"/>
    <s v="December 2025"/>
    <x v="0"/>
    <n v="14346.27"/>
    <n v="840635.19000000006"/>
  </r>
  <r>
    <s v="SHP-00645"/>
    <s v="2025-12-05"/>
    <x v="8"/>
    <x v="0"/>
    <x v="1"/>
    <x v="0"/>
    <s v="TRK-022"/>
    <s v="J. Mutua"/>
    <n v="1642"/>
    <n v="816.92"/>
    <n v="1341382.6399999999"/>
    <n v="26"/>
    <s v="2025-12-06"/>
    <d v="2025-12-01T00:00:00"/>
    <s v="2025-12-06"/>
    <s v="December 2025"/>
    <x v="1"/>
    <n v="1204.42"/>
    <n v="1342587.0599999998"/>
  </r>
  <r>
    <s v="SHP-00646"/>
    <s v="2025-04-21"/>
    <x v="0"/>
    <x v="1"/>
    <x v="0"/>
    <x v="2"/>
    <s v="TRK-030"/>
    <s v="K. Barasa"/>
    <n v="1407"/>
    <n v="82.78"/>
    <n v="116471.46"/>
    <n v="323"/>
    <s v="2025-04-22"/>
    <d v="2025-04-01T00:00:00"/>
    <s v="2025-04-22"/>
    <s v="April 2025"/>
    <x v="1"/>
    <n v="13566.29"/>
    <n v="130037.75"/>
  </r>
  <r>
    <s v="SHP-00647"/>
    <s v="2025-05-06"/>
    <x v="10"/>
    <x v="3"/>
    <x v="3"/>
    <x v="2"/>
    <s v="TRK-012"/>
    <s v="P. Maina"/>
    <n v="744"/>
    <n v="334"/>
    <n v="248496"/>
    <n v="547"/>
    <s v="2025-05-08"/>
    <d v="2025-05-01T00:00:00"/>
    <s v="2025-05-08"/>
    <s v="May 2025"/>
    <x v="1"/>
    <n v="22193.68"/>
    <n v="270689.68"/>
  </r>
  <r>
    <s v="SHP-00648"/>
    <s v="2025-02-20"/>
    <x v="1"/>
    <x v="3"/>
    <x v="0"/>
    <x v="3"/>
    <s v="TRK-010"/>
    <s v="D. Said"/>
    <n v="2075"/>
    <n v="124.28"/>
    <n v="257881"/>
    <n v="437"/>
    <s v="2025-02-22"/>
    <d v="2025-02-01T00:00:00"/>
    <s v="2025-02-23"/>
    <s v="February 2025"/>
    <x v="0"/>
    <n v="25744.79"/>
    <n v="283625.78999999998"/>
  </r>
  <r>
    <s v="SHP-00649"/>
    <s v="2025-03-24"/>
    <x v="4"/>
    <x v="1"/>
    <x v="5"/>
    <x v="2"/>
    <s v="TRK-011"/>
    <s v="E. Achieng"/>
    <n v="1579"/>
    <n v="877.46"/>
    <n v="1385509.34"/>
    <n v="192"/>
    <s v="2025-03-25"/>
    <d v="2025-03-01T00:00:00"/>
    <s v="2025-03-25"/>
    <s v="March 2025"/>
    <x v="1"/>
    <n v="8507.31"/>
    <n v="1394016.6500000001"/>
  </r>
  <r>
    <s v="SHP-00650"/>
    <s v="2025-09-06"/>
    <x v="11"/>
    <x v="0"/>
    <x v="2"/>
    <x v="0"/>
    <s v="TRK-023"/>
    <s v="L. Wekesa"/>
    <n v="1009"/>
    <n v="517.80999999999995"/>
    <n v="522470.29"/>
    <n v="153"/>
    <s v="2025-09-07"/>
    <d v="2025-09-01T00:00:00"/>
    <s v="2025-09-07"/>
    <s v="September 2025"/>
    <x v="1"/>
    <n v="8131.13"/>
    <n v="530601.41999999993"/>
  </r>
  <r>
    <s v="SHP-00651"/>
    <s v="2025-10-15"/>
    <x v="5"/>
    <x v="6"/>
    <x v="5"/>
    <x v="3"/>
    <s v="TRK-016"/>
    <s v="B. Kiprono"/>
    <n v="1736"/>
    <n v="879.58"/>
    <n v="1526950.88"/>
    <n v="649"/>
    <s v="2025-10-17"/>
    <d v="2025-10-01T00:00:00"/>
    <s v="2025-10-21"/>
    <s v="October 2025"/>
    <x v="0"/>
    <n v="0"/>
    <n v="1526950.88"/>
  </r>
  <r>
    <s v="SHP-00652"/>
    <s v="2025-03-27"/>
    <x v="4"/>
    <x v="7"/>
    <x v="0"/>
    <x v="2"/>
    <s v="TRK-009"/>
    <s v="E. Achieng"/>
    <n v="1501"/>
    <n v="506.4"/>
    <n v="760106.4"/>
    <n v="151"/>
    <s v="2025-03-28"/>
    <d v="2025-03-01T00:00:00"/>
    <s v="2025-03-30"/>
    <s v="March 2025"/>
    <x v="0"/>
    <n v="7615.69"/>
    <n v="767722.09"/>
  </r>
  <r>
    <s v="SHP-00653"/>
    <s v="2025-10-01"/>
    <x v="5"/>
    <x v="4"/>
    <x v="1"/>
    <x v="1"/>
    <s v="TRK-017"/>
    <s v="D. Said"/>
    <n v="1372"/>
    <n v="380.09"/>
    <n v="521483.48"/>
    <n v="607"/>
    <s v="2025-10-03"/>
    <d v="2025-10-01T00:00:00"/>
    <s v="2025-10-04"/>
    <s v="October 2025"/>
    <x v="0"/>
    <n v="21801.23"/>
    <n v="543284.71"/>
  </r>
  <r>
    <s v="SHP-00654"/>
    <s v="2025-07-15"/>
    <x v="7"/>
    <x v="5"/>
    <x v="1"/>
    <x v="0"/>
    <s v="TRK-023"/>
    <s v="J. Mutua"/>
    <n v="1028"/>
    <n v="838.96"/>
    <n v="862450.88"/>
    <n v="699"/>
    <s v="2025-07-17"/>
    <d v="2025-07-01T00:00:00"/>
    <s v="2025-07-18"/>
    <s v="July 2025"/>
    <x v="0"/>
    <n v="39595.01"/>
    <n v="902045.89"/>
  </r>
  <r>
    <s v="SHP-00655"/>
    <s v="2025-03-11"/>
    <x v="4"/>
    <x v="2"/>
    <x v="5"/>
    <x v="3"/>
    <s v="TRK-001"/>
    <s v="D. Said"/>
    <n v="1688"/>
    <n v="771.8"/>
    <n v="1302798.3999999999"/>
    <n v="47"/>
    <s v="2025-03-12"/>
    <d v="2025-03-01T00:00:00"/>
    <s v="2025-03-16"/>
    <s v="March 2025"/>
    <x v="0"/>
    <n v="2303.8000000000002"/>
    <n v="1305102.2"/>
  </r>
  <r>
    <s v="SHP-00656"/>
    <s v="2025-09-22"/>
    <x v="11"/>
    <x v="3"/>
    <x v="4"/>
    <x v="0"/>
    <s v="TRK-026"/>
    <s v="B. Kiprono"/>
    <n v="1581"/>
    <n v="226.96"/>
    <n v="358823.76"/>
    <n v="337"/>
    <s v="2025-09-23"/>
    <d v="2025-09-01T00:00:00"/>
    <s v="2025-09-22"/>
    <s v="September 2025"/>
    <x v="1"/>
    <n v="20720.240000000002"/>
    <n v="379544"/>
  </r>
  <r>
    <s v="SHP-00657"/>
    <s v="2025-11-06"/>
    <x v="2"/>
    <x v="0"/>
    <x v="0"/>
    <x v="3"/>
    <s v="TRK-011"/>
    <s v="S. Chebet"/>
    <n v="685"/>
    <n v="552.11"/>
    <n v="378195.35"/>
    <n v="654"/>
    <s v="2025-11-08"/>
    <d v="2025-11-01T00:00:00"/>
    <s v="2025-11-08"/>
    <s v="November 2025"/>
    <x v="1"/>
    <n v="28806.26"/>
    <n v="407001.61"/>
  </r>
  <r>
    <s v="SHP-00658"/>
    <s v="2025-11-04"/>
    <x v="2"/>
    <x v="2"/>
    <x v="5"/>
    <x v="0"/>
    <s v="TRK-023"/>
    <s v="J. Mutua"/>
    <n v="1612"/>
    <n v="866.6"/>
    <n v="1396959.2"/>
    <n v="514"/>
    <s v="2025-11-06"/>
    <d v="2025-11-01T00:00:00"/>
    <s v="2025-11-08"/>
    <s v="November 2025"/>
    <x v="0"/>
    <n v="26415.84"/>
    <n v="1423375.04"/>
  </r>
  <r>
    <s v="SHP-00659"/>
    <s v="2025-03-26"/>
    <x v="4"/>
    <x v="7"/>
    <x v="5"/>
    <x v="2"/>
    <s v="TRK-010"/>
    <s v="E. Achieng"/>
    <n v="631"/>
    <n v="98.8"/>
    <n v="62342.8"/>
    <n v="528"/>
    <s v="2025-03-28"/>
    <d v="2025-03-01T00:00:00"/>
    <s v="2025-03-28"/>
    <s v="March 2025"/>
    <x v="1"/>
    <n v="30055.41"/>
    <n v="92398.21"/>
  </r>
  <r>
    <s v="SHP-00660"/>
    <s v="2025-12-13"/>
    <x v="8"/>
    <x v="4"/>
    <x v="5"/>
    <x v="3"/>
    <s v="TRK-022"/>
    <s v="S. Chebet"/>
    <n v="811"/>
    <n v="714.99"/>
    <n v="579856.89"/>
    <n v="253"/>
    <s v="2025-12-14"/>
    <d v="2025-12-01T00:00:00"/>
    <s v="2025-12-14"/>
    <s v="December 2025"/>
    <x v="1"/>
    <n v="9794.6299999999992"/>
    <n v="589651.52"/>
  </r>
  <r>
    <s v="SHP-00661"/>
    <s v="2025-10-22"/>
    <x v="5"/>
    <x v="4"/>
    <x v="0"/>
    <x v="3"/>
    <s v="TRK-027"/>
    <s v="A. Hassan"/>
    <n v="1761"/>
    <n v="184.23"/>
    <n v="324429.03000000003"/>
    <n v="30"/>
    <s v="2025-10-23"/>
    <d v="2025-10-01T00:00:00"/>
    <s v="2025-10-23"/>
    <s v="October 2025"/>
    <x v="1"/>
    <n v="1219.1400000000001"/>
    <n v="325648.17000000004"/>
  </r>
  <r>
    <s v="SHP-00662"/>
    <s v="2025-08-12"/>
    <x v="6"/>
    <x v="2"/>
    <x v="3"/>
    <x v="2"/>
    <s v="TRK-030"/>
    <s v="D. Said"/>
    <n v="2314"/>
    <n v="564.72"/>
    <n v="1306762.08"/>
    <n v="660"/>
    <s v="2025-08-14"/>
    <d v="2025-08-01T00:00:00"/>
    <s v="2025-08-18"/>
    <s v="August 2025"/>
    <x v="0"/>
    <n v="32367.279999999999"/>
    <n v="1339129.3600000001"/>
  </r>
  <r>
    <s v="SHP-00663"/>
    <s v="2025-07-29"/>
    <x v="7"/>
    <x v="5"/>
    <x v="5"/>
    <x v="0"/>
    <s v="TRK-016"/>
    <s v="A. Hassan"/>
    <n v="1688"/>
    <n v="363.81"/>
    <n v="614111.28"/>
    <n v="642"/>
    <s v="2025-07-31"/>
    <d v="2025-07-01T00:00:00"/>
    <s v="2025-08-04"/>
    <s v="August 2025"/>
    <x v="0"/>
    <n v="28789.06"/>
    <n v="642900.34000000008"/>
  </r>
  <r>
    <s v="SHP-00664"/>
    <s v="2025-01-11"/>
    <x v="3"/>
    <x v="5"/>
    <x v="2"/>
    <x v="2"/>
    <s v="TRK-015"/>
    <s v="P. Maina"/>
    <n v="2363"/>
    <n v="188.41"/>
    <n v="445212.83"/>
    <n v="355"/>
    <s v="2025-01-13"/>
    <d v="2025-01-01T00:00:00"/>
    <s v="2025-01-13"/>
    <s v="January 2025"/>
    <x v="1"/>
    <n v="12926.32"/>
    <n v="458139.15"/>
  </r>
  <r>
    <s v="SHP-00665"/>
    <s v="2025-07-09"/>
    <x v="7"/>
    <x v="6"/>
    <x v="2"/>
    <x v="2"/>
    <s v="TRK-019"/>
    <s v="S. Chebet"/>
    <n v="1017"/>
    <n v="163.32"/>
    <n v="166096.44"/>
    <n v="582"/>
    <s v="2025-07-11"/>
    <d v="2025-07-01T00:00:00"/>
    <s v="2025-07-13"/>
    <s v="July 2025"/>
    <x v="0"/>
    <n v="23520.57"/>
    <n v="189617.01"/>
  </r>
  <r>
    <s v="SHP-00666"/>
    <s v="2025-07-15"/>
    <x v="7"/>
    <x v="6"/>
    <x v="1"/>
    <x v="2"/>
    <s v="TRK-026"/>
    <s v="S. Chebet"/>
    <n v="1929"/>
    <n v="258.32"/>
    <n v="498299.28"/>
    <n v="483"/>
    <s v="2025-07-17"/>
    <d v="2025-07-01T00:00:00"/>
    <s v="2025-07-17"/>
    <s v="July 2025"/>
    <x v="1"/>
    <n v="17993.82"/>
    <n v="516293.10000000003"/>
  </r>
  <r>
    <s v="SHP-00667"/>
    <s v="2025-10-01"/>
    <x v="5"/>
    <x v="3"/>
    <x v="1"/>
    <x v="2"/>
    <s v="TRK-027"/>
    <s v="K. Barasa"/>
    <n v="2078"/>
    <n v="848.4"/>
    <n v="1762975.2"/>
    <n v="669"/>
    <s v="2025-10-03"/>
    <d v="2025-10-01T00:00:00"/>
    <s v="2025-10-07"/>
    <s v="October 2025"/>
    <x v="0"/>
    <n v="26930.21"/>
    <n v="1789905.41"/>
  </r>
  <r>
    <s v="SHP-00668"/>
    <s v="2025-08-30"/>
    <x v="6"/>
    <x v="4"/>
    <x v="0"/>
    <x v="0"/>
    <s v="TRK-019"/>
    <s v="B. Kiprono"/>
    <n v="1842"/>
    <n v="343.66"/>
    <n v="633021.72"/>
    <n v="622"/>
    <s v="2025-09-01"/>
    <d v="2025-09-01T00:00:00"/>
    <s v="2025-09-05"/>
    <s v="September 2025"/>
    <x v="0"/>
    <n v="33964.75"/>
    <n v="666986.47"/>
  </r>
  <r>
    <s v="SHP-00669"/>
    <s v="2025-11-23"/>
    <x v="2"/>
    <x v="0"/>
    <x v="1"/>
    <x v="3"/>
    <s v="TRK-028"/>
    <s v="J. Mutua"/>
    <n v="704"/>
    <n v="362.61"/>
    <n v="255277.44"/>
    <n v="612"/>
    <s v="2025-11-25"/>
    <d v="2025-11-01T00:00:00"/>
    <s v="2025-11-29"/>
    <s v="November 2025"/>
    <x v="0"/>
    <n v="26731.48"/>
    <n v="282008.92"/>
  </r>
  <r>
    <s v="SHP-00670"/>
    <s v="2025-07-10"/>
    <x v="7"/>
    <x v="4"/>
    <x v="4"/>
    <x v="3"/>
    <s v="TRK-009"/>
    <s v="P. Maina"/>
    <n v="1208"/>
    <n v="552.19000000000005"/>
    <n v="667045.52"/>
    <n v="323"/>
    <s v="2025-07-11"/>
    <d v="2025-07-01T00:00:00"/>
    <s v="2025-07-10"/>
    <s v="July 2025"/>
    <x v="1"/>
    <n v="12767.29"/>
    <n v="679812.81"/>
  </r>
  <r>
    <s v="SHP-00671"/>
    <s v="2025-02-22"/>
    <x v="1"/>
    <x v="3"/>
    <x v="0"/>
    <x v="0"/>
    <s v="TRK-012"/>
    <s v="D. Said"/>
    <n v="1033"/>
    <n v="827.27"/>
    <n v="854569.91"/>
    <n v="62"/>
    <s v="2025-02-23"/>
    <d v="2025-02-01T00:00:00"/>
    <s v="2025-02-25"/>
    <s v="February 2025"/>
    <x v="0"/>
    <n v="3758.84"/>
    <n v="858328.75"/>
  </r>
  <r>
    <s v="SHP-00672"/>
    <s v="2025-02-09"/>
    <x v="1"/>
    <x v="7"/>
    <x v="1"/>
    <x v="2"/>
    <s v="TRK-006"/>
    <s v="M. Otieno"/>
    <n v="1175"/>
    <n v="52.36"/>
    <n v="61523"/>
    <n v="333"/>
    <s v="2025-02-10"/>
    <d v="2025-02-01T00:00:00"/>
    <s v="2025-02-12"/>
    <s v="February 2025"/>
    <x v="0"/>
    <n v="14151.95"/>
    <n v="75674.95"/>
  </r>
  <r>
    <s v="SHP-00673"/>
    <s v="2025-12-09"/>
    <x v="8"/>
    <x v="4"/>
    <x v="5"/>
    <x v="0"/>
    <s v="TRK-030"/>
    <s v="M. Otieno"/>
    <n v="55"/>
    <n v="339.54"/>
    <n v="18674.7"/>
    <n v="715"/>
    <s v="2025-12-12"/>
    <d v="2025-12-01T00:00:00"/>
    <s v="2025-12-12"/>
    <s v="December 2025"/>
    <x v="1"/>
    <n v="33982.65"/>
    <n v="52657.350000000006"/>
  </r>
  <r>
    <s v="SHP-00674"/>
    <s v="2025-10-05"/>
    <x v="5"/>
    <x v="5"/>
    <x v="2"/>
    <x v="3"/>
    <s v="TRK-026"/>
    <s v="D. Said"/>
    <n v="1894"/>
    <n v="147.12"/>
    <n v="278645.28000000003"/>
    <n v="334"/>
    <s v="2025-10-06"/>
    <d v="2025-10-01T00:00:00"/>
    <s v="2025-10-06"/>
    <s v="October 2025"/>
    <x v="1"/>
    <n v="20440.490000000002"/>
    <n v="299085.77"/>
  </r>
  <r>
    <s v="SHP-00675"/>
    <s v="2025-10-29"/>
    <x v="5"/>
    <x v="1"/>
    <x v="1"/>
    <x v="2"/>
    <s v="TRK-030"/>
    <s v="D. Said"/>
    <n v="2242"/>
    <n v="315.32"/>
    <n v="706947.44"/>
    <n v="243"/>
    <s v="2025-10-30"/>
    <d v="2025-10-01T00:00:00"/>
    <s v="2025-10-30"/>
    <s v="October 2025"/>
    <x v="1"/>
    <n v="12095.52"/>
    <n v="719042.96"/>
  </r>
  <r>
    <s v="SHP-00676"/>
    <s v="2025-05-12"/>
    <x v="10"/>
    <x v="7"/>
    <x v="3"/>
    <x v="0"/>
    <s v="TRK-025"/>
    <s v="M. Otieno"/>
    <n v="2301"/>
    <n v="789.14"/>
    <n v="1815811.14"/>
    <n v="539"/>
    <s v="2025-05-14"/>
    <d v="2025-05-01T00:00:00"/>
    <s v="2025-05-13"/>
    <s v="May 2025"/>
    <x v="1"/>
    <n v="26784.21"/>
    <n v="1842595.3499999999"/>
  </r>
  <r>
    <s v="SHP-00677"/>
    <s v="2025-12-06"/>
    <x v="8"/>
    <x v="1"/>
    <x v="1"/>
    <x v="3"/>
    <s v="TRK-015"/>
    <s v="P. Maina"/>
    <n v="205"/>
    <n v="847.51"/>
    <n v="173739.55"/>
    <n v="357"/>
    <s v="2025-12-08"/>
    <d v="2025-12-01T00:00:00"/>
    <s v="2025-12-10"/>
    <s v="December 2025"/>
    <x v="0"/>
    <n v="17970.150000000001"/>
    <n v="191709.69999999998"/>
  </r>
  <r>
    <s v="SHP-00678"/>
    <s v="2025-08-27"/>
    <x v="6"/>
    <x v="3"/>
    <x v="5"/>
    <x v="2"/>
    <s v="TRK-030"/>
    <s v="K. Barasa"/>
    <n v="2014"/>
    <n v="451.68"/>
    <n v="909683.52"/>
    <n v="225"/>
    <s v="2025-08-28"/>
    <d v="2025-08-01T00:00:00"/>
    <s v="2025-08-27"/>
    <s v="August 2025"/>
    <x v="1"/>
    <n v="11426.37"/>
    <n v="921109.89"/>
  </r>
  <r>
    <s v="SHP-00679"/>
    <s v="2025-03-04"/>
    <x v="4"/>
    <x v="3"/>
    <x v="3"/>
    <x v="1"/>
    <s v="TRK-029"/>
    <s v="K. Barasa"/>
    <n v="571"/>
    <n v="630.62"/>
    <n v="360084.02"/>
    <n v="225"/>
    <s v="2025-03-05"/>
    <d v="2025-03-01T00:00:00"/>
    <s v="2025-03-05"/>
    <s v="March 2025"/>
    <x v="1"/>
    <n v="12331.14"/>
    <n v="372415.16000000003"/>
  </r>
  <r>
    <s v="SHP-00680"/>
    <s v="2025-06-24"/>
    <x v="9"/>
    <x v="3"/>
    <x v="2"/>
    <x v="2"/>
    <s v="TRK-001"/>
    <s v="B. Kiprono"/>
    <n v="451"/>
    <n v="529.38"/>
    <n v="238750.38"/>
    <n v="250"/>
    <s v="2025-06-25"/>
    <d v="2025-06-01T00:00:00"/>
    <s v="2025-06-28"/>
    <s v="June 2025"/>
    <x v="0"/>
    <n v="12196.94"/>
    <n v="250947.32"/>
  </r>
  <r>
    <s v="SHP-00681"/>
    <s v="2025-04-22"/>
    <x v="0"/>
    <x v="7"/>
    <x v="4"/>
    <x v="0"/>
    <s v="TRK-011"/>
    <s v="L. Wekesa"/>
    <n v="1586"/>
    <n v="165.45"/>
    <n v="262403.7"/>
    <n v="147"/>
    <s v="2025-04-23"/>
    <d v="2025-04-01T00:00:00"/>
    <s v="2025-04-27"/>
    <s v="April 2025"/>
    <x v="0"/>
    <n v="8648.2099999999991"/>
    <n v="271051.91000000003"/>
  </r>
  <r>
    <s v="SHP-00682"/>
    <s v="2025-09-24"/>
    <x v="11"/>
    <x v="2"/>
    <x v="3"/>
    <x v="2"/>
    <s v="TRK-018"/>
    <s v="S. Chebet"/>
    <n v="2029"/>
    <n v="215.67"/>
    <n v="437594.43"/>
    <n v="383"/>
    <s v="2025-09-26"/>
    <d v="2025-09-01T00:00:00"/>
    <s v="2025-09-28"/>
    <s v="September 2025"/>
    <x v="0"/>
    <n v="14599.6"/>
    <n v="452194.02999999997"/>
  </r>
  <r>
    <s v="SHP-00683"/>
    <s v="2025-06-01"/>
    <x v="9"/>
    <x v="5"/>
    <x v="4"/>
    <x v="3"/>
    <s v="TRK-009"/>
    <s v="A. Hassan"/>
    <n v="2244"/>
    <n v="182.38"/>
    <n v="409260.72"/>
    <n v="581"/>
    <s v="2025-06-03"/>
    <d v="2025-06-01T00:00:00"/>
    <s v="2025-06-03"/>
    <s v="June 2025"/>
    <x v="1"/>
    <n v="26184.55"/>
    <n v="435445.26999999996"/>
  </r>
  <r>
    <s v="SHP-00684"/>
    <s v="2025-05-19"/>
    <x v="10"/>
    <x v="1"/>
    <x v="3"/>
    <x v="3"/>
    <s v="TRK-001"/>
    <s v="B. Kiprono"/>
    <n v="1407"/>
    <n v="884.09"/>
    <n v="1243914.6299999999"/>
    <n v="625"/>
    <s v="2025-05-21"/>
    <d v="2025-05-01T00:00:00"/>
    <s v="2025-05-21"/>
    <s v="May 2025"/>
    <x v="1"/>
    <n v="23850.21"/>
    <n v="1267764.8399999999"/>
  </r>
  <r>
    <s v="SHP-00685"/>
    <s v="2025-05-02"/>
    <x v="10"/>
    <x v="3"/>
    <x v="1"/>
    <x v="2"/>
    <s v="TRK-018"/>
    <s v="S. Chebet"/>
    <n v="1084"/>
    <n v="514.17999999999995"/>
    <n v="557371.12"/>
    <n v="207"/>
    <s v="2025-05-03"/>
    <d v="2025-05-01T00:00:00"/>
    <s v="2025-05-05"/>
    <s v="May 2025"/>
    <x v="0"/>
    <n v="10466.77"/>
    <n v="567837.89"/>
  </r>
  <r>
    <s v="SHP-00686"/>
    <s v="2025-03-22"/>
    <x v="4"/>
    <x v="7"/>
    <x v="1"/>
    <x v="2"/>
    <s v="TRK-019"/>
    <s v="L. Wekesa"/>
    <n v="1822"/>
    <n v="760.13"/>
    <n v="1384956.86"/>
    <n v="313"/>
    <s v="2025-03-23"/>
    <d v="2025-03-01T00:00:00"/>
    <s v="2025-03-23"/>
    <s v="March 2025"/>
    <x v="1"/>
    <n v="15741.25"/>
    <n v="1400698.11"/>
  </r>
  <r>
    <s v="SHP-00687"/>
    <s v="2025-04-08"/>
    <x v="0"/>
    <x v="1"/>
    <x v="5"/>
    <x v="2"/>
    <s v="TRK-020"/>
    <s v="S. Chebet"/>
    <n v="315"/>
    <n v="312.3"/>
    <n v="98374.5"/>
    <n v="434"/>
    <s v="2025-04-10"/>
    <d v="2025-04-01T00:00:00"/>
    <s v="2025-04-14"/>
    <s v="April 2025"/>
    <x v="0"/>
    <n v="22018.44"/>
    <n v="120392.94"/>
  </r>
  <r>
    <s v="SHP-00688"/>
    <s v="2025-07-26"/>
    <x v="7"/>
    <x v="5"/>
    <x v="5"/>
    <x v="0"/>
    <s v="TRK-001"/>
    <s v="D. Said"/>
    <n v="1102"/>
    <n v="528.88"/>
    <n v="582825.76"/>
    <n v="71"/>
    <s v="2025-07-27"/>
    <d v="2025-07-01T00:00:00"/>
    <s v="2025-07-27"/>
    <s v="July 2025"/>
    <x v="1"/>
    <n v="3829.59"/>
    <n v="586655.35"/>
  </r>
  <r>
    <s v="SHP-00689"/>
    <s v="2025-06-02"/>
    <x v="9"/>
    <x v="6"/>
    <x v="5"/>
    <x v="1"/>
    <s v="TRK-002"/>
    <s v="M. Otieno"/>
    <n v="199"/>
    <n v="506.77"/>
    <n v="100847.23"/>
    <n v="484"/>
    <s v="2025-06-04"/>
    <d v="2025-06-01T00:00:00"/>
    <s v="2025-06-08"/>
    <s v="June 2025"/>
    <x v="0"/>
    <n v="27338.92"/>
    <n v="128186.15"/>
  </r>
  <r>
    <s v="SHP-00690"/>
    <s v="2025-06-07"/>
    <x v="9"/>
    <x v="0"/>
    <x v="0"/>
    <x v="0"/>
    <s v="TRK-023"/>
    <s v="B. Kiprono"/>
    <n v="1284"/>
    <n v="189.88"/>
    <n v="243805.92"/>
    <n v="492"/>
    <s v="2025-06-09"/>
    <d v="2025-06-01T00:00:00"/>
    <s v="2025-06-13"/>
    <s v="June 2025"/>
    <x v="0"/>
    <n v="28183.42"/>
    <n v="271989.34000000003"/>
  </r>
  <r>
    <s v="SHP-00691"/>
    <s v="2025-04-19"/>
    <x v="0"/>
    <x v="5"/>
    <x v="2"/>
    <x v="2"/>
    <s v="TRK-010"/>
    <s v="S. Chebet"/>
    <n v="513"/>
    <n v="654.25"/>
    <n v="335630.25"/>
    <n v="624"/>
    <s v="2025-04-21"/>
    <d v="2025-04-01T00:00:00"/>
    <s v="2025-04-23"/>
    <s v="April 2025"/>
    <x v="0"/>
    <n v="30266.73"/>
    <n v="365896.98"/>
  </r>
  <r>
    <s v="SHP-00692"/>
    <s v="2025-05-11"/>
    <x v="10"/>
    <x v="2"/>
    <x v="4"/>
    <x v="3"/>
    <s v="TRK-030"/>
    <s v="D. Said"/>
    <n v="1611"/>
    <n v="296.7"/>
    <n v="477983.7"/>
    <n v="226"/>
    <s v="2025-05-12"/>
    <d v="2025-05-01T00:00:00"/>
    <s v="2025-05-16"/>
    <s v="May 2025"/>
    <x v="0"/>
    <n v="13138.33"/>
    <n v="491122.03"/>
  </r>
  <r>
    <s v="SHP-00693"/>
    <s v="2025-03-07"/>
    <x v="4"/>
    <x v="1"/>
    <x v="5"/>
    <x v="1"/>
    <s v="TRK-004"/>
    <s v="D. Said"/>
    <n v="868"/>
    <n v="124.97"/>
    <n v="108473.96"/>
    <n v="177"/>
    <s v="2025-03-08"/>
    <d v="2025-03-01T00:00:00"/>
    <s v="2025-03-10"/>
    <s v="March 2025"/>
    <x v="0"/>
    <n v="10814.83"/>
    <n v="119288.79000000001"/>
  </r>
  <r>
    <s v="SHP-00694"/>
    <s v="2025-02-23"/>
    <x v="1"/>
    <x v="7"/>
    <x v="4"/>
    <x v="1"/>
    <s v="TRK-016"/>
    <s v="L. Wekesa"/>
    <n v="889"/>
    <n v="516.51"/>
    <n v="459177.39"/>
    <n v="385"/>
    <s v="2025-02-25"/>
    <d v="2025-02-01T00:00:00"/>
    <s v="2025-03-01"/>
    <s v="March 2025"/>
    <x v="0"/>
    <n v="19632.97"/>
    <n v="478810.36"/>
  </r>
  <r>
    <s v="SHP-00695"/>
    <s v="2025-03-06"/>
    <x v="4"/>
    <x v="2"/>
    <x v="1"/>
    <x v="2"/>
    <s v="TRK-030"/>
    <s v="S. Chebet"/>
    <n v="69"/>
    <n v="66.510000000000005"/>
    <n v="4589.1899999999996"/>
    <n v="333"/>
    <s v="2025-03-07"/>
    <d v="2025-03-01T00:00:00"/>
    <s v="2025-03-10"/>
    <s v="March 2025"/>
    <x v="0"/>
    <n v="18704.09"/>
    <n v="23293.279999999999"/>
  </r>
  <r>
    <s v="SHP-00696"/>
    <s v="2025-04-13"/>
    <x v="0"/>
    <x v="0"/>
    <x v="1"/>
    <x v="2"/>
    <s v="TRK-026"/>
    <s v="S. Chebet"/>
    <n v="1080"/>
    <n v="727.81"/>
    <n v="786034.8"/>
    <n v="303"/>
    <s v="2025-04-14"/>
    <d v="2025-04-01T00:00:00"/>
    <s v="2025-04-17"/>
    <s v="April 2025"/>
    <x v="0"/>
    <n v="13123.05"/>
    <n v="799157.85000000009"/>
  </r>
  <r>
    <s v="SHP-00697"/>
    <s v="2025-01-04"/>
    <x v="3"/>
    <x v="5"/>
    <x v="0"/>
    <x v="3"/>
    <s v="TRK-003"/>
    <s v="D. Said"/>
    <n v="837"/>
    <n v="397.91"/>
    <n v="333050.67"/>
    <n v="665"/>
    <s v="2025-01-06"/>
    <d v="2025-01-01T00:00:00"/>
    <s v="2025-01-06"/>
    <s v="January 2025"/>
    <x v="1"/>
    <n v="35485.26"/>
    <n v="368535.93"/>
  </r>
  <r>
    <s v="SHP-00698"/>
    <s v="2025-04-19"/>
    <x v="0"/>
    <x v="3"/>
    <x v="3"/>
    <x v="1"/>
    <s v="TRK-015"/>
    <s v="A. Hassan"/>
    <n v="320"/>
    <n v="722.38"/>
    <n v="231161.60000000001"/>
    <n v="710"/>
    <s v="2025-04-22"/>
    <d v="2025-04-01T00:00:00"/>
    <s v="2025-04-22"/>
    <s v="April 2025"/>
    <x v="1"/>
    <n v="43523.44"/>
    <n v="274685.04000000004"/>
  </r>
  <r>
    <s v="SHP-00699"/>
    <s v="2025-07-03"/>
    <x v="7"/>
    <x v="7"/>
    <x v="3"/>
    <x v="0"/>
    <s v="TRK-017"/>
    <s v="M. Otieno"/>
    <n v="534"/>
    <n v="112.49"/>
    <n v="60069.66"/>
    <n v="237"/>
    <s v="2025-07-04"/>
    <d v="2025-07-01T00:00:00"/>
    <s v="2025-07-06"/>
    <s v="July 2025"/>
    <x v="0"/>
    <n v="11823.61"/>
    <n v="71893.27"/>
  </r>
  <r>
    <s v="SHP-00700"/>
    <s v="2025-01-13"/>
    <x v="3"/>
    <x v="0"/>
    <x v="4"/>
    <x v="3"/>
    <s v="TRK-011"/>
    <s v="E. Achieng"/>
    <n v="2303"/>
    <n v="605.47"/>
    <n v="1394397.41"/>
    <n v="405"/>
    <s v="2025-01-15"/>
    <d v="2025-01-01T00:00:00"/>
    <s v="2025-01-17"/>
    <s v="January 2025"/>
    <x v="0"/>
    <n v="19682.71"/>
    <n v="1414080.1199999999"/>
  </r>
  <r>
    <s v="SHP-00701"/>
    <s v="2025-01-09"/>
    <x v="3"/>
    <x v="3"/>
    <x v="3"/>
    <x v="1"/>
    <s v="TRK-013"/>
    <s v="B. Kiprono"/>
    <n v="1005"/>
    <n v="475.18"/>
    <n v="477555.9"/>
    <n v="499"/>
    <s v="2025-01-11"/>
    <d v="2025-01-01T00:00:00"/>
    <s v="2025-01-11"/>
    <s v="January 2025"/>
    <x v="1"/>
    <n v="28268.62"/>
    <n v="505824.52"/>
  </r>
  <r>
    <s v="SHP-00702"/>
    <s v="2025-10-23"/>
    <x v="5"/>
    <x v="0"/>
    <x v="1"/>
    <x v="0"/>
    <s v="TRK-018"/>
    <s v="A. Hassan"/>
    <n v="1070"/>
    <n v="66.849999999999994"/>
    <n v="71529.5"/>
    <n v="124"/>
    <s v="2025-10-24"/>
    <d v="2025-10-01T00:00:00"/>
    <s v="2025-10-27"/>
    <s v="October 2025"/>
    <x v="0"/>
    <n v="5844.23"/>
    <n v="77373.73"/>
  </r>
  <r>
    <s v="SHP-00703"/>
    <s v="2025-01-22"/>
    <x v="3"/>
    <x v="5"/>
    <x v="0"/>
    <x v="3"/>
    <s v="TRK-011"/>
    <s v="L. Wekesa"/>
    <n v="737"/>
    <n v="738.15"/>
    <n v="544016.55000000005"/>
    <n v="88"/>
    <s v="2025-01-23"/>
    <d v="2025-01-01T00:00:00"/>
    <s v="2025-01-26"/>
    <s v="January 2025"/>
    <x v="0"/>
    <n v="4388.3500000000004"/>
    <n v="548404.9"/>
  </r>
  <r>
    <s v="SHP-00704"/>
    <s v="2025-05-18"/>
    <x v="10"/>
    <x v="0"/>
    <x v="0"/>
    <x v="2"/>
    <s v="TRK-018"/>
    <s v="L. Wekesa"/>
    <n v="1946"/>
    <n v="761.64"/>
    <n v="1482151.44"/>
    <n v="377"/>
    <s v="2025-05-20"/>
    <d v="2025-05-01T00:00:00"/>
    <s v="2025-05-23"/>
    <s v="May 2025"/>
    <x v="0"/>
    <n v="20409.53"/>
    <n v="1502560.97"/>
  </r>
  <r>
    <s v="SHP-00705"/>
    <s v="2025-05-05"/>
    <x v="10"/>
    <x v="1"/>
    <x v="4"/>
    <x v="3"/>
    <s v="TRK-024"/>
    <s v="B. Kiprono"/>
    <n v="557"/>
    <n v="841.61"/>
    <n v="468776.77"/>
    <n v="647"/>
    <s v="2025-05-07"/>
    <d v="2025-05-01T00:00:00"/>
    <s v="2025-05-08"/>
    <s v="May 2025"/>
    <x v="0"/>
    <n v="31846.76"/>
    <n v="500623.53"/>
  </r>
  <r>
    <s v="SHP-00706"/>
    <s v="2025-01-05"/>
    <x v="3"/>
    <x v="5"/>
    <x v="5"/>
    <x v="1"/>
    <s v="TRK-011"/>
    <s v="E. Achieng"/>
    <n v="440"/>
    <n v="826.75"/>
    <n v="363770"/>
    <n v="50"/>
    <s v="2025-01-06"/>
    <d v="2025-01-01T00:00:00"/>
    <s v="2025-01-05"/>
    <s v="January 2025"/>
    <x v="1"/>
    <n v="2799.8"/>
    <n v="366569.8"/>
  </r>
  <r>
    <s v="SHP-00707"/>
    <s v="2025-10-17"/>
    <x v="5"/>
    <x v="3"/>
    <x v="0"/>
    <x v="0"/>
    <s v="TRK-010"/>
    <s v="P. Maina"/>
    <n v="446"/>
    <n v="556.91999999999996"/>
    <n v="248386.32"/>
    <n v="298"/>
    <s v="2025-10-18"/>
    <d v="2025-10-01T00:00:00"/>
    <s v="2025-10-19"/>
    <s v="October 2025"/>
    <x v="0"/>
    <n v="12363.12"/>
    <n v="260749.44"/>
  </r>
  <r>
    <s v="SHP-00708"/>
    <s v="2025-03-31"/>
    <x v="4"/>
    <x v="3"/>
    <x v="2"/>
    <x v="3"/>
    <s v="TRK-022"/>
    <s v="B. Kiprono"/>
    <n v="2369"/>
    <n v="780.45"/>
    <n v="1848886.05"/>
    <n v="247"/>
    <s v="2025-04-01"/>
    <d v="2025-04-01T00:00:00"/>
    <s v="2025-04-02"/>
    <s v="April 2025"/>
    <x v="0"/>
    <n v="15047.4"/>
    <n v="1863933.45"/>
  </r>
  <r>
    <s v="SHP-00709"/>
    <s v="2025-07-28"/>
    <x v="7"/>
    <x v="0"/>
    <x v="3"/>
    <x v="1"/>
    <s v="TRK-021"/>
    <s v="K. Barasa"/>
    <n v="1015"/>
    <n v="525.70000000000005"/>
    <n v="533585.5"/>
    <n v="452"/>
    <s v="2025-07-30"/>
    <d v="2025-07-01T00:00:00"/>
    <s v="2025-07-31"/>
    <s v="July 2025"/>
    <x v="0"/>
    <n v="17109.63"/>
    <n v="550695.13"/>
  </r>
  <r>
    <s v="SHP-00710"/>
    <s v="2025-06-23"/>
    <x v="9"/>
    <x v="3"/>
    <x v="1"/>
    <x v="0"/>
    <s v="TRK-029"/>
    <s v="B. Kiprono"/>
    <n v="1563"/>
    <n v="357.66"/>
    <n v="559022.57999999996"/>
    <n v="534"/>
    <s v="2025-06-25"/>
    <d v="2025-06-01T00:00:00"/>
    <s v="2025-06-25"/>
    <s v="June 2025"/>
    <x v="1"/>
    <n v="30714.61"/>
    <n v="589737.18999999994"/>
  </r>
  <r>
    <s v="SHP-00711"/>
    <s v="2025-01-14"/>
    <x v="3"/>
    <x v="6"/>
    <x v="1"/>
    <x v="0"/>
    <s v="TRK-015"/>
    <s v="E. Achieng"/>
    <n v="2061"/>
    <n v="639.1"/>
    <n v="1317185.1000000001"/>
    <n v="685"/>
    <s v="2025-01-16"/>
    <d v="2025-01-01T00:00:00"/>
    <s v="2025-01-18"/>
    <s v="January 2025"/>
    <x v="0"/>
    <n v="24678.18"/>
    <n v="1341863.28"/>
  </r>
  <r>
    <s v="SHP-00712"/>
    <s v="2025-11-30"/>
    <x v="2"/>
    <x v="7"/>
    <x v="0"/>
    <x v="1"/>
    <s v="TRK-007"/>
    <s v="L. Wekesa"/>
    <n v="532"/>
    <n v="842.1"/>
    <n v="447997.2"/>
    <n v="28"/>
    <s v="2025-12-01"/>
    <d v="2025-12-01T00:00:00"/>
    <s v="2025-11-30"/>
    <s v="November 2025"/>
    <x v="1"/>
    <n v="1697.38"/>
    <n v="449694.58"/>
  </r>
  <r>
    <s v="SHP-00713"/>
    <s v="2025-09-29"/>
    <x v="11"/>
    <x v="4"/>
    <x v="3"/>
    <x v="2"/>
    <s v="TRK-030"/>
    <s v="P. Maina"/>
    <n v="324"/>
    <n v="264.79000000000002"/>
    <n v="85791.96"/>
    <n v="64"/>
    <s v="2025-09-30"/>
    <d v="2025-09-01T00:00:00"/>
    <s v="2025-09-30"/>
    <s v="September 2025"/>
    <x v="1"/>
    <n v="3923.38"/>
    <n v="89715.340000000011"/>
  </r>
  <r>
    <s v="SHP-00714"/>
    <s v="2025-11-05"/>
    <x v="2"/>
    <x v="4"/>
    <x v="5"/>
    <x v="3"/>
    <s v="TRK-020"/>
    <s v="E. Achieng"/>
    <n v="888"/>
    <n v="476.18"/>
    <n v="422847.84"/>
    <n v="621"/>
    <s v="2025-11-07"/>
    <d v="2025-11-01T00:00:00"/>
    <s v="2025-11-09"/>
    <s v="November 2025"/>
    <x v="0"/>
    <n v="32828.65"/>
    <n v="455676.49000000005"/>
  </r>
  <r>
    <s v="SHP-00715"/>
    <s v="2025-05-03"/>
    <x v="10"/>
    <x v="0"/>
    <x v="1"/>
    <x v="2"/>
    <s v="TRK-002"/>
    <s v="S. Chebet"/>
    <n v="1541"/>
    <n v="600.45000000000005"/>
    <n v="925293.45"/>
    <n v="194"/>
    <s v="2025-05-04"/>
    <d v="2025-05-01T00:00:00"/>
    <s v="2025-05-07"/>
    <s v="May 2025"/>
    <x v="0"/>
    <n v="7552.64"/>
    <n v="932846.09"/>
  </r>
  <r>
    <s v="SHP-00716"/>
    <s v="2025-05-08"/>
    <x v="10"/>
    <x v="6"/>
    <x v="5"/>
    <x v="2"/>
    <s v="TRK-004"/>
    <s v="J. Mutua"/>
    <n v="1710"/>
    <n v="675.15"/>
    <n v="1154506.5"/>
    <n v="347"/>
    <s v="2025-05-09"/>
    <d v="2025-05-01T00:00:00"/>
    <s v="2025-05-09"/>
    <s v="May 2025"/>
    <x v="1"/>
    <n v="14429.46"/>
    <n v="1168935.96"/>
  </r>
  <r>
    <s v="SHP-00717"/>
    <s v="2025-12-15"/>
    <x v="8"/>
    <x v="6"/>
    <x v="1"/>
    <x v="1"/>
    <s v="TRK-023"/>
    <s v="B. Kiprono"/>
    <n v="2175"/>
    <n v="256.2"/>
    <n v="557235"/>
    <n v="404"/>
    <s v="2025-12-17"/>
    <d v="2025-12-01T00:00:00"/>
    <s v="2025-12-21"/>
    <s v="December 2025"/>
    <x v="0"/>
    <n v="19105.71"/>
    <n v="576340.71"/>
  </r>
  <r>
    <s v="SHP-00718"/>
    <s v="2025-10-30"/>
    <x v="5"/>
    <x v="0"/>
    <x v="4"/>
    <x v="2"/>
    <s v="TRK-023"/>
    <s v="P. Maina"/>
    <n v="1751"/>
    <n v="723.9"/>
    <n v="1267548.8999999999"/>
    <n v="262"/>
    <s v="2025-10-31"/>
    <d v="2025-10-01T00:00:00"/>
    <s v="2025-11-03"/>
    <s v="November 2025"/>
    <x v="0"/>
    <n v="12001.06"/>
    <n v="1279549.96"/>
  </r>
  <r>
    <s v="SHP-00719"/>
    <s v="2025-06-11"/>
    <x v="9"/>
    <x v="0"/>
    <x v="0"/>
    <x v="1"/>
    <s v="TRK-018"/>
    <s v="L. Wekesa"/>
    <n v="2380"/>
    <n v="493.51"/>
    <n v="1174553.8"/>
    <n v="494"/>
    <s v="2025-06-13"/>
    <d v="2025-06-01T00:00:00"/>
    <s v="2025-06-14"/>
    <s v="June 2025"/>
    <x v="0"/>
    <n v="19381.599999999999"/>
    <n v="1193935.4000000001"/>
  </r>
  <r>
    <s v="SHP-00720"/>
    <s v="2025-06-16"/>
    <x v="9"/>
    <x v="1"/>
    <x v="0"/>
    <x v="0"/>
    <s v="TRK-007"/>
    <s v="E. Achieng"/>
    <n v="1481"/>
    <n v="354.17"/>
    <n v="524525.77"/>
    <n v="231"/>
    <s v="2025-06-17"/>
    <d v="2025-06-01T00:00:00"/>
    <s v="2025-06-20"/>
    <s v="June 2025"/>
    <x v="0"/>
    <n v="10342.33"/>
    <n v="534868.1"/>
  </r>
  <r>
    <s v="SHP-00721"/>
    <s v="2025-06-26"/>
    <x v="9"/>
    <x v="0"/>
    <x v="3"/>
    <x v="1"/>
    <s v="TRK-005"/>
    <s v="J. Mutua"/>
    <n v="393"/>
    <n v="419.42"/>
    <n v="164832.06"/>
    <n v="432"/>
    <s v="2025-06-28"/>
    <d v="2025-06-01T00:00:00"/>
    <s v="2025-06-29"/>
    <s v="June 2025"/>
    <x v="0"/>
    <n v="15627.66"/>
    <n v="180459.72"/>
  </r>
  <r>
    <s v="SHP-00722"/>
    <s v="2025-05-21"/>
    <x v="10"/>
    <x v="1"/>
    <x v="1"/>
    <x v="3"/>
    <s v="TRK-003"/>
    <s v="K. Barasa"/>
    <n v="2186"/>
    <n v="435.32"/>
    <n v="951609.52"/>
    <n v="170"/>
    <s v="2025-05-22"/>
    <d v="2025-05-01T00:00:00"/>
    <s v="2025-05-24"/>
    <s v="May 2025"/>
    <x v="0"/>
    <n v="8930.92"/>
    <n v="960540.44000000006"/>
  </r>
  <r>
    <s v="SHP-00723"/>
    <s v="2025-08-29"/>
    <x v="6"/>
    <x v="1"/>
    <x v="4"/>
    <x v="1"/>
    <s v="TRK-022"/>
    <s v="P. Maina"/>
    <n v="1096"/>
    <n v="395.97"/>
    <n v="433983.12"/>
    <n v="624"/>
    <s v="2025-08-31"/>
    <d v="2025-08-01T00:00:00"/>
    <s v="2025-08-31"/>
    <s v="August 2025"/>
    <x v="1"/>
    <n v="38484.04"/>
    <n v="472467.16"/>
  </r>
  <r>
    <s v="SHP-00724"/>
    <s v="2025-06-18"/>
    <x v="9"/>
    <x v="1"/>
    <x v="5"/>
    <x v="0"/>
    <s v="TRK-021"/>
    <s v="P. Maina"/>
    <n v="1673"/>
    <n v="403.19"/>
    <n v="674536.87"/>
    <n v="696"/>
    <s v="2025-06-20"/>
    <d v="2025-06-01T00:00:00"/>
    <s v="2025-06-20"/>
    <s v="June 2025"/>
    <x v="1"/>
    <n v="27411.26"/>
    <n v="701948.13"/>
  </r>
  <r>
    <s v="SHP-00725"/>
    <s v="2025-04-02"/>
    <x v="0"/>
    <x v="5"/>
    <x v="4"/>
    <x v="1"/>
    <s v="TRK-020"/>
    <s v="A. Hassan"/>
    <n v="428"/>
    <n v="668.52"/>
    <n v="286126.56"/>
    <n v="510"/>
    <s v="2025-04-04"/>
    <d v="2025-04-01T00:00:00"/>
    <s v="2025-04-03"/>
    <s v="April 2025"/>
    <x v="1"/>
    <n v="26578.07"/>
    <n v="312704.63"/>
  </r>
  <r>
    <s v="SHP-00726"/>
    <s v="2025-10-05"/>
    <x v="5"/>
    <x v="5"/>
    <x v="2"/>
    <x v="1"/>
    <s v="TRK-018"/>
    <s v="D. Said"/>
    <n v="1449"/>
    <n v="631.53"/>
    <n v="915086.97"/>
    <n v="604"/>
    <s v="2025-10-07"/>
    <d v="2025-10-01T00:00:00"/>
    <s v="2025-10-11"/>
    <s v="October 2025"/>
    <x v="0"/>
    <n v="30941.93"/>
    <n v="946028.9"/>
  </r>
  <r>
    <s v="SHP-00727"/>
    <s v="2025-02-17"/>
    <x v="1"/>
    <x v="0"/>
    <x v="3"/>
    <x v="0"/>
    <s v="TRK-006"/>
    <s v="P. Maina"/>
    <n v="530"/>
    <n v="626.01"/>
    <n v="331785.3"/>
    <n v="499"/>
    <s v="2025-02-19"/>
    <d v="2025-02-01T00:00:00"/>
    <s v="2025-02-19"/>
    <s v="February 2025"/>
    <x v="1"/>
    <n v="29665.95"/>
    <n v="361451.25"/>
  </r>
  <r>
    <s v="SHP-00728"/>
    <s v="2025-04-04"/>
    <x v="0"/>
    <x v="6"/>
    <x v="2"/>
    <x v="1"/>
    <s v="TRK-028"/>
    <s v="L. Wekesa"/>
    <n v="1057"/>
    <n v="784.29"/>
    <n v="828994.53"/>
    <n v="180"/>
    <s v="2025-04-05"/>
    <d v="2025-04-01T00:00:00"/>
    <s v="2025-04-04"/>
    <s v="April 2025"/>
    <x v="1"/>
    <n v="9396.33"/>
    <n v="838390.86"/>
  </r>
  <r>
    <s v="SHP-00729"/>
    <s v="2025-06-18"/>
    <x v="9"/>
    <x v="7"/>
    <x v="0"/>
    <x v="2"/>
    <s v="TRK-002"/>
    <s v="K. Barasa"/>
    <n v="314"/>
    <n v="454.33"/>
    <n v="142659.62"/>
    <n v="472"/>
    <s v="2025-06-20"/>
    <d v="2025-06-01T00:00:00"/>
    <s v="2025-06-21"/>
    <s v="June 2025"/>
    <x v="0"/>
    <n v="16704.330000000002"/>
    <n v="159363.95000000001"/>
  </r>
  <r>
    <s v="SHP-00730"/>
    <s v="2025-02-17"/>
    <x v="1"/>
    <x v="5"/>
    <x v="4"/>
    <x v="2"/>
    <s v="TRK-004"/>
    <s v="B. Kiprono"/>
    <n v="747"/>
    <n v="891.12"/>
    <n v="665666.64"/>
    <n v="168"/>
    <s v="2025-02-18"/>
    <d v="2025-02-01T00:00:00"/>
    <s v="2025-02-18"/>
    <s v="February 2025"/>
    <x v="1"/>
    <n v="7600.89"/>
    <n v="673267.53"/>
  </r>
  <r>
    <s v="SHP-00731"/>
    <s v="2025-08-20"/>
    <x v="6"/>
    <x v="5"/>
    <x v="4"/>
    <x v="3"/>
    <s v="TRK-005"/>
    <s v="E. Achieng"/>
    <n v="1728"/>
    <n v="256.82"/>
    <n v="443784.96000000002"/>
    <n v="308"/>
    <s v="2025-08-21"/>
    <d v="2025-08-01T00:00:00"/>
    <s v="2025-08-21"/>
    <s v="August 2025"/>
    <x v="1"/>
    <n v="18669.990000000002"/>
    <n v="462454.95"/>
  </r>
  <r>
    <s v="SHP-00732"/>
    <s v="2025-11-12"/>
    <x v="2"/>
    <x v="7"/>
    <x v="0"/>
    <x v="3"/>
    <s v="TRK-017"/>
    <s v="B. Kiprono"/>
    <n v="2451"/>
    <n v="147.32"/>
    <n v="361081.32"/>
    <n v="167"/>
    <s v="2025-11-13"/>
    <d v="2025-11-01T00:00:00"/>
    <s v="2025-11-13"/>
    <s v="November 2025"/>
    <x v="1"/>
    <n v="8058.83"/>
    <n v="369140.15"/>
  </r>
  <r>
    <s v="SHP-00733"/>
    <s v="2025-01-14"/>
    <x v="3"/>
    <x v="3"/>
    <x v="1"/>
    <x v="1"/>
    <s v="TRK-021"/>
    <s v="M. Otieno"/>
    <n v="1431"/>
    <n v="408.93"/>
    <n v="585178.82999999996"/>
    <n v="239"/>
    <s v="2025-01-15"/>
    <d v="2025-01-01T00:00:00"/>
    <s v="2025-01-19"/>
    <s v="January 2025"/>
    <x v="0"/>
    <n v="14325.49"/>
    <n v="599504.31999999995"/>
  </r>
  <r>
    <s v="SHP-00734"/>
    <s v="2025-11-08"/>
    <x v="2"/>
    <x v="7"/>
    <x v="2"/>
    <x v="3"/>
    <s v="TRK-029"/>
    <s v="S. Chebet"/>
    <n v="236"/>
    <n v="606.35"/>
    <n v="143098.6"/>
    <n v="312"/>
    <s v="2025-11-09"/>
    <d v="2025-11-01T00:00:00"/>
    <s v="2025-11-10"/>
    <s v="November 2025"/>
    <x v="0"/>
    <n v="18411.060000000001"/>
    <n v="161509.66"/>
  </r>
  <r>
    <s v="SHP-00735"/>
    <s v="2025-01-31"/>
    <x v="3"/>
    <x v="6"/>
    <x v="0"/>
    <x v="1"/>
    <s v="TRK-017"/>
    <s v="D. Said"/>
    <n v="214"/>
    <n v="343.91"/>
    <n v="73596.740000000005"/>
    <n v="442"/>
    <s v="2025-02-02"/>
    <d v="2025-02-01T00:00:00"/>
    <s v="2025-02-02"/>
    <s v="February 2025"/>
    <x v="1"/>
    <n v="24169.55"/>
    <n v="97766.290000000008"/>
  </r>
  <r>
    <s v="SHP-00736"/>
    <s v="2025-01-13"/>
    <x v="3"/>
    <x v="4"/>
    <x v="0"/>
    <x v="2"/>
    <s v="TRK-026"/>
    <s v="J. Mutua"/>
    <n v="1955"/>
    <n v="619.79"/>
    <n v="1211689.45"/>
    <n v="589"/>
    <s v="2025-01-15"/>
    <d v="2025-01-01T00:00:00"/>
    <s v="2025-01-15"/>
    <s v="January 2025"/>
    <x v="1"/>
    <n v="30287.55"/>
    <n v="1241977"/>
  </r>
  <r>
    <s v="SHP-00737"/>
    <s v="2025-08-14"/>
    <x v="6"/>
    <x v="7"/>
    <x v="1"/>
    <x v="3"/>
    <s v="TRK-023"/>
    <s v="B. Kiprono"/>
    <n v="1954"/>
    <n v="785.02"/>
    <n v="1533929.08"/>
    <n v="331"/>
    <s v="2025-08-15"/>
    <d v="2025-08-01T00:00:00"/>
    <s v="2025-08-18"/>
    <s v="August 2025"/>
    <x v="0"/>
    <n v="13877.77"/>
    <n v="1547806.85"/>
  </r>
  <r>
    <s v="SHP-00738"/>
    <s v="2025-03-02"/>
    <x v="4"/>
    <x v="7"/>
    <x v="4"/>
    <x v="2"/>
    <s v="TRK-002"/>
    <s v="D. Said"/>
    <n v="128"/>
    <n v="750.56"/>
    <n v="96071.679999999993"/>
    <n v="567"/>
    <s v="2025-03-04"/>
    <d v="2025-03-01T00:00:00"/>
    <s v="2025-03-03"/>
    <s v="March 2025"/>
    <x v="1"/>
    <n v="20385.830000000002"/>
    <n v="116457.51"/>
  </r>
  <r>
    <s v="SHP-00739"/>
    <s v="2025-02-08"/>
    <x v="1"/>
    <x v="1"/>
    <x v="2"/>
    <x v="3"/>
    <s v="TRK-022"/>
    <s v="J. Mutua"/>
    <n v="1992"/>
    <n v="463.7"/>
    <n v="923690.4"/>
    <n v="168"/>
    <s v="2025-02-09"/>
    <d v="2025-02-01T00:00:00"/>
    <s v="2025-02-09"/>
    <s v="February 2025"/>
    <x v="1"/>
    <n v="0"/>
    <n v="923690.4"/>
  </r>
  <r>
    <s v="SHP-00740"/>
    <s v="2025-06-04"/>
    <x v="9"/>
    <x v="6"/>
    <x v="3"/>
    <x v="1"/>
    <s v="TRK-003"/>
    <s v="A. Hassan"/>
    <n v="727"/>
    <n v="514.83000000000004"/>
    <n v="374281.41"/>
    <n v="365"/>
    <s v="2025-06-06"/>
    <d v="2025-06-01T00:00:00"/>
    <s v="2025-06-06"/>
    <s v="June 2025"/>
    <x v="1"/>
    <n v="16914.39"/>
    <n v="391195.8"/>
  </r>
  <r>
    <s v="SHP-00741"/>
    <s v="2025-08-01"/>
    <x v="6"/>
    <x v="3"/>
    <x v="3"/>
    <x v="2"/>
    <s v="TRK-005"/>
    <s v="B. Kiprono"/>
    <n v="365"/>
    <n v="78.23"/>
    <n v="28553.95"/>
    <n v="440"/>
    <s v="2025-08-03"/>
    <d v="2025-08-01T00:00:00"/>
    <s v="2025-08-05"/>
    <s v="August 2025"/>
    <x v="0"/>
    <n v="16959.310000000001"/>
    <n v="45513.26"/>
  </r>
  <r>
    <s v="SHP-00742"/>
    <s v="2025-05-22"/>
    <x v="10"/>
    <x v="7"/>
    <x v="3"/>
    <x v="2"/>
    <s v="TRK-001"/>
    <s v="M. Otieno"/>
    <n v="1978"/>
    <n v="656.9"/>
    <n v="1299348.2"/>
    <n v="286"/>
    <s v="2025-05-23"/>
    <d v="2025-05-01T00:00:00"/>
    <s v="2025-05-23"/>
    <s v="May 2025"/>
    <x v="1"/>
    <n v="10443.370000000001"/>
    <n v="1309791.57"/>
  </r>
  <r>
    <s v="SHP-00743"/>
    <s v="2025-02-03"/>
    <x v="1"/>
    <x v="1"/>
    <x v="2"/>
    <x v="0"/>
    <s v="TRK-022"/>
    <s v="D. Said"/>
    <n v="1352"/>
    <n v="78.88"/>
    <n v="106645.75999999999"/>
    <n v="339"/>
    <s v="2025-02-04"/>
    <d v="2025-02-01T00:00:00"/>
    <s v="2025-02-06"/>
    <s v="February 2025"/>
    <x v="0"/>
    <n v="18736.18"/>
    <n v="125381.94"/>
  </r>
  <r>
    <s v="SHP-00744"/>
    <s v="2025-09-04"/>
    <x v="11"/>
    <x v="4"/>
    <x v="1"/>
    <x v="2"/>
    <s v="TRK-026"/>
    <s v="L. Wekesa"/>
    <n v="1292"/>
    <n v="836.19"/>
    <n v="1080357.48"/>
    <n v="631"/>
    <s v="2025-09-06"/>
    <d v="2025-09-01T00:00:00"/>
    <s v="2025-09-06"/>
    <s v="September 2025"/>
    <x v="1"/>
    <n v="28273.49"/>
    <n v="1108630.97"/>
  </r>
  <r>
    <s v="SHP-00745"/>
    <s v="2025-02-10"/>
    <x v="1"/>
    <x v="5"/>
    <x v="1"/>
    <x v="3"/>
    <s v="TRK-011"/>
    <s v="M. Otieno"/>
    <n v="597"/>
    <n v="499.01"/>
    <n v="297908.96999999997"/>
    <n v="431"/>
    <s v="2025-02-12"/>
    <d v="2025-02-01T00:00:00"/>
    <s v="2025-02-15"/>
    <s v="February 2025"/>
    <x v="0"/>
    <n v="18273.78"/>
    <n v="316182.75"/>
  </r>
  <r>
    <s v="SHP-00746"/>
    <s v="2025-10-03"/>
    <x v="5"/>
    <x v="1"/>
    <x v="2"/>
    <x v="0"/>
    <s v="TRK-027"/>
    <s v="D. Said"/>
    <n v="1367"/>
    <n v="331.56"/>
    <n v="453242.52"/>
    <n v="41"/>
    <s v="2025-10-04"/>
    <d v="2025-10-01T00:00:00"/>
    <s v="2025-10-03"/>
    <s v="October 2025"/>
    <x v="1"/>
    <n v="2165.6799999999998"/>
    <n v="455408.2"/>
  </r>
  <r>
    <s v="SHP-00747"/>
    <s v="2025-09-01"/>
    <x v="11"/>
    <x v="0"/>
    <x v="0"/>
    <x v="0"/>
    <s v="TRK-022"/>
    <s v="D. Said"/>
    <n v="467"/>
    <n v="664.43"/>
    <n v="310288.81"/>
    <n v="619"/>
    <s v="2025-09-03"/>
    <d v="2025-09-01T00:00:00"/>
    <s v="2025-09-05"/>
    <s v="September 2025"/>
    <x v="0"/>
    <n v="35981.24"/>
    <n v="346270.05"/>
  </r>
  <r>
    <s v="SHP-00748"/>
    <s v="2025-01-02"/>
    <x v="3"/>
    <x v="1"/>
    <x v="1"/>
    <x v="2"/>
    <s v="TRK-002"/>
    <s v="J. Mutua"/>
    <n v="1958"/>
    <n v="511.3"/>
    <n v="1001125.4"/>
    <n v="381"/>
    <s v="2025-01-04"/>
    <d v="2025-01-01T00:00:00"/>
    <s v="2025-01-07"/>
    <s v="January 2025"/>
    <x v="0"/>
    <n v="21863.46"/>
    <n v="1022988.86"/>
  </r>
  <r>
    <s v="SHP-00749"/>
    <s v="2025-04-30"/>
    <x v="0"/>
    <x v="3"/>
    <x v="5"/>
    <x v="0"/>
    <s v="TRK-015"/>
    <s v="P. Maina"/>
    <n v="386"/>
    <n v="248.52"/>
    <n v="95928.72"/>
    <n v="158"/>
    <s v="2025-05-01"/>
    <d v="2025-05-01T00:00:00"/>
    <s v="2025-05-01"/>
    <s v="May 2025"/>
    <x v="1"/>
    <n v="6353.48"/>
    <n v="102282.2"/>
  </r>
  <r>
    <s v="SHP-00750"/>
    <s v="2025-11-29"/>
    <x v="2"/>
    <x v="5"/>
    <x v="3"/>
    <x v="1"/>
    <s v="TRK-024"/>
    <s v="E. Achieng"/>
    <n v="1509"/>
    <n v="131.88"/>
    <n v="199006.92"/>
    <n v="588"/>
    <s v="2025-12-01"/>
    <d v="2025-12-01T00:00:00"/>
    <s v="2025-12-01"/>
    <s v="December 2025"/>
    <x v="1"/>
    <n v="27271.14"/>
    <n v="226278.06"/>
  </r>
  <r>
    <s v="SHP-00751"/>
    <s v="2025-02-09"/>
    <x v="1"/>
    <x v="2"/>
    <x v="0"/>
    <x v="1"/>
    <s v="TRK-016"/>
    <s v="J. Mutua"/>
    <n v="2005"/>
    <n v="886.76"/>
    <n v="1777953.8"/>
    <n v="85"/>
    <s v="2025-02-10"/>
    <d v="2025-02-01T00:00:00"/>
    <s v="2025-02-09"/>
    <s v="February 2025"/>
    <x v="1"/>
    <n v="5197.71"/>
    <n v="1783151.51"/>
  </r>
  <r>
    <s v="SHP-00752"/>
    <s v="2025-07-22"/>
    <x v="7"/>
    <x v="1"/>
    <x v="2"/>
    <x v="1"/>
    <s v="TRK-001"/>
    <s v="J. Mutua"/>
    <n v="1714"/>
    <n v="688.36"/>
    <n v="1179849.04"/>
    <n v="72"/>
    <s v="2025-07-23"/>
    <d v="2025-07-01T00:00:00"/>
    <s v="2025-07-23"/>
    <s v="July 2025"/>
    <x v="1"/>
    <n v="4071.47"/>
    <n v="1183920.51"/>
  </r>
  <r>
    <s v="SHP-00753"/>
    <s v="2025-04-21"/>
    <x v="0"/>
    <x v="5"/>
    <x v="0"/>
    <x v="2"/>
    <s v="TRK-017"/>
    <s v="K. Barasa"/>
    <n v="2173"/>
    <n v="247.92"/>
    <n v="538730.16"/>
    <n v="224"/>
    <s v="2025-04-22"/>
    <d v="2025-04-01T00:00:00"/>
    <s v="2025-04-26"/>
    <s v="April 2025"/>
    <x v="0"/>
    <n v="9365.33"/>
    <n v="548095.49"/>
  </r>
  <r>
    <s v="SHP-00754"/>
    <s v="2025-06-24"/>
    <x v="9"/>
    <x v="3"/>
    <x v="2"/>
    <x v="2"/>
    <s v="TRK-028"/>
    <s v="P. Maina"/>
    <n v="1830"/>
    <n v="242.6"/>
    <n v="443958"/>
    <n v="180"/>
    <s v="2025-06-25"/>
    <d v="2025-06-01T00:00:00"/>
    <s v="2025-06-25"/>
    <s v="June 2025"/>
    <x v="1"/>
    <n v="10279.530000000001"/>
    <n v="454237.53"/>
  </r>
  <r>
    <s v="SHP-00755"/>
    <s v="2025-10-21"/>
    <x v="5"/>
    <x v="7"/>
    <x v="3"/>
    <x v="2"/>
    <s v="TRK-009"/>
    <s v="M. Otieno"/>
    <n v="2220"/>
    <n v="776.08"/>
    <n v="1722897.6"/>
    <n v="139"/>
    <s v="2025-10-22"/>
    <d v="2025-10-01T00:00:00"/>
    <s v="2025-10-23"/>
    <s v="October 2025"/>
    <x v="0"/>
    <n v="7089.13"/>
    <n v="1729986.73"/>
  </r>
  <r>
    <s v="SHP-00756"/>
    <s v="2025-06-23"/>
    <x v="9"/>
    <x v="7"/>
    <x v="4"/>
    <x v="1"/>
    <s v="TRK-015"/>
    <s v="L. Wekesa"/>
    <n v="1220"/>
    <n v="558.22"/>
    <n v="681028.4"/>
    <n v="247"/>
    <s v="2025-06-24"/>
    <d v="2025-06-01T00:00:00"/>
    <s v="2025-06-24"/>
    <s v="June 2025"/>
    <x v="1"/>
    <n v="10513.02"/>
    <n v="691541.42"/>
  </r>
  <r>
    <s v="SHP-00757"/>
    <s v="2025-09-27"/>
    <x v="11"/>
    <x v="2"/>
    <x v="2"/>
    <x v="2"/>
    <s v="TRK-022"/>
    <s v="A. Hassan"/>
    <n v="363"/>
    <n v="226.68"/>
    <n v="82284.84"/>
    <n v="292"/>
    <s v="2025-09-28"/>
    <d v="2025-09-01T00:00:00"/>
    <s v="2025-09-27"/>
    <s v="September 2025"/>
    <x v="1"/>
    <n v="16436.73"/>
    <n v="98721.569999999992"/>
  </r>
  <r>
    <s v="SHP-00758"/>
    <s v="2025-04-06"/>
    <x v="0"/>
    <x v="4"/>
    <x v="2"/>
    <x v="3"/>
    <s v="TRK-022"/>
    <s v="K. Barasa"/>
    <n v="2279"/>
    <n v="797.77"/>
    <n v="1818117.83"/>
    <n v="717"/>
    <s v="2025-04-09"/>
    <d v="2025-04-01T00:00:00"/>
    <s v="2025-04-10"/>
    <s v="April 2025"/>
    <x v="0"/>
    <n v="43729.73"/>
    <n v="1861847.56"/>
  </r>
  <r>
    <s v="SHP-00759"/>
    <s v="2025-08-05"/>
    <x v="6"/>
    <x v="3"/>
    <x v="5"/>
    <x v="1"/>
    <s v="TRK-004"/>
    <s v="E. Achieng"/>
    <n v="2375"/>
    <n v="312.82"/>
    <n v="742947.5"/>
    <n v="383"/>
    <s v="2025-08-07"/>
    <d v="2025-08-01T00:00:00"/>
    <s v="2025-08-10"/>
    <s v="August 2025"/>
    <x v="0"/>
    <n v="22673.439999999999"/>
    <n v="765620.94"/>
  </r>
  <r>
    <s v="SHP-00760"/>
    <s v="2025-01-22"/>
    <x v="3"/>
    <x v="3"/>
    <x v="4"/>
    <x v="1"/>
    <s v="TRK-012"/>
    <s v="L. Wekesa"/>
    <n v="991"/>
    <n v="387.05"/>
    <n v="383566.55"/>
    <n v="550"/>
    <s v="2025-01-24"/>
    <d v="2025-01-01T00:00:00"/>
    <s v="2025-01-28"/>
    <s v="January 2025"/>
    <x v="0"/>
    <n v="32256.3"/>
    <n v="415822.85"/>
  </r>
  <r>
    <s v="SHP-00761"/>
    <s v="2025-01-18"/>
    <x v="3"/>
    <x v="7"/>
    <x v="3"/>
    <x v="0"/>
    <s v="TRK-002"/>
    <s v="K. Barasa"/>
    <n v="1818"/>
    <n v="863.14"/>
    <n v="1569188.52"/>
    <n v="370"/>
    <s v="2025-01-20"/>
    <d v="2025-01-01T00:00:00"/>
    <s v="2025-01-19"/>
    <s v="January 2025"/>
    <x v="1"/>
    <n v="18500.66"/>
    <n v="1587689.18"/>
  </r>
  <r>
    <s v="SHP-00762"/>
    <s v="2025-07-20"/>
    <x v="7"/>
    <x v="3"/>
    <x v="5"/>
    <x v="0"/>
    <s v="TRK-020"/>
    <s v="M. Otieno"/>
    <n v="271"/>
    <n v="530.64"/>
    <n v="143803.44"/>
    <n v="613"/>
    <s v="2025-07-22"/>
    <d v="2025-07-01T00:00:00"/>
    <s v="2025-07-24"/>
    <s v="July 2025"/>
    <x v="0"/>
    <n v="33557.06"/>
    <n v="177360.5"/>
  </r>
  <r>
    <s v="SHP-00763"/>
    <s v="2025-12-09"/>
    <x v="8"/>
    <x v="3"/>
    <x v="5"/>
    <x v="0"/>
    <s v="TRK-013"/>
    <s v="B. Kiprono"/>
    <n v="476"/>
    <n v="638.74"/>
    <n v="304040.24"/>
    <n v="28"/>
    <s v="2025-12-10"/>
    <d v="2025-12-01T00:00:00"/>
    <s v="2025-12-10"/>
    <s v="December 2025"/>
    <x v="1"/>
    <n v="1432.9"/>
    <n v="305473.14"/>
  </r>
  <r>
    <s v="SHP-00764"/>
    <s v="2025-05-01"/>
    <x v="10"/>
    <x v="1"/>
    <x v="5"/>
    <x v="0"/>
    <s v="TRK-009"/>
    <s v="J. Mutua"/>
    <n v="1958"/>
    <n v="555.34"/>
    <n v="1087355.72"/>
    <n v="496"/>
    <s v="2025-05-03"/>
    <d v="2025-05-01T00:00:00"/>
    <s v="2025-05-06"/>
    <s v="May 2025"/>
    <x v="0"/>
    <n v="30437.59"/>
    <n v="1117793.31"/>
  </r>
  <r>
    <s v="SHP-00765"/>
    <s v="2025-04-10"/>
    <x v="0"/>
    <x v="5"/>
    <x v="4"/>
    <x v="3"/>
    <s v="TRK-021"/>
    <s v="D. Said"/>
    <n v="1008"/>
    <n v="173.2"/>
    <n v="174585.60000000001"/>
    <n v="195"/>
    <s v="2025-04-11"/>
    <d v="2025-04-01T00:00:00"/>
    <s v="2025-04-12"/>
    <s v="April 2025"/>
    <x v="0"/>
    <n v="7795"/>
    <n v="182380.6"/>
  </r>
  <r>
    <s v="SHP-00766"/>
    <s v="2025-04-19"/>
    <x v="0"/>
    <x v="7"/>
    <x v="0"/>
    <x v="2"/>
    <s v="TRK-009"/>
    <s v="A. Hassan"/>
    <n v="2212"/>
    <n v="863.02"/>
    <n v="1909000.24"/>
    <n v="694"/>
    <s v="2025-04-21"/>
    <d v="2025-04-01T00:00:00"/>
    <s v="2025-04-21"/>
    <s v="April 2025"/>
    <x v="1"/>
    <n v="31549.5"/>
    <n v="1940549.74"/>
  </r>
  <r>
    <s v="SHP-00767"/>
    <s v="2025-12-20"/>
    <x v="8"/>
    <x v="3"/>
    <x v="3"/>
    <x v="3"/>
    <s v="TRK-013"/>
    <s v="P. Maina"/>
    <n v="2141"/>
    <n v="554.54999999999995"/>
    <n v="1187291.55"/>
    <n v="32"/>
    <s v="2025-12-21"/>
    <d v="2025-12-01T00:00:00"/>
    <s v="2025-12-20"/>
    <s v="December 2025"/>
    <x v="1"/>
    <n v="1470.97"/>
    <n v="1188762.52"/>
  </r>
  <r>
    <s v="SHP-00768"/>
    <s v="2025-06-21"/>
    <x v="9"/>
    <x v="4"/>
    <x v="5"/>
    <x v="2"/>
    <s v="TRK-027"/>
    <s v="J. Mutua"/>
    <n v="1039"/>
    <n v="599.34"/>
    <n v="622714.26"/>
    <n v="553"/>
    <s v="2025-06-23"/>
    <d v="2025-06-01T00:00:00"/>
    <s v="2025-06-22"/>
    <s v="June 2025"/>
    <x v="1"/>
    <n v="30911.58"/>
    <n v="653625.84"/>
  </r>
  <r>
    <s v="SHP-00769"/>
    <s v="2025-05-22"/>
    <x v="10"/>
    <x v="1"/>
    <x v="0"/>
    <x v="3"/>
    <s v="TRK-016"/>
    <s v="L. Wekesa"/>
    <n v="105"/>
    <n v="305.17"/>
    <n v="32042.85"/>
    <n v="704"/>
    <s v="2025-05-25"/>
    <d v="2025-05-01T00:00:00"/>
    <s v="2025-05-25"/>
    <s v="May 2025"/>
    <x v="1"/>
    <n v="33968.83"/>
    <n v="66011.679999999993"/>
  </r>
  <r>
    <s v="SHP-00770"/>
    <s v="2025-02-23"/>
    <x v="1"/>
    <x v="0"/>
    <x v="1"/>
    <x v="1"/>
    <s v="TRK-004"/>
    <s v="A. Hassan"/>
    <n v="1819"/>
    <n v="846.43"/>
    <n v="1539656.17"/>
    <n v="580"/>
    <s v="2025-02-25"/>
    <d v="2025-02-01T00:00:00"/>
    <s v="2025-02-25"/>
    <s v="February 2025"/>
    <x v="1"/>
    <n v="22695.38"/>
    <n v="1562351.5499999998"/>
  </r>
  <r>
    <s v="SHP-00771"/>
    <s v="2025-09-16"/>
    <x v="11"/>
    <x v="0"/>
    <x v="1"/>
    <x v="3"/>
    <s v="TRK-030"/>
    <s v="D. Said"/>
    <n v="167"/>
    <n v="556.73"/>
    <n v="92973.91"/>
    <n v="599"/>
    <s v="2025-09-18"/>
    <d v="2025-09-01T00:00:00"/>
    <s v="2025-09-21"/>
    <s v="September 2025"/>
    <x v="0"/>
    <n v="32389.41"/>
    <n v="125363.32"/>
  </r>
  <r>
    <s v="SHP-00772"/>
    <s v="2025-09-14"/>
    <x v="11"/>
    <x v="7"/>
    <x v="5"/>
    <x v="3"/>
    <s v="TRK-003"/>
    <s v="M. Otieno"/>
    <n v="1893"/>
    <n v="254.24"/>
    <n v="481276.32"/>
    <n v="154"/>
    <s v="2025-09-15"/>
    <d v="2025-09-01T00:00:00"/>
    <s v="2025-09-15"/>
    <s v="September 2025"/>
    <x v="1"/>
    <n v="6649"/>
    <n v="487925.32"/>
  </r>
  <r>
    <s v="SHP-00773"/>
    <s v="2025-12-15"/>
    <x v="8"/>
    <x v="7"/>
    <x v="0"/>
    <x v="3"/>
    <s v="TRK-029"/>
    <s v="D. Said"/>
    <n v="832"/>
    <n v="194.66"/>
    <n v="161957.12"/>
    <n v="74"/>
    <s v="2025-12-16"/>
    <d v="2025-12-01T00:00:00"/>
    <s v="2025-12-19"/>
    <s v="December 2025"/>
    <x v="0"/>
    <n v="3278.27"/>
    <n v="165235.38999999998"/>
  </r>
  <r>
    <s v="SHP-00774"/>
    <s v="2025-05-03"/>
    <x v="10"/>
    <x v="1"/>
    <x v="4"/>
    <x v="3"/>
    <s v="TRK-030"/>
    <s v="K. Barasa"/>
    <n v="2372"/>
    <n v="249.28"/>
    <n v="591292.16000000003"/>
    <n v="657"/>
    <s v="2025-05-05"/>
    <d v="2025-05-01T00:00:00"/>
    <s v="2025-05-05"/>
    <s v="May 2025"/>
    <x v="1"/>
    <n v="27157.02"/>
    <n v="618449.18000000005"/>
  </r>
  <r>
    <s v="SHP-00775"/>
    <s v="2025-11-07"/>
    <x v="2"/>
    <x v="0"/>
    <x v="3"/>
    <x v="0"/>
    <s v="TRK-023"/>
    <s v="S. Chebet"/>
    <n v="953"/>
    <n v="473.12"/>
    <n v="450883.36"/>
    <n v="203"/>
    <s v="2025-11-08"/>
    <d v="2025-11-01T00:00:00"/>
    <s v="2025-11-08"/>
    <s v="November 2025"/>
    <x v="1"/>
    <n v="8551.67"/>
    <n v="459435.02999999997"/>
  </r>
  <r>
    <s v="SHP-00776"/>
    <s v="2025-09-15"/>
    <x v="11"/>
    <x v="0"/>
    <x v="2"/>
    <x v="3"/>
    <s v="TRK-017"/>
    <s v="D. Said"/>
    <n v="1362"/>
    <n v="232.64"/>
    <n v="316855.67999999999"/>
    <n v="153"/>
    <s v="2025-09-16"/>
    <d v="2025-09-01T00:00:00"/>
    <s v="2025-09-16"/>
    <s v="September 2025"/>
    <x v="1"/>
    <n v="8441.7999999999993"/>
    <n v="325297.48"/>
  </r>
  <r>
    <s v="SHP-00777"/>
    <s v="2025-04-11"/>
    <x v="0"/>
    <x v="5"/>
    <x v="0"/>
    <x v="1"/>
    <s v="TRK-028"/>
    <s v="M. Otieno"/>
    <n v="67"/>
    <n v="339.54"/>
    <n v="22749.18"/>
    <n v="495"/>
    <s v="2025-04-13"/>
    <d v="2025-04-01T00:00:00"/>
    <s v="2025-04-15"/>
    <s v="April 2025"/>
    <x v="0"/>
    <n v="30192.92"/>
    <n v="52942.1"/>
  </r>
  <r>
    <s v="SHP-00778"/>
    <s v="2025-10-29"/>
    <x v="5"/>
    <x v="2"/>
    <x v="5"/>
    <x v="1"/>
    <s v="TRK-023"/>
    <s v="D. Said"/>
    <n v="981"/>
    <n v="344.76"/>
    <n v="338209.56"/>
    <n v="630"/>
    <s v="2025-10-31"/>
    <d v="2025-10-01T00:00:00"/>
    <s v="2025-10-31"/>
    <s v="October 2025"/>
    <x v="1"/>
    <n v="38405.81"/>
    <n v="376615.37"/>
  </r>
  <r>
    <s v="SHP-00779"/>
    <s v="2025-08-17"/>
    <x v="6"/>
    <x v="3"/>
    <x v="2"/>
    <x v="2"/>
    <s v="TRK-011"/>
    <s v="J. Mutua"/>
    <n v="2034"/>
    <n v="864.52"/>
    <n v="1758433.68"/>
    <n v="678"/>
    <s v="2025-08-19"/>
    <d v="2025-08-01T00:00:00"/>
    <s v="2025-08-19"/>
    <s v="August 2025"/>
    <x v="1"/>
    <n v="40820.65"/>
    <n v="1799254.3299999998"/>
  </r>
  <r>
    <s v="SHP-00780"/>
    <s v="2025-08-30"/>
    <x v="6"/>
    <x v="0"/>
    <x v="5"/>
    <x v="3"/>
    <s v="TRK-012"/>
    <s v="E. Achieng"/>
    <n v="389"/>
    <n v="145.19"/>
    <n v="56478.91"/>
    <n v="229"/>
    <s v="2025-08-31"/>
    <d v="2025-08-01T00:00:00"/>
    <s v="2025-09-03"/>
    <s v="September 2025"/>
    <x v="0"/>
    <n v="12314.51"/>
    <n v="68793.42"/>
  </r>
  <r>
    <s v="SHP-00781"/>
    <s v="2025-12-11"/>
    <x v="8"/>
    <x v="4"/>
    <x v="5"/>
    <x v="1"/>
    <s v="TRK-025"/>
    <s v="J. Mutua"/>
    <n v="180"/>
    <n v="663.41"/>
    <n v="119413.8"/>
    <n v="287"/>
    <s v="2025-12-12"/>
    <d v="2025-12-01T00:00:00"/>
    <s v="2025-12-12"/>
    <s v="December 2025"/>
    <x v="1"/>
    <n v="13928.39"/>
    <n v="133342.19"/>
  </r>
  <r>
    <s v="SHP-00782"/>
    <s v="2025-06-23"/>
    <x v="9"/>
    <x v="2"/>
    <x v="1"/>
    <x v="3"/>
    <s v="TRK-013"/>
    <s v="L. Wekesa"/>
    <n v="857"/>
    <n v="874.14"/>
    <n v="749137.98"/>
    <n v="493"/>
    <s v="2025-06-25"/>
    <d v="2025-06-01T00:00:00"/>
    <s v="2025-06-27"/>
    <s v="June 2025"/>
    <x v="0"/>
    <n v="25914.41"/>
    <n v="775052.39"/>
  </r>
  <r>
    <s v="SHP-00783"/>
    <s v="2025-07-26"/>
    <x v="7"/>
    <x v="7"/>
    <x v="4"/>
    <x v="1"/>
    <s v="TRK-029"/>
    <s v="M. Otieno"/>
    <n v="55"/>
    <n v="573.79999999999995"/>
    <n v="31559"/>
    <n v="305"/>
    <s v="2025-07-27"/>
    <d v="2025-07-01T00:00:00"/>
    <s v="2025-07-29"/>
    <s v="July 2025"/>
    <x v="0"/>
    <n v="15265.08"/>
    <n v="46824.08"/>
  </r>
  <r>
    <s v="SHP-00784"/>
    <s v="2025-08-25"/>
    <x v="6"/>
    <x v="4"/>
    <x v="0"/>
    <x v="3"/>
    <s v="TRK-029"/>
    <s v="D. Said"/>
    <n v="953"/>
    <n v="188.14"/>
    <n v="179297.42"/>
    <n v="677"/>
    <s v="2025-08-27"/>
    <d v="2025-08-01T00:00:00"/>
    <s v="2025-08-31"/>
    <s v="August 2025"/>
    <x v="0"/>
    <n v="33462.32"/>
    <n v="212759.74000000002"/>
  </r>
  <r>
    <s v="SHP-00785"/>
    <s v="2025-06-23"/>
    <x v="9"/>
    <x v="2"/>
    <x v="1"/>
    <x v="3"/>
    <s v="TRK-007"/>
    <s v="K. Barasa"/>
    <n v="2172"/>
    <n v="378.6"/>
    <n v="822319.2"/>
    <n v="694"/>
    <s v="2025-06-25"/>
    <d v="2025-06-01T00:00:00"/>
    <s v="2025-06-25"/>
    <s v="June 2025"/>
    <x v="1"/>
    <n v="25754.86"/>
    <n v="848074.05999999994"/>
  </r>
  <r>
    <s v="SHP-00786"/>
    <s v="2025-01-31"/>
    <x v="3"/>
    <x v="2"/>
    <x v="0"/>
    <x v="1"/>
    <s v="TRK-003"/>
    <s v="E. Achieng"/>
    <n v="127"/>
    <n v="830.63"/>
    <n v="105490.01"/>
    <n v="523"/>
    <s v="2025-02-02"/>
    <d v="2025-02-01T00:00:00"/>
    <s v="2025-02-03"/>
    <s v="February 2025"/>
    <x v="0"/>
    <n v="26347.67"/>
    <n v="131837.68"/>
  </r>
  <r>
    <s v="SHP-00787"/>
    <s v="2025-04-29"/>
    <x v="0"/>
    <x v="7"/>
    <x v="0"/>
    <x v="1"/>
    <s v="TRK-001"/>
    <s v="K. Barasa"/>
    <n v="1615"/>
    <n v="751.73"/>
    <n v="1214043.95"/>
    <n v="366"/>
    <s v="2025-05-01"/>
    <d v="2025-05-01T00:00:00"/>
    <s v="2025-05-01"/>
    <s v="May 2025"/>
    <x v="1"/>
    <n v="22462.36"/>
    <n v="1236506.31"/>
  </r>
  <r>
    <s v="SHP-00788"/>
    <s v="2025-01-26"/>
    <x v="3"/>
    <x v="4"/>
    <x v="5"/>
    <x v="2"/>
    <s v="TRK-026"/>
    <s v="K. Barasa"/>
    <n v="128"/>
    <n v="375.52"/>
    <n v="48066.559999999998"/>
    <n v="127"/>
    <s v="2025-01-27"/>
    <d v="2025-01-01T00:00:00"/>
    <s v="2025-01-27"/>
    <s v="January 2025"/>
    <x v="1"/>
    <n v="5698.06"/>
    <n v="53764.619999999995"/>
  </r>
  <r>
    <s v="SHP-00789"/>
    <s v="2025-01-15"/>
    <x v="3"/>
    <x v="0"/>
    <x v="5"/>
    <x v="0"/>
    <s v="TRK-026"/>
    <s v="E. Achieng"/>
    <n v="1099"/>
    <n v="843.05"/>
    <n v="926511.95"/>
    <n v="100"/>
    <s v="2025-01-16"/>
    <d v="2025-01-01T00:00:00"/>
    <s v="2025-01-20"/>
    <s v="January 2025"/>
    <x v="0"/>
    <n v="5234.1499999999996"/>
    <n v="931746.1"/>
  </r>
  <r>
    <s v="SHP-00790"/>
    <s v="2025-09-23"/>
    <x v="11"/>
    <x v="5"/>
    <x v="4"/>
    <x v="0"/>
    <s v="TRK-024"/>
    <s v="B. Kiprono"/>
    <n v="2191"/>
    <n v="255.38"/>
    <n v="559537.57999999996"/>
    <n v="41"/>
    <s v="2025-09-24"/>
    <d v="2025-09-01T00:00:00"/>
    <s v="2025-09-23"/>
    <s v="September 2025"/>
    <x v="1"/>
    <n v="2215.94"/>
    <n v="561753.5199999999"/>
  </r>
  <r>
    <s v="SHP-00791"/>
    <s v="2025-10-25"/>
    <x v="5"/>
    <x v="2"/>
    <x v="5"/>
    <x v="3"/>
    <s v="TRK-024"/>
    <s v="A. Hassan"/>
    <n v="339"/>
    <n v="513.38"/>
    <n v="174035.82"/>
    <n v="623"/>
    <s v="2025-10-27"/>
    <d v="2025-10-01T00:00:00"/>
    <s v="2025-10-27"/>
    <s v="October 2025"/>
    <x v="1"/>
    <n v="33313.120000000003"/>
    <n v="207348.94"/>
  </r>
  <r>
    <s v="SHP-00792"/>
    <s v="2025-01-28"/>
    <x v="3"/>
    <x v="5"/>
    <x v="4"/>
    <x v="3"/>
    <s v="TRK-016"/>
    <s v="B. Kiprono"/>
    <n v="2230"/>
    <n v="300.83999999999997"/>
    <n v="670873.19999999995"/>
    <n v="167"/>
    <s v="2025-01-29"/>
    <d v="2025-01-01T00:00:00"/>
    <s v="2025-01-31"/>
    <s v="January 2025"/>
    <x v="0"/>
    <n v="7612.19"/>
    <n v="678485.3899999999"/>
  </r>
  <r>
    <s v="SHP-00793"/>
    <s v="2025-08-16"/>
    <x v="6"/>
    <x v="6"/>
    <x v="1"/>
    <x v="0"/>
    <s v="TRK-001"/>
    <s v="A. Hassan"/>
    <n v="1792"/>
    <n v="742.85"/>
    <n v="1331187.2"/>
    <n v="380"/>
    <s v="2025-08-18"/>
    <d v="2025-08-01T00:00:00"/>
    <s v="2025-08-22"/>
    <s v="August 2025"/>
    <x v="0"/>
    <n v="18281.240000000002"/>
    <n v="1349468.44"/>
  </r>
  <r>
    <s v="SHP-00794"/>
    <s v="2025-10-29"/>
    <x v="5"/>
    <x v="6"/>
    <x v="3"/>
    <x v="3"/>
    <s v="TRK-015"/>
    <s v="B. Kiprono"/>
    <n v="1821"/>
    <n v="493.03"/>
    <n v="897807.63"/>
    <n v="165"/>
    <s v="2025-10-30"/>
    <d v="2025-10-01T00:00:00"/>
    <s v="2025-10-29"/>
    <s v="October 2025"/>
    <x v="1"/>
    <n v="6127.53"/>
    <n v="903935.16"/>
  </r>
  <r>
    <s v="SHP-00795"/>
    <s v="2025-05-12"/>
    <x v="10"/>
    <x v="1"/>
    <x v="2"/>
    <x v="3"/>
    <s v="TRK-027"/>
    <s v="M. Otieno"/>
    <n v="874"/>
    <n v="829.56"/>
    <n v="725035.44"/>
    <n v="340"/>
    <s v="2025-05-13"/>
    <d v="2025-05-01T00:00:00"/>
    <s v="2025-05-13"/>
    <s v="May 2025"/>
    <x v="1"/>
    <n v="14551.67"/>
    <n v="739587.11"/>
  </r>
  <r>
    <s v="SHP-00796"/>
    <s v="2025-07-21"/>
    <x v="7"/>
    <x v="3"/>
    <x v="0"/>
    <x v="0"/>
    <s v="TRK-003"/>
    <s v="L. Wekesa"/>
    <n v="2257"/>
    <n v="524.37"/>
    <n v="1183503.0900000001"/>
    <n v="632"/>
    <s v="2025-07-23"/>
    <d v="2025-07-01T00:00:00"/>
    <s v="2025-07-22"/>
    <s v="July 2025"/>
    <x v="1"/>
    <n v="24497.19"/>
    <n v="1208000.28"/>
  </r>
  <r>
    <s v="SHP-00797"/>
    <s v="2025-09-16"/>
    <x v="11"/>
    <x v="0"/>
    <x v="3"/>
    <x v="1"/>
    <s v="TRK-011"/>
    <s v="M. Otieno"/>
    <n v="944"/>
    <n v="564.27"/>
    <n v="532670.88"/>
    <n v="25"/>
    <s v="2025-09-17"/>
    <d v="2025-09-01T00:00:00"/>
    <s v="2025-09-17"/>
    <s v="September 2025"/>
    <x v="1"/>
    <n v="1150.8599999999999"/>
    <n v="533821.74"/>
  </r>
  <r>
    <s v="SHP-00798"/>
    <s v="2025-06-14"/>
    <x v="9"/>
    <x v="1"/>
    <x v="3"/>
    <x v="0"/>
    <s v="TRK-025"/>
    <s v="K. Barasa"/>
    <n v="2482"/>
    <n v="381"/>
    <n v="945642"/>
    <n v="348"/>
    <s v="2025-06-15"/>
    <d v="2025-06-01T00:00:00"/>
    <s v="2025-06-19"/>
    <s v="June 2025"/>
    <x v="0"/>
    <n v="19571.79"/>
    <n v="965213.79"/>
  </r>
  <r>
    <s v="SHP-00799"/>
    <s v="2025-04-11"/>
    <x v="0"/>
    <x v="1"/>
    <x v="3"/>
    <x v="3"/>
    <s v="TRK-004"/>
    <s v="J. Mutua"/>
    <n v="2099"/>
    <n v="838.64"/>
    <n v="1760305.36"/>
    <n v="383"/>
    <s v="2025-04-13"/>
    <d v="2025-04-01T00:00:00"/>
    <s v="2025-04-12"/>
    <s v="April 2025"/>
    <x v="1"/>
    <n v="22038.080000000002"/>
    <n v="1782343.4400000002"/>
  </r>
  <r>
    <s v="SHP-00800"/>
    <s v="2025-12-03"/>
    <x v="8"/>
    <x v="1"/>
    <x v="0"/>
    <x v="0"/>
    <s v="TRK-023"/>
    <s v="S. Chebet"/>
    <n v="2150"/>
    <n v="828.78"/>
    <n v="1781877"/>
    <n v="361"/>
    <s v="2025-12-05"/>
    <d v="2025-12-01T00:00:00"/>
    <s v="2025-12-05"/>
    <s v="December 2025"/>
    <x v="1"/>
    <n v="18513.71"/>
    <n v="1800390.7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SHP-00001"/>
    <s v="2025-04-27"/>
    <d v="2025-04-01T00:00:00"/>
    <s v="UrbanWorks Contractors"/>
    <x v="0"/>
    <x v="0"/>
    <s v="TRK-026"/>
    <s v="P. Maina"/>
    <n v="1086"/>
    <n v="742.25"/>
    <n v="806083.5"/>
    <n v="406"/>
    <s v="2025-04-29"/>
    <d v="2025-04-01T00:00:00"/>
    <s v="2025-05-03"/>
    <s v="May 2025"/>
    <s v="Late"/>
    <n v="19455.45"/>
    <n v="825538.95"/>
    <n v="4"/>
    <n v="6"/>
  </r>
  <r>
    <s v="SHP-00002"/>
    <s v="2025-02-16"/>
    <d v="2025-02-01T00:00:00"/>
    <s v="Lake Region Water Services"/>
    <x v="1"/>
    <x v="1"/>
    <s v="TRK-013"/>
    <s v="K. Barasa"/>
    <n v="2027"/>
    <n v="782.42"/>
    <n v="1585965.34"/>
    <n v="80"/>
    <s v="2025-02-17"/>
    <d v="2025-02-01T00:00:00"/>
    <s v="2025-02-17"/>
    <s v="February 2025"/>
    <s v="On Time"/>
    <n v="4650.55"/>
    <n v="1590615.8900000001"/>
    <n v="0"/>
    <m/>
  </r>
  <r>
    <s v="SHP-00003"/>
    <s v="2025-11-24"/>
    <d v="2025-11-01T00:00:00"/>
    <s v="Metro Packaging Ltd"/>
    <x v="0"/>
    <x v="1"/>
    <s v="TRK-013"/>
    <s v="K. Barasa"/>
    <n v="758"/>
    <n v="643.51"/>
    <n v="487780.58"/>
    <n v="697"/>
    <s v="2025-11-26"/>
    <d v="2025-11-01T00:00:00"/>
    <s v="2025-11-27"/>
    <s v="November 2025"/>
    <s v="Late"/>
    <n v="26836.9"/>
    <n v="514617.48000000004"/>
    <n v="1"/>
    <m/>
  </r>
  <r>
    <s v="SHP-00004"/>
    <s v="2025-01-15"/>
    <d v="2025-01-01T00:00:00"/>
    <s v="Metro Packaging Ltd"/>
    <x v="1"/>
    <x v="2"/>
    <s v="TRK-025"/>
    <s v="M. Otieno"/>
    <n v="2247"/>
    <n v="178.61"/>
    <n v="401336.67"/>
    <n v="652"/>
    <s v="2025-01-17"/>
    <d v="2025-01-01T00:00:00"/>
    <s v="2025-01-21"/>
    <s v="January 2025"/>
    <s v="Late"/>
    <n v="33466"/>
    <n v="434802.67"/>
    <n v="4"/>
    <m/>
  </r>
  <r>
    <s v="SHP-00005"/>
    <s v="2025-03-13"/>
    <d v="2025-03-01T00:00:00"/>
    <s v="Rift Valley Manufacturing"/>
    <x v="2"/>
    <x v="0"/>
    <s v="TRK-012"/>
    <s v="S. Chebet"/>
    <n v="256"/>
    <n v="100.81"/>
    <n v="25807.360000000001"/>
    <n v="152"/>
    <s v="2025-03-14"/>
    <d v="2025-03-01T00:00:00"/>
    <s v="2025-03-17"/>
    <s v="March 2025"/>
    <s v="Late"/>
    <n v="6973.76"/>
    <n v="32781.120000000003"/>
    <n v="3"/>
    <m/>
  </r>
  <r>
    <s v="SHP-00006"/>
    <s v="2025-03-17"/>
    <d v="2025-03-01T00:00:00"/>
    <s v="Metro Packaging Ltd"/>
    <x v="0"/>
    <x v="3"/>
    <s v="TRK-009"/>
    <s v="D. Said"/>
    <n v="1140"/>
    <n v="548.84"/>
    <n v="625677.6"/>
    <n v="718"/>
    <s v="2025-03-20"/>
    <d v="2025-03-01T00:00:00"/>
    <s v="2025-03-20"/>
    <s v="March 2025"/>
    <s v="On Time"/>
    <n v="38968.9"/>
    <n v="664646.5"/>
    <n v="0"/>
    <m/>
  </r>
  <r>
    <s v="SHP-00007"/>
    <s v="2025-03-10"/>
    <d v="2025-03-01T00:00:00"/>
    <s v="Highland Agro Processors"/>
    <x v="2"/>
    <x v="1"/>
    <s v="TRK-020"/>
    <s v="P. Maina"/>
    <n v="2494"/>
    <n v="344.5"/>
    <n v="859183"/>
    <n v="527"/>
    <s v="2025-03-12"/>
    <d v="2025-03-01T00:00:00"/>
    <s v="2025-03-13"/>
    <s v="March 2025"/>
    <s v="Late"/>
    <n v="23343.439999999999"/>
    <n v="882526.44"/>
    <n v="1"/>
    <m/>
  </r>
  <r>
    <s v="SHP-00008"/>
    <s v="2025-10-09"/>
    <d v="2025-10-01T00:00:00"/>
    <s v="Rift Valley Manufacturing"/>
    <x v="3"/>
    <x v="2"/>
    <s v="TRK-028"/>
    <s v="D. Said"/>
    <n v="2353"/>
    <n v="581.47"/>
    <n v="1368198.91"/>
    <n v="33"/>
    <s v="2025-10-10"/>
    <d v="2025-10-01T00:00:00"/>
    <s v="2025-10-10"/>
    <s v="October 2025"/>
    <s v="On Time"/>
    <n v="1885.39"/>
    <n v="1370084.2999999998"/>
    <n v="0"/>
    <m/>
  </r>
  <r>
    <s v="SHP-00009"/>
    <s v="2025-04-13"/>
    <d v="2025-04-01T00:00:00"/>
    <s v="Lake Region Water Services"/>
    <x v="4"/>
    <x v="2"/>
    <s v="TRK-030"/>
    <s v="B. Kiprono"/>
    <n v="57"/>
    <n v="574.82000000000005"/>
    <n v="32764.74"/>
    <n v="327"/>
    <s v="2025-04-14"/>
    <d v="2025-04-01T00:00:00"/>
    <s v="2025-04-17"/>
    <s v="April 2025"/>
    <s v="Late"/>
    <n v="14949.71"/>
    <n v="47714.45"/>
    <n v="3"/>
    <m/>
  </r>
  <r>
    <s v="SHP-00010"/>
    <s v="2025-08-04"/>
    <d v="2025-08-01T00:00:00"/>
    <s v="Rift Valley Manufacturing"/>
    <x v="4"/>
    <x v="0"/>
    <s v="TRK-011"/>
    <s v="M. Otieno"/>
    <n v="2070"/>
    <n v="515.96"/>
    <n v="1068037.2"/>
    <n v="44"/>
    <s v="2025-08-05"/>
    <d v="2025-08-01T00:00:00"/>
    <s v="2025-08-05"/>
    <s v="August 2025"/>
    <s v="On Time"/>
    <n v="2194.5500000000002"/>
    <n v="1070231.75"/>
    <n v="0"/>
    <m/>
  </r>
  <r>
    <s v="SHP-00011"/>
    <s v="2025-04-28"/>
    <d v="2025-04-01T00:00:00"/>
    <s v="Metro Packaging Ltd"/>
    <x v="3"/>
    <x v="3"/>
    <s v="TRK-006"/>
    <s v="S. Chebet"/>
    <n v="194"/>
    <n v="678.94"/>
    <n v="131714.35999999999"/>
    <n v="280"/>
    <s v="2025-04-29"/>
    <d v="2025-04-01T00:00:00"/>
    <s v="2025-04-28"/>
    <s v="April 2025"/>
    <s v="On Time"/>
    <n v="16904.29"/>
    <n v="148618.65"/>
    <n v="-1"/>
    <m/>
  </r>
  <r>
    <s v="SHP-00012"/>
    <s v="2025-04-28"/>
    <d v="2025-04-01T00:00:00"/>
    <s v="Lake Region Water Services"/>
    <x v="2"/>
    <x v="1"/>
    <s v="TRK-014"/>
    <s v="B. Kiprono"/>
    <n v="215"/>
    <n v="450.32"/>
    <n v="96818.8"/>
    <n v="34"/>
    <s v="2025-04-29"/>
    <d v="2025-04-01T00:00:00"/>
    <s v="2025-04-28"/>
    <s v="April 2025"/>
    <s v="On Time"/>
    <n v="1212.9000000000001"/>
    <n v="98031.7"/>
    <n v="-1"/>
    <m/>
  </r>
  <r>
    <s v="SHP-00013"/>
    <s v="2025-10-18"/>
    <d v="2025-10-01T00:00:00"/>
    <s v="Lake Region Water Services"/>
    <x v="2"/>
    <x v="1"/>
    <s v="TRK-014"/>
    <s v="A. Hassan"/>
    <n v="1303"/>
    <n v="738.92"/>
    <n v="962812.76"/>
    <n v="645"/>
    <s v="2025-10-20"/>
    <d v="2025-10-01T00:00:00"/>
    <s v="2025-10-21"/>
    <s v="October 2025"/>
    <s v="Late"/>
    <n v="26655.26"/>
    <n v="989468.02"/>
    <n v="1"/>
    <m/>
  </r>
  <r>
    <s v="SHP-00014"/>
    <s v="2025-07-16"/>
    <d v="2025-07-01T00:00:00"/>
    <s v="BlueWave Facilities"/>
    <x v="4"/>
    <x v="0"/>
    <s v="TRK-018"/>
    <s v="A. Hassan"/>
    <n v="1839"/>
    <n v="856.94"/>
    <n v="1575912.66"/>
    <n v="714"/>
    <s v="2025-07-19"/>
    <d v="2025-07-01T00:00:00"/>
    <s v="2025-07-20"/>
    <s v="July 2025"/>
    <s v="Late"/>
    <n v="41035.449999999997"/>
    <n v="1616948.1099999999"/>
    <n v="1"/>
    <m/>
  </r>
  <r>
    <s v="SHP-00015"/>
    <s v="2025-07-23"/>
    <d v="2025-07-01T00:00:00"/>
    <s v="BlueWave Facilities"/>
    <x v="3"/>
    <x v="0"/>
    <s v="TRK-006"/>
    <s v="S. Chebet"/>
    <n v="498"/>
    <n v="103.44"/>
    <n v="51513.120000000003"/>
    <n v="504"/>
    <s v="2025-07-25"/>
    <d v="2025-07-01T00:00:00"/>
    <s v="2025-07-29"/>
    <s v="July 2025"/>
    <s v="Late"/>
    <n v="27050.67"/>
    <n v="78563.790000000008"/>
    <n v="4"/>
    <m/>
  </r>
  <r>
    <s v="SHP-00016"/>
    <s v="2025-11-10"/>
    <d v="2025-11-01T00:00:00"/>
    <s v="BlueWave Facilities"/>
    <x v="2"/>
    <x v="3"/>
    <s v="TRK-028"/>
    <s v="S. Chebet"/>
    <n v="2383"/>
    <n v="313.37"/>
    <n v="746760.71"/>
    <n v="508"/>
    <s v="2025-11-12"/>
    <d v="2025-11-01T00:00:00"/>
    <s v="2025-11-12"/>
    <s v="November 2025"/>
    <s v="On Time"/>
    <n v="25212"/>
    <n v="771972.71"/>
    <n v="0"/>
    <m/>
  </r>
  <r>
    <s v="SHP-00017"/>
    <s v="2025-12-06"/>
    <d v="2025-12-01T00:00:00"/>
    <s v="CoastBuild Ltd"/>
    <x v="0"/>
    <x v="0"/>
    <s v="TRK-007"/>
    <s v="P. Maina"/>
    <n v="1666"/>
    <n v="881.88"/>
    <n v="1469212.08"/>
    <n v="716"/>
    <s v="2025-12-09"/>
    <d v="2025-12-01T00:00:00"/>
    <s v="2025-12-09"/>
    <s v="December 2025"/>
    <s v="On Time"/>
    <n v="36442.120000000003"/>
    <n v="1505654.2000000002"/>
    <n v="0"/>
    <m/>
  </r>
  <r>
    <s v="SHP-00018"/>
    <s v="2025-06-10"/>
    <d v="2025-06-01T00:00:00"/>
    <s v="BlueWave Facilities"/>
    <x v="0"/>
    <x v="1"/>
    <s v="TRK-014"/>
    <s v="D. Said"/>
    <n v="409"/>
    <n v="414.33"/>
    <n v="169460.97"/>
    <n v="40"/>
    <s v="2025-06-11"/>
    <d v="2025-06-01T00:00:00"/>
    <s v="2025-06-12"/>
    <s v="June 2025"/>
    <s v="Late"/>
    <n v="1578.88"/>
    <n v="171039.85"/>
    <n v="1"/>
    <m/>
  </r>
  <r>
    <s v="SHP-00019"/>
    <s v="2025-12-10"/>
    <d v="2025-12-01T00:00:00"/>
    <s v="BlueWave Facilities"/>
    <x v="1"/>
    <x v="3"/>
    <s v="TRK-019"/>
    <s v="K. Barasa"/>
    <n v="1497"/>
    <n v="190.09"/>
    <n v="284564.73"/>
    <n v="315"/>
    <s v="2025-12-11"/>
    <d v="2025-12-01T00:00:00"/>
    <s v="2025-12-15"/>
    <s v="December 2025"/>
    <s v="Late"/>
    <n v="11247.91"/>
    <n v="295812.63999999996"/>
    <n v="4"/>
    <m/>
  </r>
  <r>
    <s v="SHP-00020"/>
    <s v="2025-12-16"/>
    <d v="2025-12-01T00:00:00"/>
    <s v="Metro Packaging Ltd"/>
    <x v="3"/>
    <x v="3"/>
    <s v="TRK-009"/>
    <s v="L. Wekesa"/>
    <n v="1329"/>
    <n v="318.69"/>
    <n v="423539.01"/>
    <n v="225"/>
    <s v="2025-12-17"/>
    <d v="2025-12-01T00:00:00"/>
    <s v="2025-12-20"/>
    <s v="December 2025"/>
    <s v="Late"/>
    <n v="13435.31"/>
    <n v="436974.32"/>
    <n v="3"/>
    <m/>
  </r>
  <r>
    <s v="SHP-00021"/>
    <s v="2025-07-03"/>
    <d v="2025-07-01T00:00:00"/>
    <s v="Eastern Industrial Supplies"/>
    <x v="1"/>
    <x v="1"/>
    <s v="TRK-019"/>
    <s v="D. Said"/>
    <n v="793"/>
    <n v="176.88"/>
    <n v="140265.84"/>
    <n v="595"/>
    <s v="2025-07-05"/>
    <d v="2025-07-01T00:00:00"/>
    <s v="2025-07-05"/>
    <s v="July 2025"/>
    <s v="On Time"/>
    <n v="33039.15"/>
    <n v="173304.99"/>
    <n v="0"/>
    <m/>
  </r>
  <r>
    <s v="SHP-00022"/>
    <s v="2025-04-07"/>
    <d v="2025-04-01T00:00:00"/>
    <s v="Rift Valley Manufacturing"/>
    <x v="2"/>
    <x v="3"/>
    <s v="TRK-009"/>
    <s v="E. Achieng"/>
    <n v="1321"/>
    <n v="603.65"/>
    <n v="797421.65"/>
    <n v="49"/>
    <s v="2025-04-08"/>
    <d v="2025-04-01T00:00:00"/>
    <s v="2025-04-08"/>
    <s v="April 2025"/>
    <s v="On Time"/>
    <n v="0"/>
    <n v="797421.65"/>
    <n v="0"/>
    <m/>
  </r>
  <r>
    <s v="SHP-00023"/>
    <s v="2025-05-02"/>
    <d v="2025-05-01T00:00:00"/>
    <s v="Highland Agro Processors"/>
    <x v="2"/>
    <x v="3"/>
    <s v="TRK-025"/>
    <s v="D. Said"/>
    <n v="434"/>
    <n v="710.45"/>
    <n v="308335.3"/>
    <n v="494"/>
    <s v="2025-05-04"/>
    <d v="2025-05-01T00:00:00"/>
    <s v="2025-05-03"/>
    <s v="May 2025"/>
    <s v="On Time"/>
    <n v="20933.05"/>
    <n v="329268.34999999998"/>
    <n v="-1"/>
    <m/>
  </r>
  <r>
    <s v="SHP-00024"/>
    <s v="2025-10-10"/>
    <d v="2025-10-01T00:00:00"/>
    <s v="Metro Packaging Ltd"/>
    <x v="0"/>
    <x v="3"/>
    <s v="TRK-024"/>
    <s v="L. Wekesa"/>
    <n v="1197"/>
    <n v="554.19000000000005"/>
    <n v="663365.43000000005"/>
    <n v="403"/>
    <s v="2025-10-12"/>
    <d v="2025-10-01T00:00:00"/>
    <s v="2025-10-16"/>
    <s v="October 2025"/>
    <s v="Late"/>
    <n v="15883.27"/>
    <n v="679248.70000000007"/>
    <n v="4"/>
    <m/>
  </r>
  <r>
    <s v="SHP-00025"/>
    <s v="2025-06-29"/>
    <d v="2025-06-01T00:00:00"/>
    <s v="Eastern Industrial Supplies"/>
    <x v="5"/>
    <x v="1"/>
    <s v="TRK-009"/>
    <s v="S. Chebet"/>
    <n v="960"/>
    <n v="89.7"/>
    <n v="86112"/>
    <n v="518"/>
    <s v="2025-07-01"/>
    <d v="2025-07-01T00:00:00"/>
    <s v="2025-07-01"/>
    <s v="July 2025"/>
    <s v="On Time"/>
    <n v="28972.41"/>
    <n v="115084.41"/>
    <n v="0"/>
    <m/>
  </r>
  <r>
    <s v="SHP-00026"/>
    <s v="2025-12-15"/>
    <d v="2025-12-01T00:00:00"/>
    <s v="Rift Valley Manufacturing"/>
    <x v="0"/>
    <x v="3"/>
    <s v="TRK-025"/>
    <s v="L. Wekesa"/>
    <n v="1360"/>
    <n v="56.95"/>
    <n v="77452"/>
    <n v="219"/>
    <s v="2025-12-16"/>
    <d v="2025-12-01T00:00:00"/>
    <s v="2025-12-16"/>
    <s v="December 2025"/>
    <s v="On Time"/>
    <n v="8731.18"/>
    <n v="86183.18"/>
    <n v="0"/>
    <m/>
  </r>
  <r>
    <s v="SHP-00027"/>
    <s v="2025-07-07"/>
    <d v="2025-07-01T00:00:00"/>
    <s v="Metro Packaging Ltd"/>
    <x v="4"/>
    <x v="2"/>
    <s v="TRK-028"/>
    <s v="B. Kiprono"/>
    <n v="1553"/>
    <n v="240.31"/>
    <n v="373201.43"/>
    <n v="264"/>
    <s v="2025-07-08"/>
    <d v="2025-07-01T00:00:00"/>
    <s v="2025-07-08"/>
    <s v="July 2025"/>
    <s v="On Time"/>
    <n v="10224.41"/>
    <n v="383425.83999999997"/>
    <n v="0"/>
    <m/>
  </r>
  <r>
    <s v="SHP-00028"/>
    <s v="2025-02-22"/>
    <d v="2025-02-01T00:00:00"/>
    <s v="UrbanWorks Contractors"/>
    <x v="1"/>
    <x v="0"/>
    <s v="TRK-026"/>
    <s v="L. Wekesa"/>
    <n v="630"/>
    <n v="70.510000000000005"/>
    <n v="44421.3"/>
    <n v="692"/>
    <s v="2025-02-24"/>
    <d v="2025-02-01T00:00:00"/>
    <s v="2025-02-27"/>
    <s v="February 2025"/>
    <s v="Late"/>
    <n v="0"/>
    <n v="44421.3"/>
    <n v="3"/>
    <m/>
  </r>
  <r>
    <s v="SHP-00029"/>
    <s v="2025-09-30"/>
    <d v="2025-09-01T00:00:00"/>
    <s v="Metro Packaging Ltd"/>
    <x v="5"/>
    <x v="2"/>
    <s v="TRK-018"/>
    <s v="J. Mutua"/>
    <n v="1461"/>
    <n v="530.09"/>
    <n v="774461.49"/>
    <n v="582"/>
    <s v="2025-10-02"/>
    <d v="2025-10-01T00:00:00"/>
    <s v="2025-10-02"/>
    <s v="October 2025"/>
    <s v="On Time"/>
    <n v="25112.26"/>
    <n v="799573.75"/>
    <n v="0"/>
    <m/>
  </r>
  <r>
    <s v="SHP-00030"/>
    <s v="2025-06-16"/>
    <d v="2025-06-01T00:00:00"/>
    <s v="Lake Region Water Services"/>
    <x v="3"/>
    <x v="2"/>
    <s v="TRK-010"/>
    <s v="B. Kiprono"/>
    <n v="150"/>
    <n v="314.06"/>
    <n v="47109"/>
    <n v="123"/>
    <s v="2025-06-17"/>
    <d v="2025-06-01T00:00:00"/>
    <s v="2025-06-16"/>
    <s v="June 2025"/>
    <s v="On Time"/>
    <n v="5826.21"/>
    <n v="52935.21"/>
    <n v="-1"/>
    <m/>
  </r>
  <r>
    <s v="SHP-00031"/>
    <s v="2025-09-07"/>
    <d v="2025-09-01T00:00:00"/>
    <s v="Eastern Industrial Supplies"/>
    <x v="2"/>
    <x v="3"/>
    <s v="TRK-005"/>
    <s v="P. Maina"/>
    <n v="984"/>
    <n v="463.4"/>
    <n v="455985.6"/>
    <n v="215"/>
    <s v="2025-09-08"/>
    <d v="2025-09-01T00:00:00"/>
    <s v="2025-09-11"/>
    <s v="September 2025"/>
    <s v="Late"/>
    <n v="13177.12"/>
    <n v="469162.72"/>
    <n v="3"/>
    <m/>
  </r>
  <r>
    <s v="SHP-00032"/>
    <s v="2025-08-09"/>
    <d v="2025-08-01T00:00:00"/>
    <s v="CoastBuild Ltd"/>
    <x v="3"/>
    <x v="0"/>
    <s v="TRK-023"/>
    <s v="A. Hassan"/>
    <n v="1651"/>
    <n v="609.69000000000005"/>
    <n v="1006598.19"/>
    <n v="247"/>
    <s v="2025-08-10"/>
    <d v="2025-08-01T00:00:00"/>
    <s v="2025-08-10"/>
    <s v="August 2025"/>
    <s v="On Time"/>
    <n v="12540.12"/>
    <n v="1019138.3099999999"/>
    <n v="0"/>
    <m/>
  </r>
  <r>
    <s v="SHP-00033"/>
    <s v="2025-04-23"/>
    <d v="2025-04-01T00:00:00"/>
    <s v="Metro Packaging Ltd"/>
    <x v="1"/>
    <x v="2"/>
    <s v="TRK-027"/>
    <s v="L. Wekesa"/>
    <n v="160"/>
    <n v="749.95"/>
    <n v="119992"/>
    <n v="529"/>
    <s v="2025-04-25"/>
    <d v="2025-04-01T00:00:00"/>
    <s v="2025-04-25"/>
    <s v="April 2025"/>
    <s v="On Time"/>
    <n v="32360.28"/>
    <n v="152352.28"/>
    <n v="0"/>
    <m/>
  </r>
  <r>
    <s v="SHP-00034"/>
    <s v="2025-09-01"/>
    <d v="2025-09-01T00:00:00"/>
    <s v="UrbanWorks Contractors"/>
    <x v="0"/>
    <x v="0"/>
    <s v="TRK-019"/>
    <s v="J. Mutua"/>
    <n v="478"/>
    <n v="174.37"/>
    <n v="83348.86"/>
    <n v="433"/>
    <s v="2025-09-03"/>
    <d v="2025-09-01T00:00:00"/>
    <s v="2025-09-07"/>
    <s v="September 2025"/>
    <s v="Late"/>
    <n v="17907.939999999999"/>
    <n v="101256.8"/>
    <n v="4"/>
    <m/>
  </r>
  <r>
    <s v="SHP-00035"/>
    <s v="2025-02-04"/>
    <d v="2025-02-01T00:00:00"/>
    <s v="UrbanWorks Contractors"/>
    <x v="0"/>
    <x v="1"/>
    <s v="TRK-003"/>
    <s v="M. Otieno"/>
    <n v="2269"/>
    <n v="283.22000000000003"/>
    <n v="642626.18000000005"/>
    <n v="28"/>
    <s v="2025-02-05"/>
    <d v="2025-02-01T00:00:00"/>
    <s v="2025-02-05"/>
    <s v="February 2025"/>
    <s v="On Time"/>
    <n v="1474.85"/>
    <n v="644101.03"/>
    <n v="0"/>
    <m/>
  </r>
  <r>
    <s v="SHP-00036"/>
    <s v="2025-05-15"/>
    <d v="2025-05-01T00:00:00"/>
    <s v="UrbanWorks Contractors"/>
    <x v="2"/>
    <x v="2"/>
    <s v="TRK-023"/>
    <s v="S. Chebet"/>
    <n v="1364"/>
    <n v="248.35"/>
    <n v="338749.4"/>
    <n v="470"/>
    <s v="2025-05-17"/>
    <d v="2025-05-01T00:00:00"/>
    <s v="2025-05-17"/>
    <s v="May 2025"/>
    <s v="On Time"/>
    <n v="24519.82"/>
    <n v="363269.22000000003"/>
    <n v="0"/>
    <m/>
  </r>
  <r>
    <s v="SHP-00037"/>
    <s v="2025-11-14"/>
    <d v="2025-11-01T00:00:00"/>
    <s v="BlueWave Facilities"/>
    <x v="0"/>
    <x v="2"/>
    <s v="TRK-019"/>
    <s v="K. Barasa"/>
    <n v="1987"/>
    <n v="251.47"/>
    <n v="499670.89"/>
    <n v="296"/>
    <s v="2025-11-15"/>
    <d v="2025-11-01T00:00:00"/>
    <s v="2025-11-18"/>
    <s v="November 2025"/>
    <s v="Late"/>
    <n v="11255.9"/>
    <n v="510926.79000000004"/>
    <n v="3"/>
    <m/>
  </r>
  <r>
    <s v="SHP-00038"/>
    <s v="2025-10-07"/>
    <d v="2025-10-01T00:00:00"/>
    <s v="Rift Valley Manufacturing"/>
    <x v="4"/>
    <x v="1"/>
    <s v="TRK-021"/>
    <s v="S. Chebet"/>
    <n v="756"/>
    <n v="501.25"/>
    <n v="378945"/>
    <n v="718"/>
    <s v="2025-10-10"/>
    <d v="2025-10-01T00:00:00"/>
    <s v="2025-10-14"/>
    <s v="October 2025"/>
    <s v="Late"/>
    <n v="27208.39"/>
    <n v="406153.39"/>
    <n v="4"/>
    <m/>
  </r>
  <r>
    <s v="SHP-00039"/>
    <s v="2025-01-03"/>
    <d v="2025-01-01T00:00:00"/>
    <s v="Rift Valley Manufacturing"/>
    <x v="2"/>
    <x v="1"/>
    <s v="TRK-007"/>
    <s v="P. Maina"/>
    <n v="715"/>
    <n v="350.75"/>
    <n v="250786.25"/>
    <n v="717"/>
    <s v="2025-01-06"/>
    <d v="2025-01-01T00:00:00"/>
    <s v="2025-01-09"/>
    <s v="January 2025"/>
    <s v="Late"/>
    <n v="40012.26"/>
    <n v="290798.51"/>
    <n v="3"/>
    <m/>
  </r>
  <r>
    <s v="SHP-00040"/>
    <s v="2025-06-12"/>
    <d v="2025-06-01T00:00:00"/>
    <s v="Metro Packaging Ltd"/>
    <x v="0"/>
    <x v="2"/>
    <s v="TRK-011"/>
    <s v="J. Mutua"/>
    <n v="96"/>
    <n v="434.04"/>
    <n v="41667.839999999997"/>
    <n v="558"/>
    <s v="2025-06-14"/>
    <d v="2025-06-01T00:00:00"/>
    <s v="2025-06-14"/>
    <s v="June 2025"/>
    <s v="On Time"/>
    <n v="25518.34"/>
    <n v="67186.179999999993"/>
    <n v="0"/>
    <m/>
  </r>
  <r>
    <s v="SHP-00041"/>
    <s v="2025-10-17"/>
    <d v="2025-10-01T00:00:00"/>
    <s v="Highland Agro Processors"/>
    <x v="2"/>
    <x v="0"/>
    <s v="TRK-019"/>
    <s v="D. Said"/>
    <n v="1058"/>
    <n v="205.5"/>
    <n v="217419"/>
    <n v="286"/>
    <s v="2025-10-18"/>
    <d v="2025-10-01T00:00:00"/>
    <s v="2025-10-19"/>
    <s v="October 2025"/>
    <s v="Late"/>
    <n v="13992.47"/>
    <n v="231411.47"/>
    <n v="1"/>
    <m/>
  </r>
  <r>
    <s v="SHP-00042"/>
    <s v="2025-11-10"/>
    <d v="2025-11-01T00:00:00"/>
    <s v="Highland Agro Processors"/>
    <x v="4"/>
    <x v="3"/>
    <s v="TRK-002"/>
    <s v="M. Otieno"/>
    <n v="2200"/>
    <n v="149.32"/>
    <n v="328504"/>
    <n v="431"/>
    <s v="2025-11-12"/>
    <d v="2025-11-01T00:00:00"/>
    <s v="2025-11-12"/>
    <s v="November 2025"/>
    <s v="On Time"/>
    <n v="18559.14"/>
    <n v="347063.14"/>
    <n v="0"/>
    <m/>
  </r>
  <r>
    <s v="SHP-00043"/>
    <s v="2025-08-14"/>
    <d v="2025-08-01T00:00:00"/>
    <s v="BlueWave Facilities"/>
    <x v="5"/>
    <x v="3"/>
    <s v="TRK-030"/>
    <s v="A. Hassan"/>
    <n v="1920"/>
    <n v="254.7"/>
    <n v="489024"/>
    <n v="532"/>
    <s v="2025-08-16"/>
    <d v="2025-08-01T00:00:00"/>
    <s v="2025-08-19"/>
    <s v="August 2025"/>
    <s v="Late"/>
    <n v="30837.47"/>
    <n v="519861.47"/>
    <n v="3"/>
    <m/>
  </r>
  <r>
    <s v="SHP-00044"/>
    <s v="2025-05-30"/>
    <d v="2025-05-01T00:00:00"/>
    <s v="BlueWave Facilities"/>
    <x v="0"/>
    <x v="3"/>
    <s v="TRK-014"/>
    <s v="L. Wekesa"/>
    <n v="1847"/>
    <n v="521.99"/>
    <n v="964115.53"/>
    <n v="48"/>
    <s v="2025-05-31"/>
    <d v="2025-05-01T00:00:00"/>
    <s v="2025-05-31"/>
    <s v="May 2025"/>
    <s v="On Time"/>
    <n v="2393.7800000000002"/>
    <n v="966509.31"/>
    <n v="0"/>
    <m/>
  </r>
  <r>
    <s v="SHP-00045"/>
    <s v="2025-09-04"/>
    <d v="2025-09-01T00:00:00"/>
    <s v="Lake Region Water Services"/>
    <x v="4"/>
    <x v="2"/>
    <s v="TRK-006"/>
    <s v="J. Mutua"/>
    <n v="1938"/>
    <n v="316.14"/>
    <n v="612679.31999999995"/>
    <n v="446"/>
    <s v="2025-09-06"/>
    <d v="2025-09-01T00:00:00"/>
    <s v="2025-09-07"/>
    <s v="September 2025"/>
    <s v="Late"/>
    <n v="16694.439999999999"/>
    <n v="629373.75999999989"/>
    <n v="1"/>
    <m/>
  </r>
  <r>
    <s v="SHP-00046"/>
    <s v="2025-01-08"/>
    <d v="2025-01-01T00:00:00"/>
    <s v="Rift Valley Manufacturing"/>
    <x v="4"/>
    <x v="2"/>
    <s v="TRK-009"/>
    <s v="M. Otieno"/>
    <n v="1682"/>
    <n v="785.16"/>
    <n v="1320639.1200000001"/>
    <n v="510"/>
    <s v="2025-01-10"/>
    <d v="2025-01-01T00:00:00"/>
    <s v="2025-01-09"/>
    <s v="January 2025"/>
    <s v="On Time"/>
    <n v="18258.03"/>
    <n v="1338897.1500000001"/>
    <n v="-1"/>
    <m/>
  </r>
  <r>
    <s v="SHP-00047"/>
    <s v="2025-05-31"/>
    <d v="2025-05-01T00:00:00"/>
    <s v="Highland Agro Processors"/>
    <x v="4"/>
    <x v="0"/>
    <s v="TRK-002"/>
    <s v="P. Maina"/>
    <n v="2475"/>
    <n v="466.92"/>
    <n v="1155627"/>
    <n v="116"/>
    <s v="2025-06-01"/>
    <d v="2025-06-01T00:00:00"/>
    <s v="2025-06-05"/>
    <s v="June 2025"/>
    <s v="Late"/>
    <n v="4850.05"/>
    <n v="1160477.05"/>
    <n v="4"/>
    <m/>
  </r>
  <r>
    <s v="SHP-00048"/>
    <s v="2025-02-16"/>
    <d v="2025-02-01T00:00:00"/>
    <s v="Eastern Industrial Supplies"/>
    <x v="4"/>
    <x v="0"/>
    <s v="TRK-014"/>
    <s v="M. Otieno"/>
    <n v="1828"/>
    <n v="287.61"/>
    <n v="525751.07999999996"/>
    <n v="169"/>
    <s v="2025-02-17"/>
    <d v="2025-02-01T00:00:00"/>
    <s v="2025-02-16"/>
    <s v="February 2025"/>
    <s v="On Time"/>
    <n v="8998.44"/>
    <n v="534749.5199999999"/>
    <n v="-1"/>
    <m/>
  </r>
  <r>
    <s v="SHP-00049"/>
    <s v="2025-05-06"/>
    <d v="2025-05-01T00:00:00"/>
    <s v="Rift Valley Manufacturing"/>
    <x v="5"/>
    <x v="0"/>
    <s v="TRK-016"/>
    <s v="M. Otieno"/>
    <n v="663"/>
    <n v="682.92"/>
    <n v="452775.96"/>
    <n v="622"/>
    <s v="2025-05-08"/>
    <d v="2025-05-01T00:00:00"/>
    <s v="2025-05-07"/>
    <s v="May 2025"/>
    <s v="On Time"/>
    <n v="33588.550000000003"/>
    <n v="486364.51"/>
    <n v="-1"/>
    <m/>
  </r>
  <r>
    <s v="SHP-00050"/>
    <s v="2025-08-25"/>
    <d v="2025-08-01T00:00:00"/>
    <s v="Lake Region Water Services"/>
    <x v="2"/>
    <x v="0"/>
    <s v="TRK-017"/>
    <s v="D. Said"/>
    <n v="2476"/>
    <n v="252.44"/>
    <n v="625041.43999999994"/>
    <n v="21"/>
    <s v="2025-08-26"/>
    <d v="2025-08-01T00:00:00"/>
    <s v="2025-08-26"/>
    <s v="August 2025"/>
    <s v="On Time"/>
    <n v="1109.55"/>
    <n v="626150.99"/>
    <n v="0"/>
    <m/>
  </r>
  <r>
    <s v="SHP-00051"/>
    <s v="2025-12-25"/>
    <d v="2025-12-01T00:00:00"/>
    <s v="CoastBuild Ltd"/>
    <x v="5"/>
    <x v="2"/>
    <s v="TRK-027"/>
    <s v="M. Otieno"/>
    <n v="1900"/>
    <n v="76.77"/>
    <n v="145863"/>
    <n v="461"/>
    <s v="2025-12-27"/>
    <d v="2025-12-01T00:00:00"/>
    <s v="2025-12-27"/>
    <s v="December 2025"/>
    <s v="On Time"/>
    <n v="27042.86"/>
    <n v="172905.86"/>
    <n v="0"/>
    <m/>
  </r>
  <r>
    <s v="SHP-00052"/>
    <s v="2025-10-29"/>
    <d v="2025-10-01T00:00:00"/>
    <s v="UrbanWorks Contractors"/>
    <x v="4"/>
    <x v="0"/>
    <s v="TRK-016"/>
    <s v="M. Otieno"/>
    <n v="448"/>
    <n v="356.39"/>
    <n v="159662.72"/>
    <n v="323"/>
    <s v="2025-10-30"/>
    <d v="2025-10-01T00:00:00"/>
    <s v="2025-11-02"/>
    <s v="November 2025"/>
    <s v="Late"/>
    <n v="11994.56"/>
    <n v="171657.28"/>
    <n v="3"/>
    <m/>
  </r>
  <r>
    <s v="SHP-00053"/>
    <s v="2025-11-01"/>
    <d v="2025-11-01T00:00:00"/>
    <s v="Metro Packaging Ltd"/>
    <x v="0"/>
    <x v="3"/>
    <s v="TRK-024"/>
    <s v="M. Otieno"/>
    <n v="1249"/>
    <n v="109.41"/>
    <n v="136653.09"/>
    <n v="494"/>
    <s v="2025-11-03"/>
    <d v="2025-11-01T00:00:00"/>
    <s v="2025-11-06"/>
    <s v="November 2025"/>
    <s v="Late"/>
    <n v="30378.080000000002"/>
    <n v="167031.16999999998"/>
    <n v="3"/>
    <m/>
  </r>
  <r>
    <s v="SHP-00054"/>
    <s v="2025-09-04"/>
    <d v="2025-09-01T00:00:00"/>
    <s v="Rift Valley Manufacturing"/>
    <x v="3"/>
    <x v="2"/>
    <s v="TRK-029"/>
    <s v="J. Mutua"/>
    <n v="1697"/>
    <n v="702.55"/>
    <n v="1192227.3500000001"/>
    <n v="65"/>
    <s v="2025-09-05"/>
    <d v="2025-09-01T00:00:00"/>
    <s v="2025-09-07"/>
    <s v="September 2025"/>
    <s v="Late"/>
    <n v="3825.63"/>
    <n v="1196052.98"/>
    <n v="2"/>
    <m/>
  </r>
  <r>
    <s v="SHP-00055"/>
    <s v="2025-11-07"/>
    <d v="2025-11-01T00:00:00"/>
    <s v="Lake Region Water Services"/>
    <x v="0"/>
    <x v="0"/>
    <s v="TRK-021"/>
    <s v="A. Hassan"/>
    <n v="627"/>
    <n v="469.71"/>
    <n v="294508.17"/>
    <n v="699"/>
    <s v="2025-11-09"/>
    <d v="2025-11-01T00:00:00"/>
    <s v="2025-11-09"/>
    <s v="November 2025"/>
    <s v="On Time"/>
    <n v="42923.6"/>
    <n v="337431.76999999996"/>
    <n v="0"/>
    <m/>
  </r>
  <r>
    <s v="SHP-00056"/>
    <s v="2025-11-14"/>
    <d v="2025-11-01T00:00:00"/>
    <s v="Rift Valley Manufacturing"/>
    <x v="2"/>
    <x v="3"/>
    <s v="TRK-020"/>
    <s v="A. Hassan"/>
    <n v="1115"/>
    <n v="200.45"/>
    <n v="223501.75"/>
    <n v="660"/>
    <s v="2025-11-16"/>
    <d v="2025-11-01T00:00:00"/>
    <s v="2025-11-17"/>
    <s v="November 2025"/>
    <s v="Late"/>
    <n v="39548.120000000003"/>
    <n v="263049.87"/>
    <n v="1"/>
    <m/>
  </r>
  <r>
    <s v="SHP-00057"/>
    <s v="2025-08-23"/>
    <d v="2025-08-01T00:00:00"/>
    <s v="BlueWave Facilities"/>
    <x v="3"/>
    <x v="0"/>
    <s v="TRK-021"/>
    <s v="A. Hassan"/>
    <n v="2468"/>
    <n v="602.20000000000005"/>
    <n v="1486229.6"/>
    <n v="272"/>
    <s v="2025-08-24"/>
    <d v="2025-08-01T00:00:00"/>
    <s v="2025-08-27"/>
    <s v="August 2025"/>
    <s v="Late"/>
    <n v="11119.51"/>
    <n v="1497349.11"/>
    <n v="3"/>
    <m/>
  </r>
  <r>
    <s v="SHP-00058"/>
    <s v="2025-09-20"/>
    <d v="2025-09-01T00:00:00"/>
    <s v="UrbanWorks Contractors"/>
    <x v="2"/>
    <x v="1"/>
    <s v="TRK-028"/>
    <s v="L. Wekesa"/>
    <n v="310"/>
    <n v="877.13"/>
    <n v="271910.3"/>
    <n v="122"/>
    <s v="2025-09-21"/>
    <d v="2025-09-01T00:00:00"/>
    <s v="2025-09-23"/>
    <s v="September 2025"/>
    <s v="Late"/>
    <n v="5808.36"/>
    <n v="277718.65999999997"/>
    <n v="2"/>
    <m/>
  </r>
  <r>
    <s v="SHP-00059"/>
    <s v="2025-10-23"/>
    <d v="2025-10-01T00:00:00"/>
    <s v="Rift Valley Manufacturing"/>
    <x v="5"/>
    <x v="0"/>
    <s v="TRK-025"/>
    <s v="M. Otieno"/>
    <n v="841"/>
    <n v="290.19"/>
    <n v="244049.79"/>
    <n v="425"/>
    <s v="2025-10-25"/>
    <d v="2025-10-01T00:00:00"/>
    <s v="2025-10-25"/>
    <s v="October 2025"/>
    <s v="On Time"/>
    <n v="20752.34"/>
    <n v="264802.13"/>
    <n v="0"/>
    <m/>
  </r>
  <r>
    <s v="SHP-00060"/>
    <s v="2025-04-14"/>
    <d v="2025-04-01T00:00:00"/>
    <s v="UrbanWorks Contractors"/>
    <x v="3"/>
    <x v="1"/>
    <s v="TRK-011"/>
    <s v="A. Hassan"/>
    <n v="577"/>
    <n v="847.51"/>
    <n v="489013.27"/>
    <n v="545"/>
    <s v="2025-04-16"/>
    <d v="2025-04-01T00:00:00"/>
    <s v="2025-04-15"/>
    <s v="April 2025"/>
    <s v="On Time"/>
    <n v="28240.25"/>
    <n v="517253.52"/>
    <n v="-1"/>
    <m/>
  </r>
  <r>
    <s v="SHP-00061"/>
    <s v="2025-04-12"/>
    <d v="2025-04-01T00:00:00"/>
    <s v="Metro Packaging Ltd"/>
    <x v="3"/>
    <x v="3"/>
    <s v="TRK-008"/>
    <s v="E. Achieng"/>
    <n v="2132"/>
    <n v="327.94"/>
    <n v="699168.08"/>
    <n v="351"/>
    <s v="2025-04-14"/>
    <d v="2025-04-01T00:00:00"/>
    <s v="2025-04-14"/>
    <s v="April 2025"/>
    <s v="On Time"/>
    <n v="16523.099999999999"/>
    <n v="715691.17999999993"/>
    <n v="0"/>
    <m/>
  </r>
  <r>
    <s v="SHP-00062"/>
    <s v="2025-08-16"/>
    <d v="2025-08-01T00:00:00"/>
    <s v="Eastern Industrial Supplies"/>
    <x v="4"/>
    <x v="3"/>
    <s v="TRK-028"/>
    <s v="J. Mutua"/>
    <n v="848"/>
    <n v="276.94"/>
    <n v="234845.12"/>
    <n v="511"/>
    <s v="2025-08-18"/>
    <d v="2025-08-01T00:00:00"/>
    <s v="2025-08-18"/>
    <s v="August 2025"/>
    <s v="On Time"/>
    <n v="27401.51"/>
    <n v="262246.63"/>
    <n v="0"/>
    <m/>
  </r>
  <r>
    <s v="SHP-00063"/>
    <s v="2025-03-04"/>
    <d v="2025-03-01T00:00:00"/>
    <s v="Metro Packaging Ltd"/>
    <x v="2"/>
    <x v="0"/>
    <s v="TRK-024"/>
    <s v="P. Maina"/>
    <n v="481"/>
    <n v="233.89"/>
    <n v="112501.09"/>
    <n v="400"/>
    <s v="2025-03-06"/>
    <d v="2025-03-01T00:00:00"/>
    <s v="2025-03-06"/>
    <s v="March 2025"/>
    <s v="On Time"/>
    <n v="14420.75"/>
    <n v="126921.84"/>
    <n v="0"/>
    <m/>
  </r>
  <r>
    <s v="SHP-00064"/>
    <s v="2025-05-08"/>
    <d v="2025-05-01T00:00:00"/>
    <s v="Eastern Industrial Supplies"/>
    <x v="4"/>
    <x v="3"/>
    <s v="TRK-026"/>
    <s v="L. Wekesa"/>
    <n v="718"/>
    <n v="895.56"/>
    <n v="643012.07999999996"/>
    <n v="502"/>
    <s v="2025-05-10"/>
    <d v="2025-05-01T00:00:00"/>
    <s v="2025-05-10"/>
    <s v="May 2025"/>
    <s v="On Time"/>
    <n v="23855.05"/>
    <n v="666867.13"/>
    <n v="0"/>
    <m/>
  </r>
  <r>
    <s v="SHP-00065"/>
    <s v="2025-03-15"/>
    <d v="2025-03-01T00:00:00"/>
    <s v="BlueWave Facilities"/>
    <x v="0"/>
    <x v="3"/>
    <s v="TRK-008"/>
    <s v="D. Said"/>
    <n v="2119"/>
    <n v="731.26"/>
    <n v="1549539.94"/>
    <n v="333"/>
    <s v="2025-03-16"/>
    <d v="2025-03-01T00:00:00"/>
    <s v="2025-03-16"/>
    <s v="March 2025"/>
    <s v="On Time"/>
    <n v="19478.03"/>
    <n v="1569017.97"/>
    <n v="0"/>
    <m/>
  </r>
  <r>
    <s v="SHP-00066"/>
    <s v="2025-05-29"/>
    <d v="2025-05-01T00:00:00"/>
    <s v="Rift Valley Manufacturing"/>
    <x v="2"/>
    <x v="3"/>
    <s v="TRK-012"/>
    <s v="S. Chebet"/>
    <n v="2211"/>
    <n v="136.80000000000001"/>
    <n v="302464.8"/>
    <n v="715"/>
    <s v="2025-06-01"/>
    <d v="2025-06-01T00:00:00"/>
    <s v="2025-06-03"/>
    <s v="June 2025"/>
    <s v="Late"/>
    <n v="42716.74"/>
    <n v="345181.54"/>
    <n v="2"/>
    <m/>
  </r>
  <r>
    <s v="SHP-00067"/>
    <s v="2025-05-29"/>
    <d v="2025-05-01T00:00:00"/>
    <s v="Lake Region Water Services"/>
    <x v="0"/>
    <x v="1"/>
    <s v="TRK-012"/>
    <s v="E. Achieng"/>
    <n v="1164"/>
    <n v="116.04"/>
    <n v="135070.56"/>
    <n v="323"/>
    <s v="2025-05-30"/>
    <d v="2025-05-01T00:00:00"/>
    <s v="2025-06-02"/>
    <s v="June 2025"/>
    <s v="Late"/>
    <n v="14273.14"/>
    <n v="149343.70000000001"/>
    <n v="3"/>
    <m/>
  </r>
  <r>
    <s v="SHP-00068"/>
    <s v="2025-05-23"/>
    <d v="2025-05-01T00:00:00"/>
    <s v="Lake Region Water Services"/>
    <x v="0"/>
    <x v="3"/>
    <s v="TRK-001"/>
    <s v="B. Kiprono"/>
    <n v="2194"/>
    <n v="279.01"/>
    <n v="612147.93999999994"/>
    <n v="498"/>
    <s v="2025-05-25"/>
    <d v="2025-05-01T00:00:00"/>
    <s v="2025-05-24"/>
    <s v="May 2025"/>
    <s v="On Time"/>
    <n v="21211.63"/>
    <n v="633359.56999999995"/>
    <n v="-1"/>
    <m/>
  </r>
  <r>
    <s v="SHP-00069"/>
    <s v="2025-01-14"/>
    <d v="2025-01-01T00:00:00"/>
    <s v="Rift Valley Manufacturing"/>
    <x v="5"/>
    <x v="2"/>
    <s v="TRK-007"/>
    <s v="K. Barasa"/>
    <n v="1667"/>
    <n v="166.65"/>
    <n v="277805.55"/>
    <n v="42"/>
    <s v="2025-01-15"/>
    <d v="2025-01-01T00:00:00"/>
    <s v="2025-01-14"/>
    <s v="January 2025"/>
    <s v="On Time"/>
    <n v="2461.84"/>
    <n v="280267.39"/>
    <n v="-1"/>
    <m/>
  </r>
  <r>
    <s v="SHP-00070"/>
    <s v="2025-09-19"/>
    <d v="2025-09-01T00:00:00"/>
    <s v="CoastBuild Ltd"/>
    <x v="0"/>
    <x v="2"/>
    <s v="TRK-021"/>
    <s v="E. Achieng"/>
    <n v="2364"/>
    <n v="84.81"/>
    <n v="200490.84"/>
    <n v="256"/>
    <s v="2025-09-20"/>
    <d v="2025-09-01T00:00:00"/>
    <s v="2025-09-24"/>
    <s v="September 2025"/>
    <s v="Late"/>
    <n v="11364.48"/>
    <n v="211855.32"/>
    <n v="4"/>
    <m/>
  </r>
  <r>
    <s v="SHP-00071"/>
    <s v="2025-01-09"/>
    <d v="2025-01-01T00:00:00"/>
    <s v="UrbanWorks Contractors"/>
    <x v="0"/>
    <x v="1"/>
    <s v="TRK-003"/>
    <s v="E. Achieng"/>
    <n v="749"/>
    <n v="432.39"/>
    <n v="323860.11"/>
    <n v="311"/>
    <s v="2025-01-10"/>
    <d v="2025-01-01T00:00:00"/>
    <s v="2025-01-10"/>
    <s v="January 2025"/>
    <s v="On Time"/>
    <n v="12938.59"/>
    <n v="336798.7"/>
    <n v="0"/>
    <m/>
  </r>
  <r>
    <s v="SHP-00072"/>
    <s v="2025-06-05"/>
    <d v="2025-06-01T00:00:00"/>
    <s v="Lake Region Water Services"/>
    <x v="3"/>
    <x v="3"/>
    <s v="TRK-010"/>
    <s v="M. Otieno"/>
    <n v="1831"/>
    <n v="775.62"/>
    <n v="1420160.22"/>
    <n v="318"/>
    <s v="2025-06-06"/>
    <d v="2025-06-01T00:00:00"/>
    <s v="2025-06-06"/>
    <s v="June 2025"/>
    <s v="On Time"/>
    <n v="15238.34"/>
    <n v="1435398.56"/>
    <n v="0"/>
    <m/>
  </r>
  <r>
    <s v="SHP-00073"/>
    <s v="2025-03-28"/>
    <d v="2025-03-01T00:00:00"/>
    <s v="Metro Packaging Ltd"/>
    <x v="1"/>
    <x v="2"/>
    <s v="TRK-013"/>
    <s v="B. Kiprono"/>
    <n v="1336"/>
    <n v="708.25"/>
    <n v="946222"/>
    <n v="352"/>
    <s v="2025-03-30"/>
    <d v="2025-03-01T00:00:00"/>
    <s v="2025-03-30"/>
    <s v="March 2025"/>
    <s v="On Time"/>
    <n v="15870.61"/>
    <n v="962092.61"/>
    <n v="0"/>
    <m/>
  </r>
  <r>
    <s v="SHP-00074"/>
    <s v="2025-04-05"/>
    <d v="2025-04-01T00:00:00"/>
    <s v="Rift Valley Manufacturing"/>
    <x v="3"/>
    <x v="1"/>
    <s v="TRK-024"/>
    <s v="L. Wekesa"/>
    <n v="378"/>
    <n v="298.88"/>
    <n v="112976.64"/>
    <n v="588"/>
    <s v="2025-04-07"/>
    <d v="2025-04-01T00:00:00"/>
    <s v="2025-04-07"/>
    <s v="April 2025"/>
    <s v="On Time"/>
    <n v="26079.55"/>
    <n v="139056.19"/>
    <n v="0"/>
    <m/>
  </r>
  <r>
    <s v="SHP-00075"/>
    <s v="2025-06-21"/>
    <d v="2025-06-01T00:00:00"/>
    <s v="CoastBuild Ltd"/>
    <x v="1"/>
    <x v="3"/>
    <s v="TRK-030"/>
    <s v="P. Maina"/>
    <n v="1995"/>
    <n v="255.27"/>
    <n v="509263.65"/>
    <n v="200"/>
    <s v="2025-06-22"/>
    <d v="2025-06-01T00:00:00"/>
    <s v="2025-06-23"/>
    <s v="June 2025"/>
    <s v="Late"/>
    <n v="8046.48"/>
    <n v="517310.13"/>
    <n v="1"/>
    <m/>
  </r>
  <r>
    <s v="SHP-00076"/>
    <s v="2025-11-07"/>
    <d v="2025-11-01T00:00:00"/>
    <s v="Rift Valley Manufacturing"/>
    <x v="0"/>
    <x v="3"/>
    <s v="TRK-010"/>
    <s v="A. Hassan"/>
    <n v="895"/>
    <n v="549.77"/>
    <n v="492044.15"/>
    <n v="55"/>
    <s v="2025-11-08"/>
    <d v="2025-11-01T00:00:00"/>
    <s v="2025-11-08"/>
    <s v="November 2025"/>
    <s v="On Time"/>
    <n v="2731.45"/>
    <n v="494775.60000000003"/>
    <n v="0"/>
    <m/>
  </r>
  <r>
    <s v="SHP-00077"/>
    <s v="2025-09-30"/>
    <d v="2025-09-01T00:00:00"/>
    <s v="Rift Valley Manufacturing"/>
    <x v="5"/>
    <x v="0"/>
    <s v="TRK-023"/>
    <s v="K. Barasa"/>
    <n v="705"/>
    <n v="568.64"/>
    <n v="400891.2"/>
    <n v="560"/>
    <s v="2025-10-02"/>
    <d v="2025-10-01T00:00:00"/>
    <s v="2025-10-05"/>
    <s v="October 2025"/>
    <s v="Late"/>
    <n v="23520.39"/>
    <n v="424411.59"/>
    <n v="3"/>
    <m/>
  </r>
  <r>
    <s v="SHP-00078"/>
    <s v="2025-01-22"/>
    <d v="2025-01-01T00:00:00"/>
    <s v="Lake Region Water Services"/>
    <x v="0"/>
    <x v="2"/>
    <s v="TRK-017"/>
    <s v="E. Achieng"/>
    <n v="1533"/>
    <n v="395.58"/>
    <n v="606424.14"/>
    <n v="128"/>
    <s v="2025-01-23"/>
    <d v="2025-01-01T00:00:00"/>
    <s v="2025-01-23"/>
    <s v="January 2025"/>
    <s v="On Time"/>
    <n v="5297.95"/>
    <n v="611722.09"/>
    <n v="0"/>
    <m/>
  </r>
  <r>
    <s v="SHP-00079"/>
    <s v="2025-11-19"/>
    <d v="2025-11-01T00:00:00"/>
    <s v="Eastern Industrial Supplies"/>
    <x v="1"/>
    <x v="2"/>
    <s v="TRK-005"/>
    <s v="J. Mutua"/>
    <n v="2278"/>
    <n v="682.78"/>
    <n v="1555372.84"/>
    <n v="547"/>
    <s v="2025-11-21"/>
    <d v="2025-11-01T00:00:00"/>
    <s v="2025-11-21"/>
    <s v="November 2025"/>
    <s v="On Time"/>
    <n v="28572.639999999999"/>
    <n v="1583945.48"/>
    <n v="0"/>
    <m/>
  </r>
  <r>
    <s v="SHP-00080"/>
    <s v="2025-08-03"/>
    <d v="2025-08-01T00:00:00"/>
    <s v="Rift Valley Manufacturing"/>
    <x v="5"/>
    <x v="2"/>
    <s v="TRK-026"/>
    <s v="P. Maina"/>
    <n v="563"/>
    <n v="237.92"/>
    <n v="133948.96"/>
    <n v="335"/>
    <s v="2025-08-04"/>
    <d v="2025-08-01T00:00:00"/>
    <s v="2025-08-03"/>
    <s v="August 2025"/>
    <s v="On Time"/>
    <n v="12054.53"/>
    <n v="146003.49"/>
    <n v="-1"/>
    <m/>
  </r>
  <r>
    <s v="SHP-00081"/>
    <s v="2025-07-11"/>
    <d v="2025-07-01T00:00:00"/>
    <s v="Eastern Industrial Supplies"/>
    <x v="2"/>
    <x v="3"/>
    <s v="TRK-009"/>
    <s v="B. Kiprono"/>
    <n v="1136"/>
    <n v="572.64"/>
    <n v="650519.04000000004"/>
    <n v="293"/>
    <s v="2025-07-12"/>
    <d v="2025-07-01T00:00:00"/>
    <s v="2025-07-12"/>
    <s v="July 2025"/>
    <s v="On Time"/>
    <n v="14446.25"/>
    <n v="664965.29"/>
    <n v="0"/>
    <m/>
  </r>
  <r>
    <s v="SHP-00082"/>
    <s v="2025-01-11"/>
    <d v="2025-01-01T00:00:00"/>
    <s v="Rift Valley Manufacturing"/>
    <x v="0"/>
    <x v="1"/>
    <s v="TRK-017"/>
    <s v="S. Chebet"/>
    <n v="942"/>
    <n v="457.57"/>
    <n v="431030.94"/>
    <n v="589"/>
    <s v="2025-01-13"/>
    <d v="2025-01-01T00:00:00"/>
    <s v="2025-01-13"/>
    <s v="January 2025"/>
    <s v="On Time"/>
    <n v="36350.06"/>
    <n v="467381"/>
    <n v="0"/>
    <m/>
  </r>
  <r>
    <s v="SHP-00083"/>
    <s v="2025-05-28"/>
    <d v="2025-05-01T00:00:00"/>
    <s v="CoastBuild Ltd"/>
    <x v="0"/>
    <x v="0"/>
    <s v="TRK-012"/>
    <s v="A. Hassan"/>
    <n v="209"/>
    <n v="841.96"/>
    <n v="175969.64"/>
    <n v="242"/>
    <s v="2025-05-29"/>
    <d v="2025-05-01T00:00:00"/>
    <s v="2025-06-02"/>
    <s v="June 2025"/>
    <s v="Late"/>
    <n v="11784.85"/>
    <n v="187754.49000000002"/>
    <n v="4"/>
    <m/>
  </r>
  <r>
    <s v="SHP-00084"/>
    <s v="2025-02-28"/>
    <d v="2025-02-01T00:00:00"/>
    <s v="Eastern Industrial Supplies"/>
    <x v="5"/>
    <x v="3"/>
    <s v="TRK-008"/>
    <s v="E. Achieng"/>
    <n v="1124"/>
    <n v="277.98"/>
    <n v="312449.52"/>
    <n v="393"/>
    <s v="2025-03-02"/>
    <d v="2025-03-01T00:00:00"/>
    <s v="2025-03-02"/>
    <s v="March 2025"/>
    <s v="On Time"/>
    <n v="21282.58"/>
    <n v="333732.10000000003"/>
    <n v="0"/>
    <m/>
  </r>
  <r>
    <s v="SHP-00085"/>
    <s v="2025-01-17"/>
    <d v="2025-01-01T00:00:00"/>
    <s v="CoastBuild Ltd"/>
    <x v="5"/>
    <x v="3"/>
    <s v="TRK-008"/>
    <s v="K. Barasa"/>
    <n v="1628"/>
    <n v="384.72"/>
    <n v="626324.16"/>
    <n v="471"/>
    <s v="2025-01-19"/>
    <d v="2025-01-01T00:00:00"/>
    <s v="2025-01-18"/>
    <s v="January 2025"/>
    <s v="On Time"/>
    <n v="17438.759999999998"/>
    <n v="643762.92000000004"/>
    <n v="-1"/>
    <m/>
  </r>
  <r>
    <s v="SHP-00086"/>
    <s v="2025-06-28"/>
    <d v="2025-06-01T00:00:00"/>
    <s v="BlueWave Facilities"/>
    <x v="3"/>
    <x v="1"/>
    <s v="TRK-030"/>
    <s v="A. Hassan"/>
    <n v="1105"/>
    <n v="115.04"/>
    <n v="127119.2"/>
    <n v="546"/>
    <s v="2025-06-30"/>
    <d v="2025-06-01T00:00:00"/>
    <s v="2025-06-30"/>
    <s v="June 2025"/>
    <s v="On Time"/>
    <n v="33817.339999999997"/>
    <n v="160936.53999999998"/>
    <n v="0"/>
    <m/>
  </r>
  <r>
    <s v="SHP-00087"/>
    <s v="2025-12-03"/>
    <d v="2025-12-01T00:00:00"/>
    <s v="Lake Region Water Services"/>
    <x v="5"/>
    <x v="1"/>
    <s v="TRK-008"/>
    <s v="S. Chebet"/>
    <n v="2295"/>
    <n v="545.44000000000005"/>
    <n v="1251784.8"/>
    <n v="295"/>
    <s v="2025-12-04"/>
    <d v="2025-12-01T00:00:00"/>
    <s v="2025-12-04"/>
    <s v="December 2025"/>
    <s v="On Time"/>
    <n v="16295.53"/>
    <n v="1268080.33"/>
    <n v="0"/>
    <m/>
  </r>
  <r>
    <s v="SHP-00088"/>
    <s v="2025-05-08"/>
    <d v="2025-05-01T00:00:00"/>
    <s v="Metro Packaging Ltd"/>
    <x v="0"/>
    <x v="2"/>
    <s v="TRK-009"/>
    <s v="M. Otieno"/>
    <n v="385"/>
    <n v="630.29"/>
    <n v="242661.65"/>
    <n v="335"/>
    <s v="2025-05-09"/>
    <d v="2025-05-01T00:00:00"/>
    <s v="2025-05-09"/>
    <s v="May 2025"/>
    <s v="On Time"/>
    <n v="20366.43"/>
    <n v="263028.08"/>
    <n v="0"/>
    <m/>
  </r>
  <r>
    <s v="SHP-00089"/>
    <s v="2025-07-03"/>
    <d v="2025-07-01T00:00:00"/>
    <s v="Highland Agro Processors"/>
    <x v="5"/>
    <x v="3"/>
    <s v="TRK-006"/>
    <s v="L. Wekesa"/>
    <n v="824"/>
    <n v="200.14"/>
    <n v="164915.35999999999"/>
    <n v="719"/>
    <s v="2025-07-06"/>
    <d v="2025-07-01T00:00:00"/>
    <s v="2025-07-09"/>
    <s v="July 2025"/>
    <s v="Late"/>
    <n v="39880.089999999997"/>
    <n v="204795.44999999998"/>
    <n v="3"/>
    <m/>
  </r>
  <r>
    <s v="SHP-00090"/>
    <s v="2025-07-26"/>
    <d v="2025-07-01T00:00:00"/>
    <s v="CoastBuild Ltd"/>
    <x v="0"/>
    <x v="3"/>
    <s v="TRK-029"/>
    <s v="D. Said"/>
    <n v="1120"/>
    <n v="223.46"/>
    <n v="250275.20000000001"/>
    <n v="319"/>
    <s v="2025-07-27"/>
    <d v="2025-07-01T00:00:00"/>
    <s v="2025-07-30"/>
    <s v="July 2025"/>
    <s v="Late"/>
    <n v="17449.75"/>
    <n v="267724.95"/>
    <n v="3"/>
    <m/>
  </r>
  <r>
    <s v="SHP-00091"/>
    <s v="2025-01-30"/>
    <d v="2025-01-01T00:00:00"/>
    <s v="Eastern Industrial Supplies"/>
    <x v="3"/>
    <x v="2"/>
    <s v="TRK-003"/>
    <s v="E. Achieng"/>
    <n v="1051"/>
    <n v="553.47"/>
    <n v="581696.97"/>
    <n v="337"/>
    <s v="2025-01-31"/>
    <d v="2025-01-01T00:00:00"/>
    <s v="2025-02-01"/>
    <s v="February 2025"/>
    <s v="Late"/>
    <n v="17991.12"/>
    <n v="599688.09"/>
    <n v="1"/>
    <m/>
  </r>
  <r>
    <s v="SHP-00092"/>
    <s v="2025-11-12"/>
    <d v="2025-11-01T00:00:00"/>
    <s v="BlueWave Facilities"/>
    <x v="5"/>
    <x v="2"/>
    <s v="TRK-007"/>
    <s v="J. Mutua"/>
    <n v="1294"/>
    <n v="849.22"/>
    <n v="1098890.68"/>
    <n v="480"/>
    <s v="2025-11-14"/>
    <d v="2025-11-01T00:00:00"/>
    <s v="2025-11-14"/>
    <s v="November 2025"/>
    <s v="On Time"/>
    <n v="23287.86"/>
    <n v="1122178.54"/>
    <n v="0"/>
    <m/>
  </r>
  <r>
    <s v="SHP-00093"/>
    <s v="2025-12-31"/>
    <d v="2025-12-01T00:00:00"/>
    <s v="Eastern Industrial Supplies"/>
    <x v="4"/>
    <x v="0"/>
    <s v="TRK-015"/>
    <s v="S. Chebet"/>
    <n v="1374"/>
    <n v="517.29"/>
    <n v="710756.46"/>
    <n v="267"/>
    <s v="2026-01-01"/>
    <d v="2026-01-01T00:00:00"/>
    <s v="2026-01-03"/>
    <s v="January 2026"/>
    <s v="Late"/>
    <n v="14420.37"/>
    <n v="725176.83"/>
    <n v="2"/>
    <m/>
  </r>
  <r>
    <s v="SHP-00094"/>
    <s v="2025-12-24"/>
    <d v="2025-12-01T00:00:00"/>
    <s v="BlueWave Facilities"/>
    <x v="1"/>
    <x v="0"/>
    <s v="TRK-005"/>
    <s v="K. Barasa"/>
    <n v="1058"/>
    <n v="388.85"/>
    <n v="411403.3"/>
    <n v="605"/>
    <s v="2025-12-26"/>
    <d v="2025-12-01T00:00:00"/>
    <s v="2025-12-29"/>
    <s v="December 2025"/>
    <s v="Late"/>
    <n v="36023.07"/>
    <n v="447426.37"/>
    <n v="3"/>
    <m/>
  </r>
  <r>
    <s v="SHP-00095"/>
    <s v="2025-03-09"/>
    <d v="2025-03-01T00:00:00"/>
    <s v="UrbanWorks Contractors"/>
    <x v="5"/>
    <x v="0"/>
    <s v="TRK-018"/>
    <s v="S. Chebet"/>
    <n v="1504"/>
    <n v="300.95999999999998"/>
    <n v="452643.84000000003"/>
    <n v="43"/>
    <s v="2025-03-10"/>
    <d v="2025-03-01T00:00:00"/>
    <s v="2025-03-10"/>
    <s v="March 2025"/>
    <s v="On Time"/>
    <n v="2464.62"/>
    <n v="455108.46"/>
    <n v="0"/>
    <m/>
  </r>
  <r>
    <s v="SHP-00096"/>
    <s v="2025-11-20"/>
    <d v="2025-11-01T00:00:00"/>
    <s v="CoastBuild Ltd"/>
    <x v="3"/>
    <x v="3"/>
    <s v="TRK-025"/>
    <s v="P. Maina"/>
    <n v="230"/>
    <n v="54.19"/>
    <n v="12463.7"/>
    <n v="592"/>
    <s v="2025-11-22"/>
    <d v="2025-11-01T00:00:00"/>
    <s v="2025-11-26"/>
    <s v="November 2025"/>
    <s v="Late"/>
    <n v="27512.91"/>
    <n v="39976.61"/>
    <n v="4"/>
    <m/>
  </r>
  <r>
    <s v="SHP-00097"/>
    <s v="2025-08-25"/>
    <d v="2025-08-01T00:00:00"/>
    <s v="Eastern Industrial Supplies"/>
    <x v="5"/>
    <x v="0"/>
    <s v="TRK-017"/>
    <s v="L. Wekesa"/>
    <n v="723"/>
    <n v="411.86"/>
    <n v="297774.78000000003"/>
    <n v="207"/>
    <s v="2025-08-26"/>
    <d v="2025-08-01T00:00:00"/>
    <s v="2025-08-26"/>
    <s v="August 2025"/>
    <s v="On Time"/>
    <n v="10910.91"/>
    <n v="308685.69"/>
    <n v="0"/>
    <m/>
  </r>
  <r>
    <s v="SHP-00098"/>
    <s v="2025-06-06"/>
    <d v="2025-06-01T00:00:00"/>
    <s v="UrbanWorks Contractors"/>
    <x v="0"/>
    <x v="3"/>
    <s v="TRK-005"/>
    <s v="J. Mutua"/>
    <n v="384"/>
    <n v="707.99"/>
    <n v="271868.15999999997"/>
    <n v="39"/>
    <s v="2025-06-07"/>
    <d v="2025-06-01T00:00:00"/>
    <s v="2025-06-10"/>
    <s v="June 2025"/>
    <s v="Late"/>
    <n v="1496.97"/>
    <n v="273365.12999999995"/>
    <n v="3"/>
    <m/>
  </r>
  <r>
    <s v="SHP-00099"/>
    <s v="2025-11-12"/>
    <d v="2025-11-01T00:00:00"/>
    <s v="Rift Valley Manufacturing"/>
    <x v="5"/>
    <x v="0"/>
    <s v="TRK-029"/>
    <s v="E. Achieng"/>
    <n v="262"/>
    <n v="856.88"/>
    <n v="224502.56"/>
    <n v="381"/>
    <s v="2025-11-14"/>
    <d v="2025-11-01T00:00:00"/>
    <s v="2025-11-13"/>
    <s v="November 2025"/>
    <s v="On Time"/>
    <n v="16202.09"/>
    <n v="240704.65"/>
    <n v="-1"/>
    <m/>
  </r>
  <r>
    <s v="SHP-00100"/>
    <s v="2025-10-22"/>
    <d v="2025-10-01T00:00:00"/>
    <s v="UrbanWorks Contractors"/>
    <x v="4"/>
    <x v="2"/>
    <s v="TRK-015"/>
    <s v="M. Otieno"/>
    <n v="1288"/>
    <n v="802.72"/>
    <n v="1033903.36"/>
    <n v="215"/>
    <s v="2025-10-23"/>
    <d v="2025-10-01T00:00:00"/>
    <s v="2025-10-25"/>
    <s v="October 2025"/>
    <s v="Late"/>
    <n v="8194.15"/>
    <n v="1042097.51"/>
    <n v="2"/>
    <m/>
  </r>
  <r>
    <s v="SHP-00101"/>
    <s v="2025-08-07"/>
    <d v="2025-08-01T00:00:00"/>
    <s v="Rift Valley Manufacturing"/>
    <x v="2"/>
    <x v="0"/>
    <s v="TRK-021"/>
    <s v="P. Maina"/>
    <n v="769"/>
    <n v="248.37"/>
    <n v="190996.53"/>
    <n v="159"/>
    <s v="2025-08-08"/>
    <d v="2025-08-01T00:00:00"/>
    <s v="2025-08-08"/>
    <s v="August 2025"/>
    <s v="On Time"/>
    <n v="6614.8"/>
    <n v="197611.33"/>
    <n v="0"/>
    <m/>
  </r>
  <r>
    <s v="SHP-00102"/>
    <s v="2025-07-10"/>
    <d v="2025-07-01T00:00:00"/>
    <s v="Rift Valley Manufacturing"/>
    <x v="2"/>
    <x v="3"/>
    <s v="TRK-014"/>
    <s v="A. Hassan"/>
    <n v="1755"/>
    <n v="544.72"/>
    <n v="955983.6"/>
    <n v="514"/>
    <s v="2025-07-12"/>
    <d v="2025-07-01T00:00:00"/>
    <s v="2025-07-12"/>
    <s v="July 2025"/>
    <s v="On Time"/>
    <n v="27433.02"/>
    <n v="983416.62"/>
    <n v="0"/>
    <m/>
  </r>
  <r>
    <s v="SHP-00103"/>
    <s v="2025-04-28"/>
    <d v="2025-04-01T00:00:00"/>
    <s v="Metro Packaging Ltd"/>
    <x v="3"/>
    <x v="2"/>
    <s v="TRK-028"/>
    <s v="S. Chebet"/>
    <n v="999"/>
    <n v="355.76"/>
    <n v="355404.24"/>
    <n v="436"/>
    <s v="2025-04-30"/>
    <d v="2025-04-01T00:00:00"/>
    <s v="2025-05-01"/>
    <s v="May 2025"/>
    <s v="Late"/>
    <n v="19266.02"/>
    <n v="374670.26"/>
    <n v="1"/>
    <m/>
  </r>
  <r>
    <s v="SHP-00104"/>
    <s v="2025-09-13"/>
    <d v="2025-09-01T00:00:00"/>
    <s v="UrbanWorks Contractors"/>
    <x v="4"/>
    <x v="2"/>
    <s v="TRK-011"/>
    <s v="D. Said"/>
    <n v="2157"/>
    <n v="767.87"/>
    <n v="1656295.59"/>
    <n v="600"/>
    <s v="2025-09-15"/>
    <d v="2025-09-01T00:00:00"/>
    <s v="2025-09-15"/>
    <s v="September 2025"/>
    <s v="On Time"/>
    <n v="37195.379999999997"/>
    <n v="1693490.97"/>
    <n v="0"/>
    <m/>
  </r>
  <r>
    <s v="SHP-00105"/>
    <s v="2025-04-28"/>
    <d v="2025-04-01T00:00:00"/>
    <s v="Eastern Industrial Supplies"/>
    <x v="1"/>
    <x v="3"/>
    <s v="TRK-007"/>
    <s v="A. Hassan"/>
    <n v="601"/>
    <n v="284.85000000000002"/>
    <n v="171194.85"/>
    <n v="348"/>
    <s v="2025-04-29"/>
    <d v="2025-04-01T00:00:00"/>
    <s v="2025-05-01"/>
    <s v="May 2025"/>
    <s v="Late"/>
    <n v="16698.61"/>
    <n v="187893.46000000002"/>
    <n v="2"/>
    <m/>
  </r>
  <r>
    <s v="SHP-00106"/>
    <s v="2025-01-21"/>
    <d v="2025-01-01T00:00:00"/>
    <s v="Rift Valley Manufacturing"/>
    <x v="1"/>
    <x v="3"/>
    <s v="TRK-006"/>
    <s v="D. Said"/>
    <n v="591"/>
    <n v="477.95"/>
    <n v="282468.45"/>
    <n v="454"/>
    <s v="2025-01-23"/>
    <d v="2025-01-01T00:00:00"/>
    <s v="2025-01-23"/>
    <s v="January 2025"/>
    <s v="On Time"/>
    <n v="19426.34"/>
    <n v="301894.79000000004"/>
    <n v="0"/>
    <m/>
  </r>
  <r>
    <s v="SHP-00107"/>
    <s v="2025-11-22"/>
    <d v="2025-11-01T00:00:00"/>
    <s v="BlueWave Facilities"/>
    <x v="3"/>
    <x v="1"/>
    <s v="TRK-004"/>
    <s v="E. Achieng"/>
    <n v="490"/>
    <n v="796.02"/>
    <n v="390049.8"/>
    <n v="115"/>
    <s v="2025-11-23"/>
    <d v="2025-11-01T00:00:00"/>
    <s v="2025-11-27"/>
    <s v="November 2025"/>
    <s v="Late"/>
    <n v="4402.8500000000004"/>
    <n v="394452.64999999997"/>
    <n v="4"/>
    <m/>
  </r>
  <r>
    <s v="SHP-00108"/>
    <s v="2025-04-01"/>
    <d v="2025-04-01T00:00:00"/>
    <s v="Highland Agro Processors"/>
    <x v="1"/>
    <x v="1"/>
    <s v="TRK-010"/>
    <s v="D. Said"/>
    <n v="1722"/>
    <n v="230.29"/>
    <n v="396559.38"/>
    <n v="578"/>
    <s v="2025-04-03"/>
    <d v="2025-04-01T00:00:00"/>
    <s v="2025-04-03"/>
    <s v="April 2025"/>
    <s v="On Time"/>
    <n v="34917.96"/>
    <n v="431477.34"/>
    <n v="0"/>
    <m/>
  </r>
  <r>
    <s v="SHP-00109"/>
    <s v="2025-11-15"/>
    <d v="2025-11-01T00:00:00"/>
    <s v="Eastern Industrial Supplies"/>
    <x v="5"/>
    <x v="3"/>
    <s v="TRK-006"/>
    <s v="J. Mutua"/>
    <n v="844"/>
    <n v="741.74"/>
    <n v="626028.56000000006"/>
    <n v="278"/>
    <s v="2025-11-16"/>
    <d v="2025-11-01T00:00:00"/>
    <s v="2025-11-20"/>
    <s v="November 2025"/>
    <s v="Late"/>
    <n v="12791.88"/>
    <n v="638820.44000000006"/>
    <n v="4"/>
    <m/>
  </r>
  <r>
    <s v="SHP-00110"/>
    <s v="2025-12-28"/>
    <d v="2025-12-01T00:00:00"/>
    <s v="CoastBuild Ltd"/>
    <x v="1"/>
    <x v="2"/>
    <s v="TRK-005"/>
    <s v="M. Otieno"/>
    <n v="1005"/>
    <n v="182.61"/>
    <n v="183523.05"/>
    <n v="528"/>
    <s v="2025-12-30"/>
    <d v="2025-12-01T00:00:00"/>
    <s v="2025-12-30"/>
    <s v="December 2025"/>
    <s v="On Time"/>
    <n v="23346.33"/>
    <n v="206869.38"/>
    <n v="0"/>
    <m/>
  </r>
  <r>
    <s v="SHP-00111"/>
    <s v="2025-11-06"/>
    <d v="2025-11-01T00:00:00"/>
    <s v="Metro Packaging Ltd"/>
    <x v="3"/>
    <x v="1"/>
    <s v="TRK-017"/>
    <s v="K. Barasa"/>
    <n v="579"/>
    <n v="459.64"/>
    <n v="266131.56"/>
    <n v="241"/>
    <s v="2025-11-07"/>
    <d v="2025-11-01T00:00:00"/>
    <s v="2025-11-10"/>
    <s v="November 2025"/>
    <s v="Late"/>
    <n v="12533.03"/>
    <n v="278664.59000000003"/>
    <n v="3"/>
    <m/>
  </r>
  <r>
    <s v="SHP-00112"/>
    <s v="2025-08-30"/>
    <d v="2025-08-01T00:00:00"/>
    <s v="Eastern Industrial Supplies"/>
    <x v="3"/>
    <x v="0"/>
    <s v="TRK-001"/>
    <s v="P. Maina"/>
    <n v="1980"/>
    <n v="259.52999999999997"/>
    <n v="513869.4"/>
    <n v="356"/>
    <s v="2025-09-01"/>
    <d v="2025-09-01T00:00:00"/>
    <s v="2025-09-01"/>
    <s v="September 2025"/>
    <s v="On Time"/>
    <n v="19422.55"/>
    <n v="533291.95000000007"/>
    <n v="0"/>
    <m/>
  </r>
  <r>
    <s v="SHP-00113"/>
    <s v="2025-12-25"/>
    <d v="2025-12-01T00:00:00"/>
    <s v="BlueWave Facilities"/>
    <x v="2"/>
    <x v="0"/>
    <s v="TRK-004"/>
    <s v="Not Found"/>
    <n v="1598"/>
    <n v="205.62"/>
    <n v="328580.76"/>
    <n v="296"/>
    <s v="2025-12-26"/>
    <d v="2025-12-01T00:00:00"/>
    <s v="2025-12-27"/>
    <s v="December 2025"/>
    <s v="Late"/>
    <n v="18222.689999999999"/>
    <n v="346803.45"/>
    <n v="1"/>
    <m/>
  </r>
  <r>
    <s v="SHP-00114"/>
    <s v="2025-12-07"/>
    <d v="2025-12-01T00:00:00"/>
    <s v="Rift Valley Manufacturing"/>
    <x v="1"/>
    <x v="3"/>
    <s v="TRK-001"/>
    <s v="K. Barasa"/>
    <n v="1352"/>
    <n v="729.57"/>
    <n v="986378.64"/>
    <n v="49"/>
    <s v="2025-12-08"/>
    <d v="2025-12-01T00:00:00"/>
    <s v="2025-12-10"/>
    <s v="December 2025"/>
    <s v="Late"/>
    <n v="2629.37"/>
    <n v="989008.01"/>
    <n v="2"/>
    <m/>
  </r>
  <r>
    <s v="SHP-00115"/>
    <s v="2025-07-31"/>
    <d v="2025-07-01T00:00:00"/>
    <s v="Metro Packaging Ltd"/>
    <x v="1"/>
    <x v="0"/>
    <s v="TRK-027"/>
    <s v="P. Maina"/>
    <n v="608"/>
    <n v="679.26"/>
    <n v="412990.08"/>
    <n v="450"/>
    <s v="2025-08-02"/>
    <d v="2025-08-01T00:00:00"/>
    <s v="2025-08-02"/>
    <s v="August 2025"/>
    <s v="On Time"/>
    <n v="18625.71"/>
    <n v="431615.79000000004"/>
    <n v="0"/>
    <m/>
  </r>
  <r>
    <s v="SHP-00116"/>
    <s v="2025-06-07"/>
    <d v="2025-06-01T00:00:00"/>
    <s v="Highland Agro Processors"/>
    <x v="4"/>
    <x v="3"/>
    <s v="TRK-019"/>
    <s v="B. Kiprono"/>
    <n v="2154"/>
    <n v="252.75"/>
    <n v="544423.5"/>
    <n v="71"/>
    <s v="2025-06-08"/>
    <d v="2025-06-01T00:00:00"/>
    <s v="2025-06-08"/>
    <s v="June 2025"/>
    <s v="On Time"/>
    <n v="2789.94"/>
    <n v="547213.43999999994"/>
    <n v="0"/>
    <m/>
  </r>
  <r>
    <s v="SHP-00117"/>
    <s v="2025-01-24"/>
    <d v="2025-01-01T00:00:00"/>
    <s v="Eastern Industrial Supplies"/>
    <x v="5"/>
    <x v="3"/>
    <s v="TRK-003"/>
    <s v="L. Wekesa"/>
    <n v="1242"/>
    <n v="253.36"/>
    <n v="314673.12"/>
    <n v="163"/>
    <s v="2025-01-25"/>
    <d v="2025-01-01T00:00:00"/>
    <s v="2025-01-25"/>
    <s v="January 2025"/>
    <s v="On Time"/>
    <n v="7105.62"/>
    <n v="321778.74"/>
    <n v="0"/>
    <m/>
  </r>
  <r>
    <s v="SHP-00118"/>
    <s v="2025-08-01"/>
    <d v="2025-08-01T00:00:00"/>
    <s v="BlueWave Facilities"/>
    <x v="1"/>
    <x v="3"/>
    <s v="TRK-029"/>
    <s v="S. Chebet"/>
    <n v="126"/>
    <n v="576.15"/>
    <n v="72594.899999999994"/>
    <n v="419"/>
    <s v="2025-08-03"/>
    <d v="2025-08-01T00:00:00"/>
    <s v="2025-08-03"/>
    <s v="August 2025"/>
    <s v="On Time"/>
    <n v="24539.05"/>
    <n v="97133.95"/>
    <n v="0"/>
    <m/>
  </r>
  <r>
    <s v="SHP-00119"/>
    <s v="2025-12-02"/>
    <d v="2025-12-01T00:00:00"/>
    <s v="Rift Valley Manufacturing"/>
    <x v="5"/>
    <x v="1"/>
    <s v="TRK-002"/>
    <s v="A. Hassan"/>
    <n v="1476"/>
    <n v="397.24"/>
    <n v="586326.24"/>
    <n v="57"/>
    <s v="2025-12-03"/>
    <d v="2025-12-01T00:00:00"/>
    <s v="2025-12-06"/>
    <s v="December 2025"/>
    <s v="Late"/>
    <n v="3401.65"/>
    <n v="589727.89"/>
    <n v="3"/>
    <m/>
  </r>
  <r>
    <s v="SHP-00120"/>
    <s v="2025-02-09"/>
    <d v="2025-02-01T00:00:00"/>
    <s v="UrbanWorks Contractors"/>
    <x v="4"/>
    <x v="1"/>
    <s v="TRK-016"/>
    <s v="K. Barasa"/>
    <n v="2282"/>
    <n v="236.46"/>
    <n v="539601.72"/>
    <n v="473"/>
    <s v="2025-02-11"/>
    <d v="2025-02-01T00:00:00"/>
    <s v="2025-02-11"/>
    <s v="February 2025"/>
    <s v="On Time"/>
    <n v="20805.259999999998"/>
    <n v="560406.98"/>
    <n v="0"/>
    <m/>
  </r>
  <r>
    <s v="SHP-00121"/>
    <s v="2025-08-08"/>
    <d v="2025-08-01T00:00:00"/>
    <s v="UrbanWorks Contractors"/>
    <x v="4"/>
    <x v="1"/>
    <s v="TRK-006"/>
    <s v="S. Chebet"/>
    <n v="1601"/>
    <n v="207.15"/>
    <n v="331647.15000000002"/>
    <n v="157"/>
    <s v="2025-08-09"/>
    <d v="2025-08-01T00:00:00"/>
    <s v="2025-08-08"/>
    <s v="August 2025"/>
    <s v="On Time"/>
    <n v="9119.11"/>
    <n v="340766.26"/>
    <n v="-1"/>
    <m/>
  </r>
  <r>
    <s v="SHP-00122"/>
    <s v="2025-04-08"/>
    <d v="2025-04-01T00:00:00"/>
    <s v="Metro Packaging Ltd"/>
    <x v="1"/>
    <x v="2"/>
    <s v="TRK-009"/>
    <s v="D. Said"/>
    <n v="1774"/>
    <n v="348.83"/>
    <n v="618824.42000000004"/>
    <n v="481"/>
    <s v="2025-04-10"/>
    <d v="2025-04-01T00:00:00"/>
    <s v="2025-04-10"/>
    <s v="April 2025"/>
    <s v="On Time"/>
    <n v="22953.81"/>
    <n v="641778.2300000001"/>
    <n v="0"/>
    <m/>
  </r>
  <r>
    <s v="SHP-00123"/>
    <s v="2025-12-30"/>
    <d v="2025-12-01T00:00:00"/>
    <s v="Lake Region Water Services"/>
    <x v="5"/>
    <x v="0"/>
    <s v="TRK-021"/>
    <s v="J. Mutua"/>
    <n v="915"/>
    <n v="571.02"/>
    <n v="522483.3"/>
    <n v="253"/>
    <s v="2025-12-31"/>
    <d v="2025-12-01T00:00:00"/>
    <s v="2026-01-03"/>
    <s v="January 2026"/>
    <s v="Late"/>
    <n v="9993.2900000000009"/>
    <n v="532476.59"/>
    <n v="3"/>
    <m/>
  </r>
  <r>
    <s v="SHP-00124"/>
    <s v="2025-12-09"/>
    <d v="2025-12-01T00:00:00"/>
    <s v="BlueWave Facilities"/>
    <x v="0"/>
    <x v="1"/>
    <s v="TRK-002"/>
    <s v="M. Otieno"/>
    <n v="157"/>
    <n v="420.85"/>
    <n v="66073.45"/>
    <n v="475"/>
    <s v="2025-12-11"/>
    <d v="2025-12-01T00:00:00"/>
    <s v="2025-12-13"/>
    <s v="December 2025"/>
    <s v="Late"/>
    <n v="21791.41"/>
    <n v="87864.86"/>
    <n v="2"/>
    <m/>
  </r>
  <r>
    <s v="SHP-00125"/>
    <s v="2025-03-16"/>
    <d v="2025-03-01T00:00:00"/>
    <s v="Eastern Industrial Supplies"/>
    <x v="0"/>
    <x v="0"/>
    <s v="TRK-014"/>
    <s v="L. Wekesa"/>
    <n v="625"/>
    <n v="499.67"/>
    <n v="312293.75"/>
    <n v="69"/>
    <s v="2025-03-17"/>
    <d v="2025-03-01T00:00:00"/>
    <s v="2025-03-17"/>
    <s v="March 2025"/>
    <s v="On Time"/>
    <n v="2957.62"/>
    <n v="315251.37"/>
    <n v="0"/>
    <m/>
  </r>
  <r>
    <s v="SHP-00126"/>
    <s v="2025-11-09"/>
    <d v="2025-11-01T00:00:00"/>
    <s v="Metro Packaging Ltd"/>
    <x v="4"/>
    <x v="3"/>
    <s v="TRK-013"/>
    <s v="S. Chebet"/>
    <n v="1291"/>
    <n v="461.14"/>
    <n v="595331.74"/>
    <n v="360"/>
    <s v="2025-11-11"/>
    <d v="2025-11-01T00:00:00"/>
    <s v="2025-11-15"/>
    <s v="November 2025"/>
    <s v="Late"/>
    <n v="20764.16"/>
    <n v="616095.9"/>
    <n v="4"/>
    <m/>
  </r>
  <r>
    <s v="SHP-00127"/>
    <s v="2025-07-15"/>
    <d v="2025-07-01T00:00:00"/>
    <s v="BlueWave Facilities"/>
    <x v="2"/>
    <x v="1"/>
    <s v="TRK-012"/>
    <s v="B. Kiprono"/>
    <n v="2204"/>
    <n v="583.24"/>
    <n v="1285460.96"/>
    <n v="242"/>
    <s v="2025-07-16"/>
    <d v="2025-07-01T00:00:00"/>
    <s v="2025-07-16"/>
    <s v="July 2025"/>
    <s v="On Time"/>
    <n v="10574.64"/>
    <n v="1296035.5999999999"/>
    <n v="0"/>
    <m/>
  </r>
  <r>
    <s v="SHP-00128"/>
    <s v="2025-09-24"/>
    <d v="2025-09-01T00:00:00"/>
    <s v="Highland Agro Processors"/>
    <x v="0"/>
    <x v="2"/>
    <s v="TRK-006"/>
    <s v="K. Barasa"/>
    <n v="1500"/>
    <n v="66.83"/>
    <n v="100245"/>
    <n v="92"/>
    <s v="2025-09-25"/>
    <d v="2025-09-01T00:00:00"/>
    <s v="2025-09-24"/>
    <s v="September 2025"/>
    <s v="On Time"/>
    <n v="4523.59"/>
    <n v="104768.59"/>
    <n v="-1"/>
    <m/>
  </r>
  <r>
    <s v="SHP-00129"/>
    <s v="2025-04-23"/>
    <d v="2025-04-01T00:00:00"/>
    <s v="Highland Agro Processors"/>
    <x v="2"/>
    <x v="0"/>
    <s v="TRK-001"/>
    <s v="J. Mutua"/>
    <n v="1557"/>
    <n v="214.44"/>
    <n v="333883.08"/>
    <n v="274"/>
    <s v="2025-04-24"/>
    <d v="2025-04-01T00:00:00"/>
    <s v="2025-04-28"/>
    <s v="April 2025"/>
    <s v="Late"/>
    <n v="15234.6"/>
    <n v="349117.68"/>
    <n v="4"/>
    <m/>
  </r>
  <r>
    <s v="SHP-00130"/>
    <s v="2025-02-17"/>
    <d v="2025-02-01T00:00:00"/>
    <s v="CoastBuild Ltd"/>
    <x v="0"/>
    <x v="2"/>
    <s v="TRK-025"/>
    <s v="B. Kiprono"/>
    <n v="640"/>
    <n v="173.89"/>
    <n v="111289.60000000001"/>
    <n v="138"/>
    <s v="2025-02-18"/>
    <d v="2025-02-01T00:00:00"/>
    <s v="2025-02-18"/>
    <s v="February 2025"/>
    <s v="On Time"/>
    <n v="8551.8700000000008"/>
    <n v="119841.47"/>
    <n v="0"/>
    <m/>
  </r>
  <r>
    <s v="SHP-00131"/>
    <s v="2025-08-07"/>
    <d v="2025-08-01T00:00:00"/>
    <s v="Metro Packaging Ltd"/>
    <x v="1"/>
    <x v="3"/>
    <s v="TRK-008"/>
    <s v="L. Wekesa"/>
    <n v="612"/>
    <n v="755.19"/>
    <n v="462176.28"/>
    <n v="696"/>
    <s v="2025-08-09"/>
    <d v="2025-08-01T00:00:00"/>
    <s v="2025-08-09"/>
    <s v="August 2025"/>
    <s v="On Time"/>
    <n v="32284.37"/>
    <n v="494460.65"/>
    <n v="0"/>
    <m/>
  </r>
  <r>
    <s v="SHP-00132"/>
    <s v="2025-06-28"/>
    <d v="2025-06-01T00:00:00"/>
    <s v="Eastern Industrial Supplies"/>
    <x v="2"/>
    <x v="3"/>
    <s v="TRK-025"/>
    <s v="L. Wekesa"/>
    <n v="1419"/>
    <n v="147.84"/>
    <n v="209784.95999999999"/>
    <n v="395"/>
    <s v="2025-06-30"/>
    <d v="2025-06-01T00:00:00"/>
    <s v="2025-07-01"/>
    <s v="July 2025"/>
    <s v="Late"/>
    <n v="19686.84"/>
    <n v="229471.8"/>
    <n v="1"/>
    <m/>
  </r>
  <r>
    <s v="SHP-00133"/>
    <s v="2025-12-24"/>
    <d v="2025-12-01T00:00:00"/>
    <s v="UrbanWorks Contractors"/>
    <x v="3"/>
    <x v="0"/>
    <s v="TRK-006"/>
    <s v="L. Wekesa"/>
    <n v="1527"/>
    <n v="92.44"/>
    <n v="141155.88"/>
    <n v="408"/>
    <s v="2025-12-26"/>
    <d v="2025-12-01T00:00:00"/>
    <s v="2025-12-26"/>
    <s v="December 2025"/>
    <s v="On Time"/>
    <n v="15876.37"/>
    <n v="157032.25"/>
    <n v="0"/>
    <m/>
  </r>
  <r>
    <s v="SHP-00134"/>
    <s v="2025-03-18"/>
    <d v="2025-03-01T00:00:00"/>
    <s v="Highland Agro Processors"/>
    <x v="4"/>
    <x v="2"/>
    <s v="TRK-030"/>
    <s v="B. Kiprono"/>
    <n v="2309"/>
    <n v="483.58"/>
    <n v="1116586.22"/>
    <n v="706"/>
    <s v="2025-03-21"/>
    <d v="2025-03-01T00:00:00"/>
    <s v="2025-03-21"/>
    <s v="March 2025"/>
    <s v="On Time"/>
    <n v="34301.56"/>
    <n v="1150887.78"/>
    <n v="0"/>
    <m/>
  </r>
  <r>
    <s v="SHP-00135"/>
    <s v="2025-05-18"/>
    <d v="2025-05-01T00:00:00"/>
    <s v="CoastBuild Ltd"/>
    <x v="4"/>
    <x v="2"/>
    <s v="TRK-019"/>
    <s v="B. Kiprono"/>
    <n v="771"/>
    <n v="338.82"/>
    <n v="261230.22"/>
    <n v="176"/>
    <s v="2025-05-19"/>
    <d v="2025-05-01T00:00:00"/>
    <s v="2025-05-23"/>
    <s v="May 2025"/>
    <s v="Late"/>
    <n v="7221.23"/>
    <n v="268451.45"/>
    <n v="4"/>
    <m/>
  </r>
  <r>
    <s v="SHP-00136"/>
    <s v="2025-05-26"/>
    <d v="2025-05-01T00:00:00"/>
    <s v="Lake Region Water Services"/>
    <x v="2"/>
    <x v="0"/>
    <s v="TRK-027"/>
    <s v="D. Said"/>
    <n v="1246"/>
    <n v="172.83"/>
    <n v="215346.18"/>
    <n v="89"/>
    <s v="2025-05-27"/>
    <d v="2025-05-01T00:00:00"/>
    <s v="2025-05-27"/>
    <s v="May 2025"/>
    <s v="On Time"/>
    <n v="4511.99"/>
    <n v="219858.16999999998"/>
    <n v="0"/>
    <m/>
  </r>
  <r>
    <s v="SHP-00137"/>
    <s v="2025-06-08"/>
    <d v="2025-06-01T00:00:00"/>
    <s v="Eastern Industrial Supplies"/>
    <x v="1"/>
    <x v="1"/>
    <s v="TRK-002"/>
    <s v="M. Otieno"/>
    <n v="1071"/>
    <n v="89.1"/>
    <n v="95426.1"/>
    <n v="619"/>
    <s v="2025-06-10"/>
    <d v="2025-06-01T00:00:00"/>
    <s v="2025-06-13"/>
    <s v="June 2025"/>
    <s v="Late"/>
    <n v="28622.85"/>
    <n v="124048.95000000001"/>
    <n v="3"/>
    <m/>
  </r>
  <r>
    <s v="SHP-00138"/>
    <s v="2025-10-01"/>
    <d v="2025-10-01T00:00:00"/>
    <s v="CoastBuild Ltd"/>
    <x v="1"/>
    <x v="0"/>
    <s v="TRK-001"/>
    <s v="E. Achieng"/>
    <n v="2347"/>
    <n v="293.35000000000002"/>
    <n v="688492.45"/>
    <n v="591"/>
    <s v="2025-10-03"/>
    <d v="2025-10-01T00:00:00"/>
    <s v="2025-10-03"/>
    <s v="October 2025"/>
    <s v="On Time"/>
    <n v="26499.05"/>
    <n v="714991.5"/>
    <n v="0"/>
    <m/>
  </r>
  <r>
    <s v="SHP-00139"/>
    <s v="2025-02-12"/>
    <d v="2025-02-01T00:00:00"/>
    <s v="BlueWave Facilities"/>
    <x v="5"/>
    <x v="2"/>
    <s v="TRK-030"/>
    <s v="B. Kiprono"/>
    <n v="2488"/>
    <n v="520.04999999999995"/>
    <n v="1293884.3999999999"/>
    <n v="25"/>
    <s v="2025-02-13"/>
    <d v="2025-02-01T00:00:00"/>
    <s v="2025-02-16"/>
    <s v="February 2025"/>
    <s v="Late"/>
    <n v="1456.73"/>
    <n v="1295341.1299999999"/>
    <n v="3"/>
    <m/>
  </r>
  <r>
    <s v="SHP-00140"/>
    <s v="2025-03-26"/>
    <d v="2025-03-01T00:00:00"/>
    <s v="Metro Packaging Ltd"/>
    <x v="1"/>
    <x v="2"/>
    <s v="TRK-023"/>
    <s v="A. Hassan"/>
    <n v="1430"/>
    <n v="296.85000000000002"/>
    <n v="424495.5"/>
    <n v="491"/>
    <s v="2025-03-28"/>
    <d v="2025-03-01T00:00:00"/>
    <s v="2025-03-31"/>
    <s v="March 2025"/>
    <s v="Late"/>
    <n v="23157.81"/>
    <n v="447653.31"/>
    <n v="3"/>
    <m/>
  </r>
  <r>
    <s v="SHP-00141"/>
    <s v="2025-11-10"/>
    <d v="2025-11-01T00:00:00"/>
    <s v="Highland Agro Processors"/>
    <x v="5"/>
    <x v="3"/>
    <s v="TRK-005"/>
    <s v="B. Kiprono"/>
    <n v="453"/>
    <n v="291.31"/>
    <n v="131963.43"/>
    <n v="420"/>
    <s v="2025-11-12"/>
    <d v="2025-11-01T00:00:00"/>
    <s v="2025-11-12"/>
    <s v="November 2025"/>
    <s v="On Time"/>
    <n v="21641.78"/>
    <n v="153605.21"/>
    <n v="0"/>
    <m/>
  </r>
  <r>
    <s v="SHP-00142"/>
    <s v="2025-10-01"/>
    <d v="2025-10-01T00:00:00"/>
    <s v="Lake Region Water Services"/>
    <x v="5"/>
    <x v="2"/>
    <s v="TRK-003"/>
    <s v="S. Chebet"/>
    <n v="1896"/>
    <n v="845.32"/>
    <n v="1602726.72"/>
    <n v="73"/>
    <s v="2025-10-02"/>
    <d v="2025-10-01T00:00:00"/>
    <s v="2025-10-03"/>
    <s v="October 2025"/>
    <s v="Late"/>
    <n v="4066.17"/>
    <n v="1606792.89"/>
    <n v="1"/>
    <m/>
  </r>
  <r>
    <s v="SHP-00143"/>
    <s v="2025-12-13"/>
    <d v="2025-12-01T00:00:00"/>
    <s v="UrbanWorks Contractors"/>
    <x v="2"/>
    <x v="3"/>
    <s v="TRK-011"/>
    <s v="J. Mutua"/>
    <n v="181"/>
    <n v="477.76"/>
    <n v="86474.559999999998"/>
    <n v="505"/>
    <s v="2025-12-15"/>
    <d v="2025-12-01T00:00:00"/>
    <s v="2025-12-15"/>
    <s v="December 2025"/>
    <s v="On Time"/>
    <n v="25232.86"/>
    <n v="111707.42"/>
    <n v="0"/>
    <m/>
  </r>
  <r>
    <s v="SHP-00144"/>
    <s v="2025-10-18"/>
    <d v="2025-10-01T00:00:00"/>
    <s v="Highland Agro Processors"/>
    <x v="1"/>
    <x v="0"/>
    <s v="TRK-024"/>
    <s v="P. Maina"/>
    <n v="1404"/>
    <n v="80.790000000000006"/>
    <n v="113429.16"/>
    <n v="469"/>
    <s v="2025-10-20"/>
    <d v="2025-10-01T00:00:00"/>
    <s v="2025-10-24"/>
    <s v="October 2025"/>
    <s v="Late"/>
    <n v="28781.43"/>
    <n v="142210.59"/>
    <n v="4"/>
    <m/>
  </r>
  <r>
    <s v="SHP-00145"/>
    <s v="2025-03-07"/>
    <d v="2025-03-01T00:00:00"/>
    <s v="BlueWave Facilities"/>
    <x v="4"/>
    <x v="2"/>
    <s v="TRK-006"/>
    <s v="E. Achieng"/>
    <n v="784"/>
    <n v="194.78"/>
    <n v="152707.51999999999"/>
    <n v="479"/>
    <s v="2025-03-09"/>
    <d v="2025-03-01T00:00:00"/>
    <s v="2025-03-12"/>
    <s v="March 2025"/>
    <s v="Late"/>
    <n v="23231.97"/>
    <n v="175939.49"/>
    <n v="3"/>
    <m/>
  </r>
  <r>
    <s v="SHP-00146"/>
    <s v="2025-07-11"/>
    <d v="2025-07-01T00:00:00"/>
    <s v="Highland Agro Processors"/>
    <x v="1"/>
    <x v="0"/>
    <s v="TRK-013"/>
    <s v="J. Mutua"/>
    <n v="185"/>
    <n v="79.099999999999994"/>
    <n v="14633.5"/>
    <n v="618"/>
    <s v="2025-07-13"/>
    <d v="2025-07-01T00:00:00"/>
    <s v="2025-07-14"/>
    <s v="July 2025"/>
    <s v="Late"/>
    <n v="31023.51"/>
    <n v="45657.009999999995"/>
    <n v="1"/>
    <m/>
  </r>
  <r>
    <s v="SHP-00147"/>
    <s v="2025-07-24"/>
    <d v="2025-07-01T00:00:00"/>
    <s v="Eastern Industrial Supplies"/>
    <x v="1"/>
    <x v="0"/>
    <s v="TRK-024"/>
    <s v="K. Barasa"/>
    <n v="831"/>
    <n v="839.66"/>
    <n v="697757.46"/>
    <n v="197"/>
    <s v="2025-07-25"/>
    <d v="2025-07-01T00:00:00"/>
    <s v="2025-07-29"/>
    <s v="July 2025"/>
    <s v="Late"/>
    <n v="9465.86"/>
    <n v="707223.32"/>
    <n v="4"/>
    <m/>
  </r>
  <r>
    <s v="SHP-00148"/>
    <s v="2025-08-01"/>
    <d v="2025-08-01T00:00:00"/>
    <s v="UrbanWorks Contractors"/>
    <x v="2"/>
    <x v="3"/>
    <s v="TRK-006"/>
    <s v="B. Kiprono"/>
    <n v="2241"/>
    <n v="281.67"/>
    <n v="631222.47"/>
    <n v="50"/>
    <s v="2025-08-02"/>
    <d v="2025-08-01T00:00:00"/>
    <s v="2025-08-02"/>
    <s v="August 2025"/>
    <s v="On Time"/>
    <n v="2043.4"/>
    <n v="633265.87"/>
    <n v="0"/>
    <m/>
  </r>
  <r>
    <s v="SHP-00149"/>
    <s v="2025-02-07"/>
    <d v="2025-02-01T00:00:00"/>
    <s v="Highland Agro Processors"/>
    <x v="2"/>
    <x v="0"/>
    <s v="TRK-021"/>
    <s v="B. Kiprono"/>
    <n v="203"/>
    <n v="48.19"/>
    <n v="9782.57"/>
    <n v="311"/>
    <s v="2025-02-08"/>
    <d v="2025-02-01T00:00:00"/>
    <s v="2025-02-08"/>
    <s v="February 2025"/>
    <s v="On Time"/>
    <n v="13418.96"/>
    <n v="23201.53"/>
    <n v="0"/>
    <m/>
  </r>
  <r>
    <s v="SHP-00150"/>
    <s v="2025-12-24"/>
    <d v="2025-12-01T00:00:00"/>
    <s v="Rift Valley Manufacturing"/>
    <x v="0"/>
    <x v="0"/>
    <s v="TRK-011"/>
    <s v="M. Otieno"/>
    <n v="2479"/>
    <n v="848.29"/>
    <n v="2102910.91"/>
    <n v="368"/>
    <s v="2025-12-26"/>
    <d v="2025-12-01T00:00:00"/>
    <s v="2025-12-28"/>
    <s v="December 2025"/>
    <s v="Late"/>
    <n v="20167.96"/>
    <n v="2123078.87"/>
    <n v="2"/>
    <m/>
  </r>
  <r>
    <s v="SHP-00151"/>
    <s v="2025-07-02"/>
    <d v="2025-07-01T00:00:00"/>
    <s v="Metro Packaging Ltd"/>
    <x v="3"/>
    <x v="2"/>
    <s v="TRK-006"/>
    <s v="M. Otieno"/>
    <n v="947"/>
    <n v="683.07"/>
    <n v="646867.29"/>
    <n v="190"/>
    <s v="2025-07-03"/>
    <d v="2025-07-01T00:00:00"/>
    <s v="2025-07-05"/>
    <s v="July 2025"/>
    <s v="Late"/>
    <n v="9859.75"/>
    <n v="656727.04000000004"/>
    <n v="2"/>
    <m/>
  </r>
  <r>
    <s v="SHP-00152"/>
    <s v="2025-09-16"/>
    <d v="2025-09-01T00:00:00"/>
    <s v="Highland Agro Processors"/>
    <x v="0"/>
    <x v="3"/>
    <s v="TRK-009"/>
    <s v="L. Wekesa"/>
    <n v="2102"/>
    <n v="85.06"/>
    <n v="178796.12"/>
    <n v="538"/>
    <s v="2025-09-18"/>
    <d v="2025-09-01T00:00:00"/>
    <s v="2025-09-18"/>
    <s v="September 2025"/>
    <s v="On Time"/>
    <n v="18892.21"/>
    <n v="197688.33"/>
    <n v="0"/>
    <m/>
  </r>
  <r>
    <s v="SHP-00153"/>
    <s v="2025-01-07"/>
    <d v="2025-01-01T00:00:00"/>
    <s v="Metro Packaging Ltd"/>
    <x v="4"/>
    <x v="3"/>
    <s v="TRK-012"/>
    <s v="J. Mutua"/>
    <n v="1285"/>
    <n v="496.71"/>
    <n v="638272.35"/>
    <n v="329"/>
    <s v="2025-01-08"/>
    <d v="2025-01-01T00:00:00"/>
    <s v="2025-01-07"/>
    <s v="January 2025"/>
    <s v="On Time"/>
    <n v="17501.18"/>
    <n v="655773.53"/>
    <n v="-1"/>
    <m/>
  </r>
  <r>
    <s v="SHP-00154"/>
    <s v="2025-05-05"/>
    <d v="2025-05-01T00:00:00"/>
    <s v="Rift Valley Manufacturing"/>
    <x v="4"/>
    <x v="3"/>
    <s v="TRK-002"/>
    <s v="P. Maina"/>
    <n v="183"/>
    <n v="785.58"/>
    <n v="143761.14000000001"/>
    <n v="247"/>
    <s v="2025-05-06"/>
    <d v="2025-05-01T00:00:00"/>
    <s v="2025-05-10"/>
    <s v="May 2025"/>
    <s v="Late"/>
    <n v="12462.93"/>
    <n v="156224.07"/>
    <n v="4"/>
    <m/>
  </r>
  <r>
    <s v="SHP-00155"/>
    <s v="2025-09-29"/>
    <d v="2025-09-01T00:00:00"/>
    <s v="BlueWave Facilities"/>
    <x v="4"/>
    <x v="1"/>
    <s v="TRK-006"/>
    <s v="P. Maina"/>
    <n v="1541"/>
    <n v="627.78"/>
    <n v="967408.98"/>
    <n v="539"/>
    <s v="2025-10-01"/>
    <d v="2025-10-01T00:00:00"/>
    <s v="2025-10-05"/>
    <s v="October 2025"/>
    <s v="Late"/>
    <n v="33042.839999999997"/>
    <n v="1000451.82"/>
    <n v="4"/>
    <m/>
  </r>
  <r>
    <s v="SHP-00156"/>
    <s v="2025-09-03"/>
    <d v="2025-09-01T00:00:00"/>
    <s v="BlueWave Facilities"/>
    <x v="0"/>
    <x v="2"/>
    <s v="TRK-018"/>
    <s v="P. Maina"/>
    <n v="1135"/>
    <n v="339.55"/>
    <n v="385389.25"/>
    <n v="542"/>
    <s v="2025-09-05"/>
    <d v="2025-09-01T00:00:00"/>
    <s v="2025-09-05"/>
    <s v="September 2025"/>
    <s v="On Time"/>
    <n v="21489.360000000001"/>
    <n v="406878.61"/>
    <n v="0"/>
    <m/>
  </r>
  <r>
    <s v="SHP-00157"/>
    <s v="2025-11-01"/>
    <d v="2025-11-01T00:00:00"/>
    <s v="Rift Valley Manufacturing"/>
    <x v="0"/>
    <x v="0"/>
    <s v="TRK-006"/>
    <s v="D. Said"/>
    <n v="467"/>
    <n v="437.6"/>
    <n v="204359.2"/>
    <n v="276"/>
    <s v="2025-11-02"/>
    <d v="2025-11-01T00:00:00"/>
    <s v="2025-11-01"/>
    <s v="November 2025"/>
    <s v="On Time"/>
    <n v="16589.5"/>
    <n v="220948.7"/>
    <n v="-1"/>
    <m/>
  </r>
  <r>
    <s v="SHP-00158"/>
    <s v="2025-02-26"/>
    <d v="2025-02-01T00:00:00"/>
    <s v="Rift Valley Manufacturing"/>
    <x v="5"/>
    <x v="2"/>
    <s v="TRK-001"/>
    <s v="S. Chebet"/>
    <n v="228"/>
    <n v="107.57"/>
    <n v="24525.96"/>
    <n v="649"/>
    <s v="2025-02-28"/>
    <d v="2025-02-01T00:00:00"/>
    <s v="2025-03-04"/>
    <s v="March 2025"/>
    <s v="Late"/>
    <n v="38678.199999999997"/>
    <n v="63204.159999999996"/>
    <n v="4"/>
    <m/>
  </r>
  <r>
    <s v="SHP-00159"/>
    <s v="2025-04-27"/>
    <d v="2025-04-01T00:00:00"/>
    <s v="Eastern Industrial Supplies"/>
    <x v="5"/>
    <x v="3"/>
    <s v="TRK-011"/>
    <s v="A. Hassan"/>
    <n v="1042"/>
    <n v="428.67"/>
    <n v="446674.14"/>
    <n v="186"/>
    <s v="2025-04-28"/>
    <d v="2025-04-01T00:00:00"/>
    <s v="2025-04-28"/>
    <s v="April 2025"/>
    <s v="On Time"/>
    <n v="7126.07"/>
    <n v="453800.21"/>
    <n v="0"/>
    <m/>
  </r>
  <r>
    <s v="SHP-00160"/>
    <s v="2025-06-30"/>
    <d v="2025-06-01T00:00:00"/>
    <s v="UrbanWorks Contractors"/>
    <x v="1"/>
    <x v="3"/>
    <s v="TRK-018"/>
    <s v="M. Otieno"/>
    <n v="300"/>
    <n v="524.54"/>
    <n v="157362"/>
    <n v="631"/>
    <s v="2025-07-02"/>
    <d v="2025-07-01T00:00:00"/>
    <s v="2025-07-02"/>
    <s v="July 2025"/>
    <s v="On Time"/>
    <n v="29620.16"/>
    <n v="186982.16"/>
    <n v="0"/>
    <m/>
  </r>
  <r>
    <s v="SHP-00161"/>
    <s v="2025-12-08"/>
    <d v="2025-12-01T00:00:00"/>
    <s v="Highland Agro Processors"/>
    <x v="2"/>
    <x v="1"/>
    <s v="TRK-023"/>
    <s v="K. Barasa"/>
    <n v="387"/>
    <n v="48.8"/>
    <n v="18885.599999999999"/>
    <n v="266"/>
    <s v="2025-12-09"/>
    <d v="2025-12-01T00:00:00"/>
    <s v="2025-12-12"/>
    <s v="December 2025"/>
    <s v="Late"/>
    <n v="15884.68"/>
    <n v="34770.28"/>
    <n v="3"/>
    <m/>
  </r>
  <r>
    <s v="SHP-00162"/>
    <s v="2025-03-16"/>
    <d v="2025-03-01T00:00:00"/>
    <s v="UrbanWorks Contractors"/>
    <x v="4"/>
    <x v="0"/>
    <s v="TRK-020"/>
    <s v="P. Maina"/>
    <n v="1044"/>
    <n v="391.3"/>
    <n v="408517.2"/>
    <n v="551"/>
    <s v="2025-03-18"/>
    <d v="2025-03-01T00:00:00"/>
    <s v="2025-03-18"/>
    <s v="March 2025"/>
    <s v="On Time"/>
    <n v="20887.09"/>
    <n v="429404.29000000004"/>
    <n v="0"/>
    <m/>
  </r>
  <r>
    <s v="SHP-00163"/>
    <s v="2025-09-15"/>
    <d v="2025-09-01T00:00:00"/>
    <s v="Lake Region Water Services"/>
    <x v="5"/>
    <x v="3"/>
    <s v="TRK-011"/>
    <s v="L. Wekesa"/>
    <n v="1122"/>
    <n v="527.92999999999995"/>
    <n v="592337.46"/>
    <n v="207"/>
    <s v="2025-09-16"/>
    <d v="2025-09-01T00:00:00"/>
    <s v="2025-09-16"/>
    <s v="September 2025"/>
    <s v="On Time"/>
    <n v="8705.4"/>
    <n v="601042.86"/>
    <n v="0"/>
    <m/>
  </r>
  <r>
    <s v="SHP-00164"/>
    <s v="2025-12-27"/>
    <d v="2025-12-01T00:00:00"/>
    <s v="Metro Packaging Ltd"/>
    <x v="0"/>
    <x v="2"/>
    <s v="TRK-022"/>
    <s v="J. Mutua"/>
    <n v="1179"/>
    <n v="603.37"/>
    <n v="711373.23"/>
    <n v="45"/>
    <s v="2025-12-28"/>
    <d v="2025-12-01T00:00:00"/>
    <s v="2025-12-27"/>
    <s v="December 2025"/>
    <s v="On Time"/>
    <n v="2573.5700000000002"/>
    <n v="713946.79999999993"/>
    <n v="-1"/>
    <m/>
  </r>
  <r>
    <s v="SHP-00165"/>
    <s v="2025-02-03"/>
    <d v="2025-02-01T00:00:00"/>
    <s v="Eastern Industrial Supplies"/>
    <x v="1"/>
    <x v="3"/>
    <s v="TRK-002"/>
    <s v="P. Maina"/>
    <n v="1224"/>
    <n v="98.13"/>
    <n v="120111.12"/>
    <n v="289"/>
    <s v="2025-02-04"/>
    <d v="2025-02-01T00:00:00"/>
    <s v="2025-02-07"/>
    <s v="February 2025"/>
    <s v="Late"/>
    <n v="16949"/>
    <n v="137060.12"/>
    <n v="3"/>
    <m/>
  </r>
  <r>
    <s v="SHP-00166"/>
    <s v="2025-12-30"/>
    <d v="2025-12-01T00:00:00"/>
    <s v="BlueWave Facilities"/>
    <x v="1"/>
    <x v="3"/>
    <s v="TRK-012"/>
    <s v="K. Barasa"/>
    <n v="1525"/>
    <n v="406.58"/>
    <n v="620034.5"/>
    <n v="596"/>
    <s v="2026-01-01"/>
    <d v="2026-01-01T00:00:00"/>
    <s v="2026-01-03"/>
    <s v="January 2026"/>
    <s v="Late"/>
    <n v="30274.93"/>
    <n v="650309.43000000005"/>
    <n v="2"/>
    <m/>
  </r>
  <r>
    <s v="SHP-00167"/>
    <s v="2025-05-27"/>
    <d v="2025-05-01T00:00:00"/>
    <s v="UrbanWorks Contractors"/>
    <x v="5"/>
    <x v="2"/>
    <s v="TRK-027"/>
    <s v="B. Kiprono"/>
    <n v="429"/>
    <n v="802.24"/>
    <n v="344160.96"/>
    <n v="603"/>
    <s v="2025-05-29"/>
    <d v="2025-05-01T00:00:00"/>
    <s v="2025-05-29"/>
    <s v="May 2025"/>
    <s v="On Time"/>
    <n v="35267.14"/>
    <n v="379428.10000000003"/>
    <n v="0"/>
    <m/>
  </r>
  <r>
    <s v="SHP-00168"/>
    <s v="2025-02-16"/>
    <d v="2025-02-01T00:00:00"/>
    <s v="BlueWave Facilities"/>
    <x v="1"/>
    <x v="3"/>
    <s v="TRK-001"/>
    <s v="L. Wekesa"/>
    <n v="2297"/>
    <n v="464.29"/>
    <n v="1066474.1299999999"/>
    <n v="349"/>
    <s v="2025-02-17"/>
    <d v="2025-02-01T00:00:00"/>
    <s v="2025-02-20"/>
    <s v="February 2025"/>
    <s v="Late"/>
    <n v="20316.05"/>
    <n v="1086790.18"/>
    <n v="3"/>
    <m/>
  </r>
  <r>
    <s v="SHP-00169"/>
    <s v="2025-05-31"/>
    <d v="2025-05-01T00:00:00"/>
    <s v="Lake Region Water Services"/>
    <x v="4"/>
    <x v="2"/>
    <s v="TRK-003"/>
    <s v="D. Said"/>
    <n v="985"/>
    <n v="691.78"/>
    <n v="681403.3"/>
    <n v="661"/>
    <s v="2025-06-02"/>
    <d v="2025-06-01T00:00:00"/>
    <s v="2025-06-02"/>
    <s v="June 2025"/>
    <s v="On Time"/>
    <n v="36188.19"/>
    <n v="717591.49"/>
    <n v="0"/>
    <m/>
  </r>
  <r>
    <s v="SHP-00170"/>
    <s v="2025-10-05"/>
    <d v="2025-10-01T00:00:00"/>
    <s v="Rift Valley Manufacturing"/>
    <x v="3"/>
    <x v="1"/>
    <s v="TRK-016"/>
    <s v="D. Said"/>
    <n v="2397"/>
    <n v="303.77999999999997"/>
    <n v="728160.66"/>
    <n v="698"/>
    <s v="2025-10-07"/>
    <d v="2025-10-01T00:00:00"/>
    <s v="2025-10-07"/>
    <s v="October 2025"/>
    <s v="On Time"/>
    <n v="26546.15"/>
    <n v="754706.81"/>
    <n v="0"/>
    <m/>
  </r>
  <r>
    <s v="SHP-00171"/>
    <s v="2025-03-07"/>
    <d v="2025-03-01T00:00:00"/>
    <s v="Eastern Industrial Supplies"/>
    <x v="5"/>
    <x v="1"/>
    <s v="TRK-006"/>
    <s v="S. Chebet"/>
    <n v="1973"/>
    <n v="519.38"/>
    <n v="1024736.74"/>
    <n v="618"/>
    <s v="2025-03-09"/>
    <d v="2025-03-01T00:00:00"/>
    <s v="2025-03-09"/>
    <s v="March 2025"/>
    <s v="On Time"/>
    <n v="29111.3"/>
    <n v="1053848.04"/>
    <n v="0"/>
    <m/>
  </r>
  <r>
    <s v="SHP-00172"/>
    <s v="2025-07-17"/>
    <d v="2025-07-01T00:00:00"/>
    <s v="UrbanWorks Contractors"/>
    <x v="3"/>
    <x v="0"/>
    <s v="TRK-015"/>
    <s v="K. Barasa"/>
    <n v="2164"/>
    <n v="616.28"/>
    <n v="1333629.92"/>
    <n v="679"/>
    <s v="2025-07-19"/>
    <d v="2025-07-01T00:00:00"/>
    <s v="2025-07-23"/>
    <s v="July 2025"/>
    <s v="Late"/>
    <n v="28190.77"/>
    <n v="1361820.69"/>
    <n v="4"/>
    <m/>
  </r>
  <r>
    <s v="SHP-00173"/>
    <s v="2025-04-26"/>
    <d v="2025-04-01T00:00:00"/>
    <s v="Eastern Industrial Supplies"/>
    <x v="0"/>
    <x v="1"/>
    <s v="TRK-009"/>
    <s v="Not Found"/>
    <n v="692"/>
    <n v="124.14"/>
    <n v="85904.88"/>
    <n v="536"/>
    <s v="2025-04-28"/>
    <d v="2025-04-01T00:00:00"/>
    <s v="2025-04-30"/>
    <s v="April 2025"/>
    <s v="Late"/>
    <n v="23614.57"/>
    <n v="109519.45000000001"/>
    <n v="2"/>
    <m/>
  </r>
  <r>
    <s v="SHP-00174"/>
    <s v="2025-03-01"/>
    <d v="2025-03-01T00:00:00"/>
    <s v="Eastern Industrial Supplies"/>
    <x v="2"/>
    <x v="3"/>
    <s v="TRK-005"/>
    <s v="M. Otieno"/>
    <n v="80"/>
    <n v="585.55999999999995"/>
    <n v="46844.800000000003"/>
    <n v="41"/>
    <s v="2025-03-02"/>
    <d v="2025-03-01T00:00:00"/>
    <s v="2025-03-02"/>
    <s v="March 2025"/>
    <s v="On Time"/>
    <n v="1746.92"/>
    <n v="48591.72"/>
    <n v="0"/>
    <m/>
  </r>
  <r>
    <s v="SHP-00175"/>
    <s v="2025-05-19"/>
    <d v="2025-05-01T00:00:00"/>
    <s v="Rift Valley Manufacturing"/>
    <x v="4"/>
    <x v="2"/>
    <s v="TRK-026"/>
    <s v="E. Achieng"/>
    <n v="1092"/>
    <n v="259.52999999999997"/>
    <n v="283406.76"/>
    <n v="700"/>
    <s v="2025-05-22"/>
    <d v="2025-05-01T00:00:00"/>
    <s v="2025-05-22"/>
    <s v="May 2025"/>
    <s v="On Time"/>
    <n v="31985.51"/>
    <n v="315392.27"/>
    <n v="0"/>
    <m/>
  </r>
  <r>
    <s v="SHP-00176"/>
    <s v="2025-07-17"/>
    <d v="2025-07-01T00:00:00"/>
    <s v="UrbanWorks Contractors"/>
    <x v="2"/>
    <x v="0"/>
    <s v="TRK-018"/>
    <s v="K. Barasa"/>
    <n v="148"/>
    <n v="829.84"/>
    <n v="122816.32000000001"/>
    <n v="40"/>
    <s v="2025-07-18"/>
    <d v="2025-07-01T00:00:00"/>
    <s v="2025-07-17"/>
    <s v="July 2025"/>
    <s v="On Time"/>
    <n v="2084.92"/>
    <n v="124901.24"/>
    <n v="-1"/>
    <m/>
  </r>
  <r>
    <s v="SHP-00177"/>
    <s v="2025-11-07"/>
    <d v="2025-11-01T00:00:00"/>
    <s v="UrbanWorks Contractors"/>
    <x v="2"/>
    <x v="1"/>
    <s v="TRK-018"/>
    <s v="D. Said"/>
    <n v="2167"/>
    <n v="80.19"/>
    <n v="173771.73"/>
    <n v="259"/>
    <s v="2025-11-08"/>
    <d v="2025-11-01T00:00:00"/>
    <s v="2025-11-09"/>
    <s v="November 2025"/>
    <s v="Late"/>
    <n v="15507.16"/>
    <n v="189278.89"/>
    <n v="1"/>
    <m/>
  </r>
  <r>
    <s v="SHP-00178"/>
    <s v="2025-10-08"/>
    <d v="2025-10-01T00:00:00"/>
    <s v="Metro Packaging Ltd"/>
    <x v="0"/>
    <x v="2"/>
    <s v="TRK-003"/>
    <s v="P. Maina"/>
    <n v="1122"/>
    <n v="338.95"/>
    <n v="380301.9"/>
    <n v="426"/>
    <s v="2025-10-10"/>
    <d v="2025-10-01T00:00:00"/>
    <s v="2025-10-10"/>
    <s v="October 2025"/>
    <s v="On Time"/>
    <n v="16759.82"/>
    <n v="397061.72000000003"/>
    <n v="0"/>
    <m/>
  </r>
  <r>
    <s v="SHP-00179"/>
    <s v="2025-05-28"/>
    <d v="2025-05-01T00:00:00"/>
    <s v="CoastBuild Ltd"/>
    <x v="2"/>
    <x v="0"/>
    <s v="TRK-004"/>
    <s v="D. Said"/>
    <n v="926"/>
    <n v="708.14"/>
    <n v="655737.64"/>
    <n v="248"/>
    <s v="2025-05-29"/>
    <d v="2025-05-01T00:00:00"/>
    <s v="2025-06-01"/>
    <s v="June 2025"/>
    <s v="Late"/>
    <n v="10535.66"/>
    <n v="666273.30000000005"/>
    <n v="3"/>
    <m/>
  </r>
  <r>
    <s v="SHP-00180"/>
    <s v="2025-11-16"/>
    <d v="2025-11-01T00:00:00"/>
    <s v="Lake Region Water Services"/>
    <x v="1"/>
    <x v="0"/>
    <s v="TRK-026"/>
    <s v="L. Wekesa"/>
    <n v="882"/>
    <n v="81.2"/>
    <n v="71618.399999999994"/>
    <n v="448"/>
    <s v="2025-11-18"/>
    <d v="2025-11-01T00:00:00"/>
    <s v="2025-11-18"/>
    <s v="November 2025"/>
    <s v="On Time"/>
    <n v="16519.66"/>
    <n v="88138.06"/>
    <n v="0"/>
    <m/>
  </r>
  <r>
    <s v="SHP-00181"/>
    <s v="2025-09-12"/>
    <d v="2025-09-01T00:00:00"/>
    <s v="Lake Region Water Services"/>
    <x v="5"/>
    <x v="1"/>
    <s v="TRK-003"/>
    <s v="P. Maina"/>
    <n v="1823"/>
    <n v="685.17"/>
    <n v="1249064.9099999999"/>
    <n v="104"/>
    <s v="2025-09-13"/>
    <d v="2025-09-01T00:00:00"/>
    <s v="2025-09-17"/>
    <s v="September 2025"/>
    <s v="Late"/>
    <n v="5754.87"/>
    <n v="1254819.78"/>
    <n v="4"/>
    <m/>
  </r>
  <r>
    <s v="SHP-00182"/>
    <s v="2025-07-13"/>
    <d v="2025-07-01T00:00:00"/>
    <s v="Metro Packaging Ltd"/>
    <x v="4"/>
    <x v="0"/>
    <s v="TRK-027"/>
    <s v="B. Kiprono"/>
    <n v="1662"/>
    <n v="601.55999999999995"/>
    <n v="999792.72"/>
    <n v="564"/>
    <s v="2025-07-15"/>
    <d v="2025-07-01T00:00:00"/>
    <s v="2025-07-16"/>
    <s v="July 2025"/>
    <s v="Late"/>
    <n v="26085.040000000001"/>
    <n v="1025877.76"/>
    <n v="1"/>
    <m/>
  </r>
  <r>
    <s v="SHP-00183"/>
    <s v="2025-08-26"/>
    <d v="2025-08-01T00:00:00"/>
    <s v="Eastern Industrial Supplies"/>
    <x v="3"/>
    <x v="3"/>
    <s v="TRK-003"/>
    <s v="P. Maina"/>
    <n v="941"/>
    <n v="745.31"/>
    <n v="701336.71"/>
    <n v="307"/>
    <s v="2025-08-27"/>
    <d v="2025-08-01T00:00:00"/>
    <s v="2025-08-27"/>
    <s v="August 2025"/>
    <s v="On Time"/>
    <n v="18206.64"/>
    <n v="719543.35"/>
    <n v="0"/>
    <m/>
  </r>
  <r>
    <s v="SHP-00184"/>
    <s v="2025-06-25"/>
    <d v="2025-06-01T00:00:00"/>
    <s v="UrbanWorks Contractors"/>
    <x v="2"/>
    <x v="2"/>
    <s v="TRK-028"/>
    <s v="J. Mutua"/>
    <n v="2217"/>
    <n v="858.82"/>
    <n v="1904003.94"/>
    <n v="182"/>
    <s v="2025-06-26"/>
    <d v="2025-06-01T00:00:00"/>
    <s v="2025-06-29"/>
    <s v="June 2025"/>
    <s v="Late"/>
    <n v="7921.33"/>
    <n v="1911925.27"/>
    <n v="3"/>
    <m/>
  </r>
  <r>
    <s v="SHP-00185"/>
    <s v="2025-08-06"/>
    <d v="2025-08-01T00:00:00"/>
    <s v="BlueWave Facilities"/>
    <x v="5"/>
    <x v="1"/>
    <s v="TRK-004"/>
    <s v="P. Maina"/>
    <n v="406"/>
    <n v="897.46"/>
    <n v="364368.76"/>
    <n v="595"/>
    <s v="2025-08-08"/>
    <d v="2025-08-01T00:00:00"/>
    <s v="2025-08-10"/>
    <s v="August 2025"/>
    <s v="Late"/>
    <n v="31777.95"/>
    <n v="396146.71"/>
    <n v="2"/>
    <m/>
  </r>
  <r>
    <s v="SHP-00186"/>
    <s v="2025-04-19"/>
    <d v="2025-04-01T00:00:00"/>
    <s v="Lake Region Water Services"/>
    <x v="1"/>
    <x v="3"/>
    <s v="TRK-030"/>
    <s v="M. Otieno"/>
    <n v="676"/>
    <n v="661.95"/>
    <n v="447478.2"/>
    <n v="129"/>
    <s v="2025-04-20"/>
    <d v="2025-04-01T00:00:00"/>
    <s v="2025-04-20"/>
    <s v="April 2025"/>
    <s v="On Time"/>
    <n v="6941.63"/>
    <n v="454419.83"/>
    <n v="0"/>
    <m/>
  </r>
  <r>
    <s v="SHP-00187"/>
    <s v="2025-11-26"/>
    <d v="2025-11-01T00:00:00"/>
    <s v="Rift Valley Manufacturing"/>
    <x v="3"/>
    <x v="2"/>
    <s v="TRK-029"/>
    <s v="P. Maina"/>
    <n v="1970"/>
    <n v="206.55"/>
    <n v="406903.5"/>
    <n v="206"/>
    <s v="2025-11-27"/>
    <d v="2025-11-01T00:00:00"/>
    <s v="2025-11-26"/>
    <s v="November 2025"/>
    <s v="On Time"/>
    <n v="8271.01"/>
    <n v="415174.51"/>
    <n v="-1"/>
    <m/>
  </r>
  <r>
    <s v="SHP-00188"/>
    <s v="2025-05-28"/>
    <d v="2025-05-01T00:00:00"/>
    <s v="Eastern Industrial Supplies"/>
    <x v="0"/>
    <x v="1"/>
    <s v="TRK-019"/>
    <s v="B. Kiprono"/>
    <n v="1166"/>
    <n v="840.31"/>
    <n v="979801.46"/>
    <n v="165"/>
    <s v="2025-05-29"/>
    <d v="2025-05-01T00:00:00"/>
    <s v="2025-06-02"/>
    <s v="June 2025"/>
    <s v="Late"/>
    <n v="7840.83"/>
    <n v="987642.28999999992"/>
    <n v="4"/>
    <m/>
  </r>
  <r>
    <s v="SHP-00189"/>
    <s v="2025-02-13"/>
    <d v="2025-02-01T00:00:00"/>
    <s v="BlueWave Facilities"/>
    <x v="5"/>
    <x v="0"/>
    <s v="TRK-009"/>
    <s v="P. Maina"/>
    <n v="1113"/>
    <n v="396.96"/>
    <n v="441816.48"/>
    <n v="232"/>
    <s v="2025-02-14"/>
    <d v="2025-02-01T00:00:00"/>
    <s v="2025-02-16"/>
    <s v="February 2025"/>
    <s v="Late"/>
    <n v="8375.7900000000009"/>
    <n v="450192.26999999996"/>
    <n v="2"/>
    <m/>
  </r>
  <r>
    <s v="SHP-00190"/>
    <s v="2025-07-08"/>
    <d v="2025-07-01T00:00:00"/>
    <s v="Lake Region Water Services"/>
    <x v="2"/>
    <x v="1"/>
    <s v="TRK-002"/>
    <s v="P. Maina"/>
    <n v="1721"/>
    <n v="217.03"/>
    <n v="373508.63"/>
    <n v="455"/>
    <s v="2025-07-10"/>
    <d v="2025-07-01T00:00:00"/>
    <s v="2025-07-11"/>
    <s v="July 2025"/>
    <s v="Late"/>
    <n v="24885.07"/>
    <n v="398393.7"/>
    <n v="1"/>
    <m/>
  </r>
  <r>
    <s v="SHP-00191"/>
    <s v="2025-07-04"/>
    <d v="2025-07-01T00:00:00"/>
    <s v="Highland Agro Processors"/>
    <x v="4"/>
    <x v="0"/>
    <s v="TRK-002"/>
    <s v="D. Said"/>
    <n v="919"/>
    <n v="184.72"/>
    <n v="169757.68"/>
    <n v="547"/>
    <s v="2025-07-06"/>
    <d v="2025-07-01T00:00:00"/>
    <s v="2025-07-06"/>
    <s v="July 2025"/>
    <s v="On Time"/>
    <n v="30586.58"/>
    <n v="200344.26"/>
    <n v="0"/>
    <m/>
  </r>
  <r>
    <s v="SHP-00192"/>
    <s v="2025-09-08"/>
    <d v="2025-09-01T00:00:00"/>
    <s v="Eastern Industrial Supplies"/>
    <x v="3"/>
    <x v="3"/>
    <s v="TRK-011"/>
    <s v="J. Mutua"/>
    <n v="861"/>
    <n v="206.37"/>
    <n v="177684.57"/>
    <n v="508"/>
    <s v="2025-09-10"/>
    <d v="2025-09-01T00:00:00"/>
    <s v="2025-09-09"/>
    <s v="September 2025"/>
    <s v="On Time"/>
    <n v="30946.57"/>
    <n v="208631.14"/>
    <n v="-1"/>
    <m/>
  </r>
  <r>
    <s v="SHP-00193"/>
    <s v="2025-06-16"/>
    <d v="2025-06-01T00:00:00"/>
    <s v="Eastern Industrial Supplies"/>
    <x v="3"/>
    <x v="1"/>
    <s v="TRK-028"/>
    <s v="M. Otieno"/>
    <n v="412"/>
    <n v="347.16"/>
    <n v="143029.92000000001"/>
    <n v="707"/>
    <s v="2025-06-19"/>
    <d v="2025-06-01T00:00:00"/>
    <s v="2025-06-22"/>
    <s v="June 2025"/>
    <s v="Late"/>
    <n v="24861.26"/>
    <n v="167891.18000000002"/>
    <n v="3"/>
    <m/>
  </r>
  <r>
    <s v="SHP-00194"/>
    <s v="2025-12-03"/>
    <d v="2025-12-01T00:00:00"/>
    <s v="Metro Packaging Ltd"/>
    <x v="1"/>
    <x v="2"/>
    <s v="TRK-024"/>
    <s v="D. Said"/>
    <n v="2335"/>
    <n v="597.32000000000005"/>
    <n v="1394742.2"/>
    <n v="666"/>
    <s v="2025-12-05"/>
    <d v="2025-12-01T00:00:00"/>
    <s v="2025-12-09"/>
    <s v="December 2025"/>
    <s v="Late"/>
    <n v="34117.19"/>
    <n v="1428859.39"/>
    <n v="4"/>
    <m/>
  </r>
  <r>
    <s v="SHP-00195"/>
    <s v="2025-01-09"/>
    <d v="2025-01-01T00:00:00"/>
    <s v="Highland Agro Processors"/>
    <x v="3"/>
    <x v="1"/>
    <s v="TRK-020"/>
    <s v="M. Otieno"/>
    <n v="925"/>
    <n v="423.69"/>
    <n v="391913.25"/>
    <n v="586"/>
    <s v="2025-01-11"/>
    <d v="2025-01-01T00:00:00"/>
    <s v="2025-01-13"/>
    <s v="January 2025"/>
    <s v="Late"/>
    <n v="21963.22"/>
    <n v="413876.47"/>
    <n v="2"/>
    <m/>
  </r>
  <r>
    <s v="SHP-00196"/>
    <s v="2025-07-04"/>
    <d v="2025-07-01T00:00:00"/>
    <s v="Metro Packaging Ltd"/>
    <x v="0"/>
    <x v="0"/>
    <s v="TRK-030"/>
    <s v="P. Maina"/>
    <n v="2084"/>
    <n v="219.58"/>
    <n v="457604.72"/>
    <n v="47"/>
    <s v="2025-07-05"/>
    <d v="2025-07-01T00:00:00"/>
    <s v="2025-07-05"/>
    <s v="July 2025"/>
    <s v="On Time"/>
    <n v="2675.27"/>
    <n v="460279.99"/>
    <n v="0"/>
    <m/>
  </r>
  <r>
    <s v="SHP-00197"/>
    <s v="2025-02-28"/>
    <d v="2025-02-01T00:00:00"/>
    <s v="BlueWave Facilities"/>
    <x v="2"/>
    <x v="2"/>
    <s v="TRK-027"/>
    <s v="K. Barasa"/>
    <n v="2056"/>
    <n v="676.64"/>
    <n v="1391171.84"/>
    <n v="214"/>
    <s v="2025-03-01"/>
    <d v="2025-03-01T00:00:00"/>
    <s v="2025-03-04"/>
    <s v="March 2025"/>
    <s v="Late"/>
    <n v="9524.09"/>
    <n v="1400695.9300000002"/>
    <n v="3"/>
    <m/>
  </r>
  <r>
    <s v="SHP-00198"/>
    <s v="2025-09-26"/>
    <d v="2025-09-01T00:00:00"/>
    <s v="Lake Region Water Services"/>
    <x v="5"/>
    <x v="2"/>
    <s v="TRK-023"/>
    <s v="E. Achieng"/>
    <n v="1367"/>
    <n v="425.99"/>
    <n v="582328.32999999996"/>
    <n v="60"/>
    <s v="2025-09-27"/>
    <d v="2025-09-01T00:00:00"/>
    <s v="2025-09-29"/>
    <s v="September 2025"/>
    <s v="Late"/>
    <n v="2382.77"/>
    <n v="584711.1"/>
    <n v="2"/>
    <m/>
  </r>
  <r>
    <s v="SHP-00199"/>
    <s v="2025-12-16"/>
    <d v="2025-12-01T00:00:00"/>
    <s v="UrbanWorks Contractors"/>
    <x v="1"/>
    <x v="3"/>
    <s v="TRK-006"/>
    <s v="L. Wekesa"/>
    <n v="2333"/>
    <n v="498.49"/>
    <n v="1162977.17"/>
    <n v="139"/>
    <s v="2025-12-17"/>
    <d v="2025-12-01T00:00:00"/>
    <s v="2025-12-17"/>
    <s v="December 2025"/>
    <s v="On Time"/>
    <n v="5103.4399999999996"/>
    <n v="1168080.6099999999"/>
    <n v="0"/>
    <m/>
  </r>
  <r>
    <s v="SHP-00200"/>
    <s v="2025-08-22"/>
    <d v="2025-08-01T00:00:00"/>
    <s v="Metro Packaging Ltd"/>
    <x v="5"/>
    <x v="0"/>
    <s v="TRK-002"/>
    <s v="D. Said"/>
    <n v="1729"/>
    <n v="139.63999999999999"/>
    <n v="241437.56"/>
    <n v="44"/>
    <s v="2025-08-23"/>
    <d v="2025-08-01T00:00:00"/>
    <s v="2025-08-22"/>
    <s v="August 2025"/>
    <s v="On Time"/>
    <n v="2502.0100000000002"/>
    <n v="243939.57"/>
    <n v="-1"/>
    <m/>
  </r>
  <r>
    <s v="SHP-00201"/>
    <s v="2025-02-22"/>
    <d v="2025-02-01T00:00:00"/>
    <s v="CoastBuild Ltd"/>
    <x v="3"/>
    <x v="0"/>
    <s v="TRK-009"/>
    <s v="S. Chebet"/>
    <n v="2001"/>
    <n v="165.89"/>
    <n v="331945.89"/>
    <n v="673"/>
    <s v="2025-02-24"/>
    <d v="2025-02-01T00:00:00"/>
    <s v="2025-02-26"/>
    <s v="February 2025"/>
    <s v="Late"/>
    <n v="24698.5"/>
    <n v="356644.39"/>
    <n v="2"/>
    <m/>
  </r>
  <r>
    <s v="SHP-00202"/>
    <s v="2025-08-09"/>
    <d v="2025-08-01T00:00:00"/>
    <s v="BlueWave Facilities"/>
    <x v="2"/>
    <x v="1"/>
    <s v="TRK-021"/>
    <s v="M. Otieno"/>
    <n v="2364"/>
    <n v="222.61"/>
    <n v="526250.04"/>
    <n v="658"/>
    <s v="2025-08-11"/>
    <d v="2025-08-01T00:00:00"/>
    <s v="2025-08-11"/>
    <s v="August 2025"/>
    <s v="On Time"/>
    <n v="31041.57"/>
    <n v="557291.61"/>
    <n v="0"/>
    <m/>
  </r>
  <r>
    <s v="SHP-00203"/>
    <s v="2025-07-11"/>
    <d v="2025-07-01T00:00:00"/>
    <s v="CoastBuild Ltd"/>
    <x v="1"/>
    <x v="2"/>
    <s v="TRK-016"/>
    <s v="B. Kiprono"/>
    <n v="1454"/>
    <n v="899.03"/>
    <n v="1307189.6200000001"/>
    <n v="550"/>
    <s v="2025-07-13"/>
    <d v="2025-07-01T00:00:00"/>
    <s v="2025-07-13"/>
    <s v="July 2025"/>
    <s v="On Time"/>
    <n v="24687.42"/>
    <n v="1331877.04"/>
    <n v="0"/>
    <m/>
  </r>
  <r>
    <s v="SHP-00204"/>
    <s v="2025-01-12"/>
    <d v="2025-01-01T00:00:00"/>
    <s v="BlueWave Facilities"/>
    <x v="1"/>
    <x v="1"/>
    <s v="TRK-019"/>
    <s v="E. Achieng"/>
    <n v="2216"/>
    <n v="825.26"/>
    <n v="1828776.16"/>
    <n v="560"/>
    <s v="2025-01-14"/>
    <d v="2025-01-01T00:00:00"/>
    <s v="2025-01-14"/>
    <s v="January 2025"/>
    <s v="On Time"/>
    <n v="30877.78"/>
    <n v="1859653.94"/>
    <n v="0"/>
    <m/>
  </r>
  <r>
    <s v="SHP-00205"/>
    <s v="2025-07-02"/>
    <d v="2025-07-01T00:00:00"/>
    <s v="Highland Agro Processors"/>
    <x v="3"/>
    <x v="0"/>
    <s v="TRK-027"/>
    <s v="J. Mutua"/>
    <n v="816"/>
    <n v="612.07000000000005"/>
    <n v="499449.12"/>
    <n v="639"/>
    <s v="2025-07-04"/>
    <d v="2025-07-01T00:00:00"/>
    <s v="2025-07-07"/>
    <s v="July 2025"/>
    <s v="Late"/>
    <n v="26687.03"/>
    <n v="526136.15"/>
    <n v="3"/>
    <m/>
  </r>
  <r>
    <s v="SHP-00206"/>
    <s v="2025-12-01"/>
    <d v="2025-12-01T00:00:00"/>
    <s v="Rift Valley Manufacturing"/>
    <x v="3"/>
    <x v="3"/>
    <s v="TRK-013"/>
    <s v="K. Barasa"/>
    <n v="2413"/>
    <n v="306.85000000000002"/>
    <n v="740429.05"/>
    <n v="175"/>
    <s v="2025-12-02"/>
    <d v="2025-12-01T00:00:00"/>
    <s v="2025-12-02"/>
    <s v="December 2025"/>
    <s v="On Time"/>
    <n v="8519.76"/>
    <n v="748948.81"/>
    <n v="0"/>
    <m/>
  </r>
  <r>
    <s v="SHP-00207"/>
    <s v="2025-08-12"/>
    <d v="2025-08-01T00:00:00"/>
    <s v="Lake Region Water Services"/>
    <x v="2"/>
    <x v="0"/>
    <s v="TRK-028"/>
    <s v="L. Wekesa"/>
    <n v="326"/>
    <n v="580.27"/>
    <n v="189168.02"/>
    <n v="255"/>
    <s v="2025-08-13"/>
    <d v="2025-08-01T00:00:00"/>
    <s v="2025-08-13"/>
    <s v="August 2025"/>
    <s v="On Time"/>
    <n v="11679.17"/>
    <n v="200847.19"/>
    <n v="0"/>
    <m/>
  </r>
  <r>
    <s v="SHP-00208"/>
    <s v="2025-11-15"/>
    <d v="2025-11-01T00:00:00"/>
    <s v="Metro Packaging Ltd"/>
    <x v="4"/>
    <x v="0"/>
    <s v="TRK-009"/>
    <s v="P. Maina"/>
    <n v="1976"/>
    <n v="550.72"/>
    <n v="1088222.72"/>
    <n v="335"/>
    <s v="2025-11-16"/>
    <d v="2025-11-01T00:00:00"/>
    <s v="2025-11-16"/>
    <s v="November 2025"/>
    <s v="On Time"/>
    <n v="14683.73"/>
    <n v="1102906.45"/>
    <n v="0"/>
    <m/>
  </r>
  <r>
    <s v="SHP-00209"/>
    <s v="2025-05-11"/>
    <d v="2025-05-01T00:00:00"/>
    <s v="CoastBuild Ltd"/>
    <x v="4"/>
    <x v="3"/>
    <s v="TRK-016"/>
    <s v="A. Hassan"/>
    <n v="320"/>
    <n v="883.85"/>
    <n v="282832"/>
    <n v="452"/>
    <s v="2025-05-13"/>
    <d v="2025-05-01T00:00:00"/>
    <s v="2025-05-13"/>
    <s v="May 2025"/>
    <s v="On Time"/>
    <n v="22778.639999999999"/>
    <n v="305610.64"/>
    <n v="0"/>
    <m/>
  </r>
  <r>
    <s v="SHP-00210"/>
    <s v="2025-08-20"/>
    <d v="2025-08-01T00:00:00"/>
    <s v="Lake Region Water Services"/>
    <x v="2"/>
    <x v="3"/>
    <s v="TRK-008"/>
    <s v="J. Mutua"/>
    <n v="1137"/>
    <n v="258.37"/>
    <n v="293766.69"/>
    <n v="166"/>
    <s v="2025-08-21"/>
    <d v="2025-08-01T00:00:00"/>
    <s v="2025-08-21"/>
    <s v="August 2025"/>
    <s v="On Time"/>
    <n v="9912.1299999999992"/>
    <n v="303678.82"/>
    <n v="0"/>
    <m/>
  </r>
  <r>
    <s v="SHP-00211"/>
    <s v="2025-12-06"/>
    <d v="2025-12-01T00:00:00"/>
    <s v="Eastern Industrial Supplies"/>
    <x v="4"/>
    <x v="2"/>
    <s v="TRK-014"/>
    <s v="P. Maina"/>
    <n v="800"/>
    <n v="214.44"/>
    <n v="171552"/>
    <n v="107"/>
    <s v="2025-12-07"/>
    <d v="2025-12-01T00:00:00"/>
    <s v="2025-12-07"/>
    <s v="December 2025"/>
    <s v="On Time"/>
    <n v="6175.9"/>
    <n v="177727.9"/>
    <n v="0"/>
    <m/>
  </r>
  <r>
    <s v="SHP-00212"/>
    <s v="2025-10-25"/>
    <d v="2025-10-01T00:00:00"/>
    <s v="Highland Agro Processors"/>
    <x v="0"/>
    <x v="2"/>
    <s v="TRK-007"/>
    <s v="D. Said"/>
    <n v="1321"/>
    <n v="341.47"/>
    <n v="451081.87"/>
    <n v="306"/>
    <s v="2025-10-26"/>
    <d v="2025-10-01T00:00:00"/>
    <s v="2025-10-26"/>
    <s v="October 2025"/>
    <s v="On Time"/>
    <n v="15722.38"/>
    <n v="466804.25"/>
    <n v="0"/>
    <m/>
  </r>
  <r>
    <s v="SHP-00213"/>
    <s v="2025-06-25"/>
    <d v="2025-06-01T00:00:00"/>
    <s v="Eastern Industrial Supplies"/>
    <x v="4"/>
    <x v="1"/>
    <s v="TRK-019"/>
    <s v="M. Otieno"/>
    <n v="955"/>
    <n v="45.9"/>
    <n v="43834.5"/>
    <n v="79"/>
    <s v="2025-06-26"/>
    <d v="2025-06-01T00:00:00"/>
    <s v="2025-06-27"/>
    <s v="June 2025"/>
    <s v="Late"/>
    <n v="4044.57"/>
    <n v="47879.07"/>
    <n v="1"/>
    <m/>
  </r>
  <r>
    <s v="SHP-00214"/>
    <s v="2025-01-15"/>
    <d v="2025-01-01T00:00:00"/>
    <s v="CoastBuild Ltd"/>
    <x v="2"/>
    <x v="2"/>
    <s v="TRK-018"/>
    <s v="Not Found"/>
    <n v="1399"/>
    <n v="292.99"/>
    <n v="409893.01"/>
    <n v="53"/>
    <s v="2025-01-16"/>
    <d v="2025-01-01T00:00:00"/>
    <s v="2025-01-18"/>
    <s v="January 2025"/>
    <s v="Late"/>
    <n v="2505.81"/>
    <n v="412398.82"/>
    <n v="2"/>
    <m/>
  </r>
  <r>
    <s v="SHP-00215"/>
    <s v="2025-11-21"/>
    <d v="2025-11-01T00:00:00"/>
    <s v="Eastern Industrial Supplies"/>
    <x v="3"/>
    <x v="3"/>
    <s v="TRK-016"/>
    <s v="M. Otieno"/>
    <n v="755"/>
    <n v="100.02"/>
    <n v="75515.100000000006"/>
    <n v="248"/>
    <s v="2025-11-22"/>
    <d v="2025-11-01T00:00:00"/>
    <s v="2025-11-24"/>
    <s v="November 2025"/>
    <s v="Late"/>
    <n v="14565.81"/>
    <n v="90080.91"/>
    <n v="2"/>
    <m/>
  </r>
  <r>
    <s v="SHP-00216"/>
    <s v="2025-11-14"/>
    <d v="2025-11-01T00:00:00"/>
    <s v="Highland Agro Processors"/>
    <x v="3"/>
    <x v="2"/>
    <s v="TRK-028"/>
    <s v="J. Mutua"/>
    <n v="792"/>
    <n v="329.61"/>
    <n v="261051.12"/>
    <n v="258"/>
    <s v="2025-11-15"/>
    <d v="2025-11-01T00:00:00"/>
    <s v="2025-11-19"/>
    <s v="November 2025"/>
    <s v="Late"/>
    <n v="11564.56"/>
    <n v="272615.67999999999"/>
    <n v="4"/>
    <m/>
  </r>
  <r>
    <s v="SHP-00217"/>
    <s v="2025-08-18"/>
    <d v="2025-08-01T00:00:00"/>
    <s v="Eastern Industrial Supplies"/>
    <x v="4"/>
    <x v="2"/>
    <s v="TRK-007"/>
    <s v="A. Hassan"/>
    <n v="298"/>
    <n v="194.35"/>
    <n v="57916.3"/>
    <n v="666"/>
    <s v="2025-08-20"/>
    <d v="2025-08-01T00:00:00"/>
    <s v="2025-08-22"/>
    <s v="August 2025"/>
    <s v="Late"/>
    <n v="26118.16"/>
    <n v="84034.46"/>
    <n v="2"/>
    <m/>
  </r>
  <r>
    <s v="SHP-00218"/>
    <s v="2025-09-26"/>
    <d v="2025-09-01T00:00:00"/>
    <s v="Metro Packaging Ltd"/>
    <x v="5"/>
    <x v="1"/>
    <s v="TRK-022"/>
    <s v="S. Chebet"/>
    <n v="525"/>
    <n v="796.75"/>
    <n v="418293.75"/>
    <n v="58"/>
    <s v="2025-09-27"/>
    <d v="2025-09-01T00:00:00"/>
    <s v="2025-09-28"/>
    <s v="September 2025"/>
    <s v="Late"/>
    <n v="3381.03"/>
    <n v="421674.78"/>
    <n v="1"/>
    <m/>
  </r>
  <r>
    <s v="SHP-00219"/>
    <s v="2025-11-06"/>
    <d v="2025-11-01T00:00:00"/>
    <s v="Lake Region Water Services"/>
    <x v="4"/>
    <x v="3"/>
    <s v="TRK-021"/>
    <s v="D. Said"/>
    <n v="849"/>
    <n v="154.58000000000001"/>
    <n v="131238.42000000001"/>
    <n v="90"/>
    <s v="2025-11-07"/>
    <d v="2025-11-01T00:00:00"/>
    <s v="2025-11-10"/>
    <s v="November 2025"/>
    <s v="Late"/>
    <n v="4977.7"/>
    <n v="136216.12000000002"/>
    <n v="3"/>
    <m/>
  </r>
  <r>
    <s v="SHP-00220"/>
    <s v="2025-06-20"/>
    <d v="2025-06-01T00:00:00"/>
    <s v="Eastern Industrial Supplies"/>
    <x v="3"/>
    <x v="1"/>
    <s v="TRK-013"/>
    <s v="P. Maina"/>
    <n v="1761"/>
    <n v="373.8"/>
    <n v="658261.80000000005"/>
    <n v="434"/>
    <s v="2025-06-22"/>
    <d v="2025-06-01T00:00:00"/>
    <s v="2025-06-24"/>
    <s v="June 2025"/>
    <s v="Late"/>
    <n v="26328.99"/>
    <n v="684590.79"/>
    <n v="2"/>
    <m/>
  </r>
  <r>
    <s v="SHP-00221"/>
    <s v="2025-03-17"/>
    <d v="2025-03-01T00:00:00"/>
    <s v="CoastBuild Ltd"/>
    <x v="2"/>
    <x v="0"/>
    <s v="TRK-011"/>
    <s v="L. Wekesa"/>
    <n v="1443"/>
    <n v="296.89999999999998"/>
    <n v="428426.7"/>
    <n v="420"/>
    <s v="2025-03-19"/>
    <d v="2025-03-01T00:00:00"/>
    <s v="2025-03-19"/>
    <s v="March 2025"/>
    <s v="On Time"/>
    <n v="23671.45"/>
    <n v="452098.15"/>
    <n v="0"/>
    <m/>
  </r>
  <r>
    <s v="SHP-00222"/>
    <s v="2025-04-11"/>
    <d v="2025-04-01T00:00:00"/>
    <s v="BlueWave Facilities"/>
    <x v="4"/>
    <x v="2"/>
    <s v="TRK-017"/>
    <s v="J. Mutua"/>
    <n v="1482"/>
    <n v="53.07"/>
    <n v="78649.740000000005"/>
    <n v="658"/>
    <s v="2025-04-13"/>
    <d v="2025-04-01T00:00:00"/>
    <s v="2025-04-17"/>
    <s v="April 2025"/>
    <s v="Late"/>
    <n v="30380.18"/>
    <n v="109029.92000000001"/>
    <n v="4"/>
    <m/>
  </r>
  <r>
    <s v="SHP-00223"/>
    <s v="2025-03-07"/>
    <d v="2025-03-01T00:00:00"/>
    <s v="Lake Region Water Services"/>
    <x v="4"/>
    <x v="0"/>
    <s v="TRK-010"/>
    <s v="M. Otieno"/>
    <n v="1458"/>
    <n v="451.12"/>
    <n v="657732.96"/>
    <n v="707"/>
    <s v="2025-03-10"/>
    <d v="2025-03-01T00:00:00"/>
    <s v="2025-03-14"/>
    <s v="March 2025"/>
    <s v="Late"/>
    <n v="42123.86"/>
    <n v="699856.82"/>
    <n v="4"/>
    <m/>
  </r>
  <r>
    <s v="SHP-00224"/>
    <s v="2025-07-14"/>
    <d v="2025-07-01T00:00:00"/>
    <s v="BlueWave Facilities"/>
    <x v="1"/>
    <x v="2"/>
    <s v="TRK-024"/>
    <s v="E. Achieng"/>
    <n v="1393"/>
    <n v="520.85"/>
    <n v="725544.05"/>
    <n v="62"/>
    <s v="2025-07-15"/>
    <d v="2025-07-01T00:00:00"/>
    <s v="2025-07-15"/>
    <s v="July 2025"/>
    <s v="On Time"/>
    <n v="3356.94"/>
    <n v="728900.99"/>
    <n v="0"/>
    <m/>
  </r>
  <r>
    <s v="SHP-00225"/>
    <s v="2025-08-09"/>
    <d v="2025-08-01T00:00:00"/>
    <s v="Lake Region Water Services"/>
    <x v="4"/>
    <x v="2"/>
    <s v="TRK-021"/>
    <s v="M. Otieno"/>
    <n v="165"/>
    <n v="652.80999999999995"/>
    <n v="107713.65"/>
    <n v="567"/>
    <s v="2025-08-11"/>
    <d v="2025-08-01T00:00:00"/>
    <s v="2025-08-13"/>
    <s v="August 2025"/>
    <s v="Late"/>
    <n v="23317.72"/>
    <n v="131031.37"/>
    <n v="2"/>
    <m/>
  </r>
  <r>
    <s v="SHP-00226"/>
    <s v="2025-02-24"/>
    <d v="2025-02-01T00:00:00"/>
    <s v="Metro Packaging Ltd"/>
    <x v="3"/>
    <x v="0"/>
    <s v="TRK-024"/>
    <s v="J. Mutua"/>
    <n v="1129"/>
    <n v="759.47"/>
    <n v="857441.63"/>
    <n v="699"/>
    <s v="2025-02-26"/>
    <d v="2025-02-01T00:00:00"/>
    <s v="2025-02-26"/>
    <s v="February 2025"/>
    <s v="On Time"/>
    <n v="30349.06"/>
    <n v="887790.69000000006"/>
    <n v="0"/>
    <m/>
  </r>
  <r>
    <s v="SHP-00227"/>
    <s v="2025-07-18"/>
    <d v="2025-07-01T00:00:00"/>
    <s v="UrbanWorks Contractors"/>
    <x v="3"/>
    <x v="2"/>
    <s v="TRK-009"/>
    <s v="B. Kiprono"/>
    <n v="1622"/>
    <n v="570.45000000000005"/>
    <n v="925269.9"/>
    <n v="668"/>
    <s v="2025-07-20"/>
    <d v="2025-07-01T00:00:00"/>
    <s v="2025-07-22"/>
    <s v="July 2025"/>
    <s v="Late"/>
    <n v="37244.81"/>
    <n v="962514.71"/>
    <n v="2"/>
    <m/>
  </r>
  <r>
    <s v="SHP-00228"/>
    <s v="2025-01-30"/>
    <d v="2025-01-01T00:00:00"/>
    <s v="Eastern Industrial Supplies"/>
    <x v="0"/>
    <x v="3"/>
    <s v="TRK-016"/>
    <s v="K. Barasa"/>
    <n v="194"/>
    <n v="304.63"/>
    <n v="59098.22"/>
    <n v="182"/>
    <s v="2025-01-31"/>
    <d v="2025-01-01T00:00:00"/>
    <s v="2025-01-31"/>
    <s v="January 2025"/>
    <s v="On Time"/>
    <n v="6719.53"/>
    <n v="65817.75"/>
    <n v="0"/>
    <m/>
  </r>
  <r>
    <s v="SHP-00229"/>
    <s v="2025-11-09"/>
    <d v="2025-11-01T00:00:00"/>
    <s v="Rift Valley Manufacturing"/>
    <x v="0"/>
    <x v="0"/>
    <s v="TRK-017"/>
    <s v="M. Otieno"/>
    <n v="327"/>
    <n v="616.73"/>
    <n v="201670.71"/>
    <n v="376"/>
    <s v="2025-11-11"/>
    <d v="2025-11-01T00:00:00"/>
    <s v="2025-11-10"/>
    <s v="November 2025"/>
    <s v="On Time"/>
    <n v="18872.560000000001"/>
    <n v="220543.27"/>
    <n v="-1"/>
    <m/>
  </r>
  <r>
    <s v="SHP-00230"/>
    <s v="2025-03-03"/>
    <d v="2025-03-01T00:00:00"/>
    <s v="UrbanWorks Contractors"/>
    <x v="2"/>
    <x v="2"/>
    <s v="TRK-014"/>
    <s v="K. Barasa"/>
    <n v="1009"/>
    <n v="726.41"/>
    <n v="732947.69"/>
    <n v="459"/>
    <s v="2025-03-05"/>
    <d v="2025-03-01T00:00:00"/>
    <s v="2025-03-06"/>
    <s v="March 2025"/>
    <s v="Late"/>
    <n v="18885.009999999998"/>
    <n v="751832.7"/>
    <n v="1"/>
    <m/>
  </r>
  <r>
    <s v="SHP-00231"/>
    <s v="2025-10-08"/>
    <d v="2025-10-01T00:00:00"/>
    <s v="Lake Region Water Services"/>
    <x v="1"/>
    <x v="0"/>
    <s v="TRK-011"/>
    <s v="P. Maina"/>
    <n v="1472"/>
    <n v="114.48"/>
    <n v="168514.56"/>
    <n v="713"/>
    <s v="2025-10-11"/>
    <d v="2025-10-01T00:00:00"/>
    <s v="2025-10-15"/>
    <s v="October 2025"/>
    <s v="Late"/>
    <n v="33519.79"/>
    <n v="202034.35"/>
    <n v="4"/>
    <m/>
  </r>
  <r>
    <s v="SHP-00232"/>
    <s v="2025-09-25"/>
    <d v="2025-09-01T00:00:00"/>
    <s v="BlueWave Facilities"/>
    <x v="1"/>
    <x v="2"/>
    <s v="TRK-028"/>
    <s v="A. Hassan"/>
    <n v="1497"/>
    <n v="353.13"/>
    <n v="528635.61"/>
    <n v="274"/>
    <s v="2025-09-26"/>
    <d v="2025-09-01T00:00:00"/>
    <s v="2025-09-30"/>
    <s v="September 2025"/>
    <s v="Late"/>
    <n v="15504.45"/>
    <n v="544140.05999999994"/>
    <n v="4"/>
    <m/>
  </r>
  <r>
    <s v="SHP-00233"/>
    <s v="2025-02-27"/>
    <d v="2025-02-01T00:00:00"/>
    <s v="Rift Valley Manufacturing"/>
    <x v="0"/>
    <x v="2"/>
    <s v="TRK-021"/>
    <s v="A. Hassan"/>
    <n v="376"/>
    <n v="683.45"/>
    <n v="256977.2"/>
    <n v="538"/>
    <s v="2025-03-01"/>
    <d v="2025-03-01T00:00:00"/>
    <s v="2025-03-02"/>
    <s v="March 2025"/>
    <s v="Late"/>
    <n v="20719.05"/>
    <n v="277696.25"/>
    <n v="1"/>
    <m/>
  </r>
  <r>
    <s v="SHP-00234"/>
    <s v="2025-01-17"/>
    <d v="2025-01-01T00:00:00"/>
    <s v="Highland Agro Processors"/>
    <x v="4"/>
    <x v="3"/>
    <s v="TRK-001"/>
    <s v="D. Said"/>
    <n v="564"/>
    <n v="640.12"/>
    <n v="361027.68"/>
    <n v="683"/>
    <s v="2025-01-19"/>
    <d v="2025-01-01T00:00:00"/>
    <s v="2025-01-21"/>
    <s v="January 2025"/>
    <s v="Late"/>
    <n v="39253.14"/>
    <n v="400280.82"/>
    <n v="2"/>
    <m/>
  </r>
  <r>
    <s v="SHP-00235"/>
    <s v="2025-12-20"/>
    <d v="2025-12-01T00:00:00"/>
    <s v="Eastern Industrial Supplies"/>
    <x v="1"/>
    <x v="0"/>
    <s v="TRK-019"/>
    <s v="A. Hassan"/>
    <n v="1557"/>
    <n v="787.87"/>
    <n v="1226713.5900000001"/>
    <n v="497"/>
    <s v="2025-12-22"/>
    <d v="2025-12-01T00:00:00"/>
    <s v="2025-12-23"/>
    <s v="December 2025"/>
    <s v="Late"/>
    <n v="29522.97"/>
    <n v="1256236.56"/>
    <n v="1"/>
    <m/>
  </r>
  <r>
    <s v="SHP-00236"/>
    <s v="2025-07-31"/>
    <d v="2025-07-01T00:00:00"/>
    <s v="BlueWave Facilities"/>
    <x v="5"/>
    <x v="0"/>
    <s v="TRK-020"/>
    <s v="P. Maina"/>
    <n v="454"/>
    <n v="539.24"/>
    <n v="244814.96"/>
    <n v="217"/>
    <s v="2025-08-01"/>
    <d v="2025-08-01T00:00:00"/>
    <s v="2025-08-04"/>
    <s v="August 2025"/>
    <s v="Late"/>
    <n v="9780.49"/>
    <n v="254595.44999999998"/>
    <n v="3"/>
    <m/>
  </r>
  <r>
    <s v="SHP-00237"/>
    <s v="2025-11-12"/>
    <d v="2025-11-01T00:00:00"/>
    <s v="UrbanWorks Contractors"/>
    <x v="0"/>
    <x v="1"/>
    <s v="TRK-016"/>
    <s v="P. Maina"/>
    <n v="474"/>
    <n v="544.36"/>
    <n v="258026.64"/>
    <n v="617"/>
    <s v="2025-11-14"/>
    <d v="2025-11-01T00:00:00"/>
    <s v="2025-11-13"/>
    <s v="November 2025"/>
    <s v="On Time"/>
    <n v="24848.12"/>
    <n v="282874.76"/>
    <n v="-1"/>
    <m/>
  </r>
  <r>
    <s v="SHP-00238"/>
    <s v="2025-12-18"/>
    <d v="2025-12-01T00:00:00"/>
    <s v="CoastBuild Ltd"/>
    <x v="5"/>
    <x v="0"/>
    <s v="TRK-024"/>
    <s v="S. Chebet"/>
    <n v="1935"/>
    <n v="807.69"/>
    <n v="1562880.15"/>
    <n v="192"/>
    <s v="2025-12-19"/>
    <d v="2025-12-01T00:00:00"/>
    <s v="2025-12-20"/>
    <s v="December 2025"/>
    <s v="Late"/>
    <n v="11155.46"/>
    <n v="1574035.6099999999"/>
    <n v="1"/>
    <m/>
  </r>
  <r>
    <s v="SHP-00239"/>
    <s v="2025-03-02"/>
    <d v="2025-03-01T00:00:00"/>
    <s v="CoastBuild Ltd"/>
    <x v="3"/>
    <x v="0"/>
    <s v="TRK-001"/>
    <s v="K. Barasa"/>
    <n v="1886"/>
    <n v="293.89"/>
    <n v="554276.54"/>
    <n v="138"/>
    <s v="2025-03-03"/>
    <d v="2025-03-01T00:00:00"/>
    <s v="2025-03-06"/>
    <s v="March 2025"/>
    <s v="Late"/>
    <n v="5030.1400000000003"/>
    <n v="559306.68000000005"/>
    <n v="3"/>
    <m/>
  </r>
  <r>
    <s v="SHP-00240"/>
    <s v="2025-05-07"/>
    <d v="2025-05-01T00:00:00"/>
    <s v="Metro Packaging Ltd"/>
    <x v="1"/>
    <x v="2"/>
    <s v="TRK-010"/>
    <s v="A. Hassan"/>
    <n v="2068"/>
    <n v="128.12"/>
    <n v="264952.15999999997"/>
    <n v="602"/>
    <s v="2025-05-09"/>
    <d v="2025-05-01T00:00:00"/>
    <s v="2025-05-10"/>
    <s v="May 2025"/>
    <s v="Late"/>
    <n v="27808.06"/>
    <n v="292760.21999999997"/>
    <n v="1"/>
    <m/>
  </r>
  <r>
    <s v="SHP-00241"/>
    <s v="2025-10-22"/>
    <d v="2025-10-01T00:00:00"/>
    <s v="Rift Valley Manufacturing"/>
    <x v="0"/>
    <x v="2"/>
    <s v="TRK-006"/>
    <s v="M. Otieno"/>
    <n v="2265"/>
    <n v="762.6"/>
    <n v="1727289"/>
    <n v="562"/>
    <s v="2025-10-24"/>
    <d v="2025-10-01T00:00:00"/>
    <s v="2025-10-27"/>
    <s v="October 2025"/>
    <s v="Late"/>
    <n v="28023.14"/>
    <n v="1755312.14"/>
    <n v="3"/>
    <m/>
  </r>
  <r>
    <s v="SHP-00242"/>
    <s v="2025-04-27"/>
    <d v="2025-04-01T00:00:00"/>
    <s v="CoastBuild Ltd"/>
    <x v="3"/>
    <x v="2"/>
    <s v="TRK-015"/>
    <s v="E. Achieng"/>
    <n v="2459"/>
    <n v="631.57000000000005"/>
    <n v="1553030.63"/>
    <n v="466"/>
    <s v="2025-04-29"/>
    <d v="2025-04-01T00:00:00"/>
    <s v="2025-05-02"/>
    <s v="May 2025"/>
    <s v="Late"/>
    <n v="28851.19"/>
    <n v="1581881.8199999998"/>
    <n v="3"/>
    <m/>
  </r>
  <r>
    <s v="SHP-00243"/>
    <s v="2025-02-17"/>
    <d v="2025-02-01T00:00:00"/>
    <s v="Highland Agro Processors"/>
    <x v="0"/>
    <x v="0"/>
    <s v="TRK-011"/>
    <s v="D. Said"/>
    <n v="291"/>
    <n v="130.78"/>
    <n v="38056.980000000003"/>
    <n v="533"/>
    <s v="2025-02-19"/>
    <d v="2025-02-01T00:00:00"/>
    <s v="2025-02-18"/>
    <s v="February 2025"/>
    <s v="On Time"/>
    <n v="31445.96"/>
    <n v="69502.94"/>
    <n v="-1"/>
    <m/>
  </r>
  <r>
    <s v="SHP-00244"/>
    <s v="2025-12-30"/>
    <d v="2025-12-01T00:00:00"/>
    <s v="Highland Agro Processors"/>
    <x v="1"/>
    <x v="0"/>
    <s v="TRK-030"/>
    <s v="P. Maina"/>
    <n v="2011"/>
    <n v="798.74"/>
    <n v="1606266.14"/>
    <n v="557"/>
    <s v="2026-01-01"/>
    <d v="2026-01-01T00:00:00"/>
    <s v="2026-01-05"/>
    <s v="January 2026"/>
    <s v="Late"/>
    <n v="23987.5"/>
    <n v="1630253.64"/>
    <n v="4"/>
    <m/>
  </r>
  <r>
    <s v="SHP-00245"/>
    <s v="2025-02-25"/>
    <d v="2025-02-01T00:00:00"/>
    <s v="CoastBuild Ltd"/>
    <x v="1"/>
    <x v="0"/>
    <s v="TRK-024"/>
    <s v="A. Hassan"/>
    <n v="725"/>
    <n v="802.87"/>
    <n v="582080.75"/>
    <n v="111"/>
    <s v="2025-02-26"/>
    <d v="2025-02-01T00:00:00"/>
    <s v="2025-02-26"/>
    <s v="February 2025"/>
    <s v="On Time"/>
    <n v="6739.03"/>
    <n v="588819.78"/>
    <n v="0"/>
    <m/>
  </r>
  <r>
    <s v="SHP-00246"/>
    <s v="2025-11-28"/>
    <d v="2025-11-01T00:00:00"/>
    <s v="Metro Packaging Ltd"/>
    <x v="4"/>
    <x v="3"/>
    <s v="TRK-019"/>
    <s v="E. Achieng"/>
    <n v="1551"/>
    <n v="616.16999999999996"/>
    <n v="955679.67"/>
    <n v="60"/>
    <s v="2025-11-29"/>
    <d v="2025-11-01T00:00:00"/>
    <s v="2025-12-01"/>
    <s v="December 2025"/>
    <s v="Late"/>
    <n v="3137.35"/>
    <n v="958817.02"/>
    <n v="2"/>
    <m/>
  </r>
  <r>
    <s v="SHP-00247"/>
    <s v="2025-11-12"/>
    <d v="2025-11-01T00:00:00"/>
    <s v="Lake Region Water Services"/>
    <x v="5"/>
    <x v="2"/>
    <s v="TRK-023"/>
    <s v="K. Barasa"/>
    <n v="1980"/>
    <n v="811.89"/>
    <n v="1607542.2"/>
    <n v="270"/>
    <s v="2025-11-13"/>
    <d v="2025-11-01T00:00:00"/>
    <s v="2025-11-13"/>
    <s v="November 2025"/>
    <s v="On Time"/>
    <n v="16404.5"/>
    <n v="1623946.7"/>
    <n v="0"/>
    <m/>
  </r>
  <r>
    <s v="SHP-00248"/>
    <s v="2025-05-30"/>
    <d v="2025-05-01T00:00:00"/>
    <s v="UrbanWorks Contractors"/>
    <x v="4"/>
    <x v="2"/>
    <s v="TRK-025"/>
    <s v="E. Achieng"/>
    <n v="2424"/>
    <n v="872.14"/>
    <n v="2114067.36"/>
    <n v="177"/>
    <s v="2025-05-31"/>
    <d v="2025-05-01T00:00:00"/>
    <s v="2025-06-03"/>
    <s v="June 2025"/>
    <s v="Late"/>
    <n v="9793.0400000000009"/>
    <n v="2123860.4"/>
    <n v="3"/>
    <m/>
  </r>
  <r>
    <s v="SHP-00249"/>
    <s v="2025-03-13"/>
    <d v="2025-03-01T00:00:00"/>
    <s v="CoastBuild Ltd"/>
    <x v="2"/>
    <x v="3"/>
    <s v="TRK-022"/>
    <s v="M. Otieno"/>
    <n v="260"/>
    <n v="566.11"/>
    <n v="147188.6"/>
    <n v="173"/>
    <s v="2025-03-14"/>
    <d v="2025-03-01T00:00:00"/>
    <s v="2025-03-14"/>
    <s v="March 2025"/>
    <s v="On Time"/>
    <n v="6303.32"/>
    <n v="153491.92000000001"/>
    <n v="0"/>
    <m/>
  </r>
  <r>
    <s v="SHP-00250"/>
    <s v="2025-09-06"/>
    <d v="2025-09-01T00:00:00"/>
    <s v="CoastBuild Ltd"/>
    <x v="5"/>
    <x v="3"/>
    <s v="TRK-014"/>
    <s v="D. Said"/>
    <n v="246"/>
    <n v="823.81"/>
    <n v="202657.26"/>
    <n v="257"/>
    <s v="2025-09-07"/>
    <d v="2025-09-01T00:00:00"/>
    <s v="2025-09-07"/>
    <s v="September 2025"/>
    <s v="On Time"/>
    <n v="11862.84"/>
    <n v="214520.1"/>
    <n v="0"/>
    <m/>
  </r>
  <r>
    <s v="SHP-00251"/>
    <s v="2025-12-11"/>
    <d v="2025-12-01T00:00:00"/>
    <s v="UrbanWorks Contractors"/>
    <x v="5"/>
    <x v="2"/>
    <s v="TRK-016"/>
    <s v="A. Hassan"/>
    <n v="928"/>
    <n v="571.94000000000005"/>
    <n v="530760.31999999995"/>
    <n v="468"/>
    <s v="2025-12-13"/>
    <d v="2025-12-01T00:00:00"/>
    <s v="2025-12-16"/>
    <s v="December 2025"/>
    <s v="Late"/>
    <n v="27447.17"/>
    <n v="558207.49"/>
    <n v="3"/>
    <m/>
  </r>
  <r>
    <s v="SHP-00252"/>
    <s v="2025-11-04"/>
    <d v="2025-11-01T00:00:00"/>
    <s v="Metro Packaging Ltd"/>
    <x v="4"/>
    <x v="3"/>
    <s v="TRK-010"/>
    <s v="P. Maina"/>
    <n v="645"/>
    <n v="495.6"/>
    <n v="319662"/>
    <n v="241"/>
    <s v="2025-11-05"/>
    <d v="2025-11-01T00:00:00"/>
    <s v="2025-11-07"/>
    <s v="November 2025"/>
    <s v="Late"/>
    <n v="12007.22"/>
    <n v="331669.21999999997"/>
    <n v="2"/>
    <m/>
  </r>
  <r>
    <s v="SHP-00253"/>
    <s v="2025-05-13"/>
    <d v="2025-05-01T00:00:00"/>
    <s v="Rift Valley Manufacturing"/>
    <x v="4"/>
    <x v="2"/>
    <s v="TRK-020"/>
    <s v="B. Kiprono"/>
    <n v="1824"/>
    <n v="119.92"/>
    <n v="218734.07999999999"/>
    <n v="284"/>
    <s v="2025-05-14"/>
    <d v="2025-05-01T00:00:00"/>
    <s v="2025-05-14"/>
    <s v="May 2025"/>
    <s v="On Time"/>
    <n v="16580.939999999999"/>
    <n v="235315.02"/>
    <n v="0"/>
    <m/>
  </r>
  <r>
    <s v="SHP-00254"/>
    <s v="2025-07-09"/>
    <d v="2025-07-01T00:00:00"/>
    <s v="Lake Region Water Services"/>
    <x v="0"/>
    <x v="3"/>
    <s v="TRK-017"/>
    <s v="B. Kiprono"/>
    <n v="646"/>
    <n v="675.62"/>
    <n v="436450.52"/>
    <n v="587"/>
    <s v="2025-07-11"/>
    <d v="2025-07-01T00:00:00"/>
    <s v="2025-07-14"/>
    <s v="July 2025"/>
    <s v="Late"/>
    <n v="27883.51"/>
    <n v="464334.03"/>
    <n v="3"/>
    <m/>
  </r>
  <r>
    <s v="SHP-00255"/>
    <s v="2025-10-04"/>
    <d v="2025-10-01T00:00:00"/>
    <s v="Rift Valley Manufacturing"/>
    <x v="3"/>
    <x v="3"/>
    <s v="TRK-026"/>
    <s v="M. Otieno"/>
    <n v="2059"/>
    <n v="635.54999999999995"/>
    <n v="1308597.45"/>
    <n v="253"/>
    <s v="2025-10-05"/>
    <d v="2025-10-01T00:00:00"/>
    <s v="2025-10-08"/>
    <s v="October 2025"/>
    <s v="Late"/>
    <n v="13127.55"/>
    <n v="1321725"/>
    <n v="3"/>
    <m/>
  </r>
  <r>
    <s v="SHP-00256"/>
    <s v="2025-08-30"/>
    <d v="2025-08-01T00:00:00"/>
    <s v="BlueWave Facilities"/>
    <x v="1"/>
    <x v="0"/>
    <s v="TRK-025"/>
    <s v="J. Mutua"/>
    <n v="1322"/>
    <n v="820.71"/>
    <n v="1084978.6200000001"/>
    <n v="380"/>
    <s v="2025-09-01"/>
    <d v="2025-09-01T00:00:00"/>
    <s v="2025-09-01"/>
    <s v="September 2025"/>
    <s v="On Time"/>
    <n v="19509.810000000001"/>
    <n v="1104488.4300000002"/>
    <n v="0"/>
    <m/>
  </r>
  <r>
    <s v="SHP-00257"/>
    <s v="2025-09-08"/>
    <d v="2025-09-01T00:00:00"/>
    <s v="Metro Packaging Ltd"/>
    <x v="3"/>
    <x v="1"/>
    <s v="TRK-010"/>
    <s v="A. Hassan"/>
    <n v="1913"/>
    <n v="527.52"/>
    <n v="1009145.76"/>
    <n v="448"/>
    <s v="2025-09-10"/>
    <d v="2025-09-01T00:00:00"/>
    <s v="2025-09-12"/>
    <s v="September 2025"/>
    <s v="Late"/>
    <n v="25723.88"/>
    <n v="1034869.64"/>
    <n v="2"/>
    <m/>
  </r>
  <r>
    <s v="SHP-00258"/>
    <s v="2025-05-15"/>
    <d v="2025-05-01T00:00:00"/>
    <s v="CoastBuild Ltd"/>
    <x v="2"/>
    <x v="1"/>
    <s v="TRK-030"/>
    <s v="L. Wekesa"/>
    <n v="203"/>
    <n v="690.48"/>
    <n v="140167.44"/>
    <n v="590"/>
    <s v="2025-05-17"/>
    <d v="2025-05-01T00:00:00"/>
    <s v="2025-05-19"/>
    <s v="May 2025"/>
    <s v="Late"/>
    <n v="32064.49"/>
    <n v="172231.93"/>
    <n v="2"/>
    <m/>
  </r>
  <r>
    <s v="SHP-00259"/>
    <s v="2025-06-29"/>
    <d v="2025-06-01T00:00:00"/>
    <s v="BlueWave Facilities"/>
    <x v="3"/>
    <x v="0"/>
    <s v="TRK-001"/>
    <s v="K. Barasa"/>
    <n v="1333"/>
    <n v="723.7"/>
    <n v="964692.1"/>
    <n v="190"/>
    <s v="2025-06-30"/>
    <d v="2025-06-01T00:00:00"/>
    <s v="2025-06-30"/>
    <s v="June 2025"/>
    <s v="On Time"/>
    <n v="8753.56"/>
    <n v="973445.66"/>
    <n v="0"/>
    <m/>
  </r>
  <r>
    <s v="SHP-00260"/>
    <s v="2025-07-04"/>
    <d v="2025-07-01T00:00:00"/>
    <s v="Rift Valley Manufacturing"/>
    <x v="5"/>
    <x v="1"/>
    <s v="TRK-005"/>
    <s v="M. Otieno"/>
    <n v="1755"/>
    <n v="767.92"/>
    <n v="1347699.6"/>
    <n v="352"/>
    <s v="2025-07-06"/>
    <d v="2025-07-01T00:00:00"/>
    <s v="2025-07-06"/>
    <s v="July 2025"/>
    <s v="On Time"/>
    <n v="13825.56"/>
    <n v="1361525.1600000001"/>
    <n v="0"/>
    <m/>
  </r>
  <r>
    <s v="SHP-00261"/>
    <s v="2025-06-22"/>
    <d v="2025-06-01T00:00:00"/>
    <s v="Rift Valley Manufacturing"/>
    <x v="4"/>
    <x v="3"/>
    <s v="TRK-029"/>
    <s v="J. Mutua"/>
    <n v="1733"/>
    <n v="257.19"/>
    <n v="445710.27"/>
    <n v="257"/>
    <s v="2025-06-23"/>
    <d v="2025-06-01T00:00:00"/>
    <s v="2025-06-25"/>
    <s v="June 2025"/>
    <s v="Late"/>
    <n v="11065.42"/>
    <n v="456775.69"/>
    <n v="2"/>
    <m/>
  </r>
  <r>
    <s v="SHP-00262"/>
    <s v="2025-10-28"/>
    <d v="2025-10-01T00:00:00"/>
    <s v="Metro Packaging Ltd"/>
    <x v="0"/>
    <x v="2"/>
    <s v="TRK-009"/>
    <s v="Not Found"/>
    <n v="865"/>
    <n v="603.63"/>
    <n v="522139.95"/>
    <n v="453"/>
    <s v="2025-10-30"/>
    <d v="2025-10-01T00:00:00"/>
    <s v="2025-11-02"/>
    <s v="November 2025"/>
    <s v="Late"/>
    <n v="22124.77"/>
    <n v="544264.72"/>
    <n v="3"/>
    <m/>
  </r>
  <r>
    <s v="SHP-00263"/>
    <s v="2025-11-19"/>
    <d v="2025-11-01T00:00:00"/>
    <s v="CoastBuild Ltd"/>
    <x v="5"/>
    <x v="0"/>
    <s v="TRK-028"/>
    <s v="K. Barasa"/>
    <n v="1210"/>
    <n v="214.67"/>
    <n v="259750.7"/>
    <n v="207"/>
    <s v="2025-11-20"/>
    <d v="2025-11-01T00:00:00"/>
    <s v="2025-11-20"/>
    <s v="November 2025"/>
    <s v="On Time"/>
    <n v="10416.24"/>
    <n v="270166.94"/>
    <n v="0"/>
    <m/>
  </r>
  <r>
    <s v="SHP-00264"/>
    <s v="2025-02-24"/>
    <d v="2025-02-01T00:00:00"/>
    <s v="Eastern Industrial Supplies"/>
    <x v="3"/>
    <x v="2"/>
    <s v="TRK-014"/>
    <s v="M. Otieno"/>
    <n v="1183"/>
    <n v="805.26"/>
    <n v="952622.58"/>
    <n v="511"/>
    <s v="2025-02-26"/>
    <d v="2025-02-01T00:00:00"/>
    <s v="2025-02-25"/>
    <s v="February 2025"/>
    <s v="On Time"/>
    <n v="28720.3"/>
    <n v="981342.88"/>
    <n v="-1"/>
    <m/>
  </r>
  <r>
    <s v="SHP-00265"/>
    <s v="2025-09-06"/>
    <d v="2025-09-01T00:00:00"/>
    <s v="Rift Valley Manufacturing"/>
    <x v="5"/>
    <x v="3"/>
    <s v="TRK-028"/>
    <s v="A. Hassan"/>
    <n v="2488"/>
    <n v="783.38"/>
    <n v="1949049.44"/>
    <n v="85"/>
    <s v="2025-09-07"/>
    <d v="2025-09-01T00:00:00"/>
    <s v="2025-09-06"/>
    <s v="September 2025"/>
    <s v="On Time"/>
    <n v="4858.6899999999996"/>
    <n v="1953908.13"/>
    <n v="-1"/>
    <m/>
  </r>
  <r>
    <s v="SHP-00266"/>
    <s v="2025-11-04"/>
    <d v="2025-11-01T00:00:00"/>
    <s v="Lake Region Water Services"/>
    <x v="3"/>
    <x v="2"/>
    <s v="TRK-029"/>
    <s v="D. Said"/>
    <n v="1475"/>
    <n v="484.23"/>
    <n v="714239.25"/>
    <n v="329"/>
    <s v="2025-11-05"/>
    <d v="2025-11-01T00:00:00"/>
    <s v="2025-11-06"/>
    <s v="November 2025"/>
    <s v="Late"/>
    <n v="11787.41"/>
    <n v="726026.66"/>
    <n v="1"/>
    <m/>
  </r>
  <r>
    <s v="SHP-00267"/>
    <s v="2025-04-15"/>
    <d v="2025-04-01T00:00:00"/>
    <s v="Eastern Industrial Supplies"/>
    <x v="4"/>
    <x v="3"/>
    <s v="TRK-012"/>
    <s v="S. Chebet"/>
    <n v="1633"/>
    <n v="672.94"/>
    <n v="1098911.02"/>
    <n v="713"/>
    <s v="2025-04-18"/>
    <d v="2025-04-01T00:00:00"/>
    <s v="2025-04-21"/>
    <s v="April 2025"/>
    <s v="Late"/>
    <n v="38729.94"/>
    <n v="1137640.96"/>
    <n v="3"/>
    <m/>
  </r>
  <r>
    <s v="SHP-00268"/>
    <s v="2025-02-15"/>
    <d v="2025-02-01T00:00:00"/>
    <s v="Lake Region Water Services"/>
    <x v="5"/>
    <x v="1"/>
    <s v="TRK-013"/>
    <s v="D. Said"/>
    <n v="364"/>
    <n v="211.85"/>
    <n v="77113.399999999994"/>
    <n v="442"/>
    <s v="2025-02-17"/>
    <d v="2025-02-01T00:00:00"/>
    <s v="2025-02-16"/>
    <s v="February 2025"/>
    <s v="On Time"/>
    <n v="17319.400000000001"/>
    <n v="94432.799999999988"/>
    <n v="-1"/>
    <m/>
  </r>
  <r>
    <s v="SHP-00269"/>
    <s v="2025-01-29"/>
    <d v="2025-01-01T00:00:00"/>
    <s v="Eastern Industrial Supplies"/>
    <x v="0"/>
    <x v="1"/>
    <s v="TRK-026"/>
    <s v="P. Maina"/>
    <n v="455"/>
    <n v="453.51"/>
    <n v="206347.05"/>
    <n v="399"/>
    <s v="2025-01-31"/>
    <d v="2025-01-01T00:00:00"/>
    <s v="2025-02-02"/>
    <s v="February 2025"/>
    <s v="Late"/>
    <n v="16992.349999999999"/>
    <n v="223339.4"/>
    <n v="2"/>
    <m/>
  </r>
  <r>
    <s v="SHP-00270"/>
    <s v="2025-03-16"/>
    <d v="2025-03-01T00:00:00"/>
    <s v="Lake Region Water Services"/>
    <x v="5"/>
    <x v="0"/>
    <s v="TRK-023"/>
    <s v="K. Barasa"/>
    <n v="813"/>
    <n v="236.09"/>
    <n v="191941.17"/>
    <n v="363"/>
    <s v="2025-03-18"/>
    <d v="2025-03-01T00:00:00"/>
    <s v="2025-03-18"/>
    <s v="March 2025"/>
    <s v="On Time"/>
    <n v="13116.94"/>
    <n v="205058.11000000002"/>
    <n v="0"/>
    <m/>
  </r>
  <r>
    <s v="SHP-00271"/>
    <s v="2025-05-22"/>
    <d v="2025-05-01T00:00:00"/>
    <s v="Lake Region Water Services"/>
    <x v="5"/>
    <x v="1"/>
    <s v="TRK-030"/>
    <s v="B. Kiprono"/>
    <n v="688"/>
    <n v="180.13"/>
    <n v="123929.44"/>
    <n v="537"/>
    <s v="2025-05-24"/>
    <d v="2025-05-01T00:00:00"/>
    <s v="2025-05-28"/>
    <s v="May 2025"/>
    <s v="Late"/>
    <n v="27327.86"/>
    <n v="151257.29999999999"/>
    <n v="4"/>
    <m/>
  </r>
  <r>
    <s v="SHP-00272"/>
    <s v="2025-04-28"/>
    <d v="2025-04-01T00:00:00"/>
    <s v="BlueWave Facilities"/>
    <x v="2"/>
    <x v="1"/>
    <s v="TRK-006"/>
    <s v="B. Kiprono"/>
    <n v="1318"/>
    <n v="769.48"/>
    <n v="1014174.64"/>
    <n v="388"/>
    <s v="2025-04-30"/>
    <d v="2025-04-01T00:00:00"/>
    <s v="2025-04-29"/>
    <s v="April 2025"/>
    <s v="On Time"/>
    <n v="22387.99"/>
    <n v="1036562.63"/>
    <n v="-1"/>
    <m/>
  </r>
  <r>
    <s v="SHP-00273"/>
    <s v="2025-06-13"/>
    <d v="2025-06-01T00:00:00"/>
    <s v="UrbanWorks Contractors"/>
    <x v="3"/>
    <x v="3"/>
    <s v="TRK-028"/>
    <s v="A. Hassan"/>
    <n v="1347"/>
    <n v="97.27"/>
    <n v="131022.69"/>
    <n v="160"/>
    <s v="2025-06-14"/>
    <d v="2025-06-01T00:00:00"/>
    <s v="2025-06-14"/>
    <s v="June 2025"/>
    <s v="On Time"/>
    <n v="9046.6"/>
    <n v="140069.29"/>
    <n v="0"/>
    <m/>
  </r>
  <r>
    <s v="SHP-00274"/>
    <s v="2025-10-28"/>
    <d v="2025-10-01T00:00:00"/>
    <s v="BlueWave Facilities"/>
    <x v="0"/>
    <x v="3"/>
    <s v="TRK-029"/>
    <s v="P. Maina"/>
    <n v="1189"/>
    <n v="798.59"/>
    <n v="949523.51"/>
    <n v="408"/>
    <s v="2025-10-30"/>
    <d v="2025-10-01T00:00:00"/>
    <s v="2025-10-30"/>
    <s v="October 2025"/>
    <s v="On Time"/>
    <n v="15752.62"/>
    <n v="965276.13"/>
    <n v="0"/>
    <m/>
  </r>
  <r>
    <s v="SHP-00275"/>
    <s v="2025-09-20"/>
    <d v="2025-09-01T00:00:00"/>
    <s v="BlueWave Facilities"/>
    <x v="5"/>
    <x v="3"/>
    <s v="TRK-009"/>
    <s v="S. Chebet"/>
    <n v="2405"/>
    <n v="134.6"/>
    <n v="323713"/>
    <n v="405"/>
    <s v="2025-09-22"/>
    <d v="2025-09-01T00:00:00"/>
    <s v="2025-09-22"/>
    <s v="September 2025"/>
    <s v="On Time"/>
    <n v="20676.8"/>
    <n v="344389.8"/>
    <n v="0"/>
    <m/>
  </r>
  <r>
    <s v="SHP-00276"/>
    <s v="2025-08-24"/>
    <d v="2025-08-01T00:00:00"/>
    <s v="CoastBuild Ltd"/>
    <x v="4"/>
    <x v="0"/>
    <s v="TRK-022"/>
    <s v="S. Chebet"/>
    <n v="2005"/>
    <n v="709.49"/>
    <n v="1422527.45"/>
    <n v="576"/>
    <s v="2025-08-26"/>
    <d v="2025-08-01T00:00:00"/>
    <s v="2025-08-26"/>
    <s v="August 2025"/>
    <s v="On Time"/>
    <n v="20305.169999999998"/>
    <n v="1442832.6199999999"/>
    <n v="0"/>
    <m/>
  </r>
  <r>
    <s v="SHP-00277"/>
    <s v="2025-02-20"/>
    <d v="2025-02-01T00:00:00"/>
    <s v="Rift Valley Manufacturing"/>
    <x v="0"/>
    <x v="0"/>
    <s v="TRK-016"/>
    <s v="Not Found"/>
    <n v="1880"/>
    <n v="303.5"/>
    <n v="570580"/>
    <n v="234"/>
    <s v="2025-02-21"/>
    <d v="2025-02-01T00:00:00"/>
    <s v="2025-02-24"/>
    <s v="February 2025"/>
    <s v="Late"/>
    <n v="13353.53"/>
    <n v="583933.53"/>
    <n v="3"/>
    <m/>
  </r>
  <r>
    <s v="SHP-00278"/>
    <s v="2025-08-23"/>
    <d v="2025-08-01T00:00:00"/>
    <s v="UrbanWorks Contractors"/>
    <x v="1"/>
    <x v="3"/>
    <s v="TRK-001"/>
    <s v="A. Hassan"/>
    <n v="2200"/>
    <n v="84.28"/>
    <n v="185416"/>
    <n v="95"/>
    <s v="2025-08-24"/>
    <d v="2025-08-01T00:00:00"/>
    <s v="2025-08-24"/>
    <s v="August 2025"/>
    <s v="On Time"/>
    <n v="3964.55"/>
    <n v="189380.55"/>
    <n v="0"/>
    <m/>
  </r>
  <r>
    <s v="SHP-00279"/>
    <s v="2025-02-04"/>
    <d v="2025-02-01T00:00:00"/>
    <s v="BlueWave Facilities"/>
    <x v="0"/>
    <x v="0"/>
    <s v="TRK-003"/>
    <s v="D. Said"/>
    <n v="705"/>
    <n v="517.53"/>
    <n v="364858.65"/>
    <n v="29"/>
    <s v="2025-02-05"/>
    <d v="2025-02-01T00:00:00"/>
    <s v="2025-02-07"/>
    <s v="February 2025"/>
    <s v="Late"/>
    <n v="1669.61"/>
    <n v="366528.26"/>
    <n v="2"/>
    <m/>
  </r>
  <r>
    <s v="SHP-00280"/>
    <s v="2025-03-25"/>
    <d v="2025-03-01T00:00:00"/>
    <s v="Highland Agro Processors"/>
    <x v="1"/>
    <x v="2"/>
    <s v="TRK-009"/>
    <s v="K. Barasa"/>
    <n v="1747"/>
    <n v="553.15"/>
    <n v="966353.05"/>
    <n v="578"/>
    <s v="2025-03-27"/>
    <d v="2025-03-01T00:00:00"/>
    <s v="2025-03-26"/>
    <s v="March 2025"/>
    <s v="On Time"/>
    <n v="24352.98"/>
    <n v="990706.03"/>
    <n v="-1"/>
    <m/>
  </r>
  <r>
    <s v="SHP-00281"/>
    <s v="2025-03-03"/>
    <d v="2025-03-01T00:00:00"/>
    <s v="Metro Packaging Ltd"/>
    <x v="2"/>
    <x v="1"/>
    <s v="TRK-013"/>
    <s v="L. Wekesa"/>
    <n v="189"/>
    <n v="615.65"/>
    <n v="116357.85"/>
    <n v="389"/>
    <s v="2025-03-05"/>
    <d v="2025-03-01T00:00:00"/>
    <s v="2025-03-05"/>
    <s v="March 2025"/>
    <s v="On Time"/>
    <n v="18401.64"/>
    <n v="134759.49"/>
    <n v="0"/>
    <m/>
  </r>
  <r>
    <s v="SHP-00282"/>
    <s v="2025-07-05"/>
    <d v="2025-07-01T00:00:00"/>
    <s v="Rift Valley Manufacturing"/>
    <x v="0"/>
    <x v="1"/>
    <s v="TRK-026"/>
    <s v="B. Kiprono"/>
    <n v="1172"/>
    <n v="83.97"/>
    <n v="98412.84"/>
    <n v="387"/>
    <s v="2025-07-07"/>
    <d v="2025-07-01T00:00:00"/>
    <s v="2025-07-08"/>
    <s v="July 2025"/>
    <s v="Late"/>
    <n v="14331.64"/>
    <n v="112744.48"/>
    <n v="1"/>
    <m/>
  </r>
  <r>
    <s v="SHP-00283"/>
    <s v="2025-06-03"/>
    <d v="2025-06-01T00:00:00"/>
    <s v="BlueWave Facilities"/>
    <x v="5"/>
    <x v="1"/>
    <s v="TRK-015"/>
    <s v="S. Chebet"/>
    <n v="1687"/>
    <n v="309.08"/>
    <n v="521417.96"/>
    <n v="621"/>
    <s v="2025-06-05"/>
    <d v="2025-06-01T00:00:00"/>
    <s v="2025-06-05"/>
    <s v="June 2025"/>
    <s v="On Time"/>
    <n v="26939.5"/>
    <n v="548357.46"/>
    <n v="0"/>
    <m/>
  </r>
  <r>
    <s v="SHP-00284"/>
    <s v="2025-12-20"/>
    <d v="2025-12-01T00:00:00"/>
    <s v="Rift Valley Manufacturing"/>
    <x v="0"/>
    <x v="3"/>
    <s v="TRK-004"/>
    <s v="P. Maina"/>
    <n v="1751"/>
    <n v="250.76"/>
    <n v="439080.76"/>
    <n v="67"/>
    <s v="2025-12-21"/>
    <d v="2025-12-01T00:00:00"/>
    <s v="2025-12-22"/>
    <s v="December 2025"/>
    <s v="Late"/>
    <n v="3790.78"/>
    <n v="442871.54000000004"/>
    <n v="1"/>
    <m/>
  </r>
  <r>
    <s v="SHP-00285"/>
    <s v="2025-04-19"/>
    <d v="2025-04-01T00:00:00"/>
    <s v="UrbanWorks Contractors"/>
    <x v="5"/>
    <x v="3"/>
    <s v="TRK-027"/>
    <s v="Not Found"/>
    <n v="994"/>
    <n v="85.02"/>
    <n v="84509.88"/>
    <n v="534"/>
    <s v="2025-04-21"/>
    <d v="2025-04-01T00:00:00"/>
    <s v="2025-04-25"/>
    <s v="April 2025"/>
    <s v="Late"/>
    <n v="21876.7"/>
    <n v="106386.58"/>
    <n v="4"/>
    <m/>
  </r>
  <r>
    <s v="SHP-00286"/>
    <s v="2025-09-05"/>
    <d v="2025-09-01T00:00:00"/>
    <s v="Eastern Industrial Supplies"/>
    <x v="2"/>
    <x v="0"/>
    <s v="TRK-021"/>
    <s v="D. Said"/>
    <n v="1902"/>
    <n v="339.93"/>
    <n v="646546.86"/>
    <n v="603"/>
    <s v="2025-09-07"/>
    <d v="2025-09-01T00:00:00"/>
    <s v="2025-09-08"/>
    <s v="September 2025"/>
    <s v="Late"/>
    <n v="29884.21"/>
    <n v="676431.07"/>
    <n v="1"/>
    <m/>
  </r>
  <r>
    <s v="SHP-00287"/>
    <s v="2025-04-02"/>
    <d v="2025-04-01T00:00:00"/>
    <s v="Highland Agro Processors"/>
    <x v="3"/>
    <x v="3"/>
    <s v="TRK-027"/>
    <s v="L. Wekesa"/>
    <n v="2077"/>
    <n v="332.74"/>
    <n v="691100.98"/>
    <n v="455"/>
    <s v="2025-04-04"/>
    <d v="2025-04-01T00:00:00"/>
    <s v="2025-04-03"/>
    <s v="April 2025"/>
    <s v="On Time"/>
    <n v="20568.919999999998"/>
    <n v="711669.9"/>
    <n v="-1"/>
    <m/>
  </r>
  <r>
    <s v="SHP-00288"/>
    <s v="2025-07-15"/>
    <d v="2025-07-01T00:00:00"/>
    <s v="BlueWave Facilities"/>
    <x v="3"/>
    <x v="1"/>
    <s v="TRK-023"/>
    <s v="S. Chebet"/>
    <n v="2378"/>
    <n v="458.19"/>
    <n v="1089575.82"/>
    <n v="470"/>
    <s v="2025-07-17"/>
    <d v="2025-07-01T00:00:00"/>
    <s v="2025-07-21"/>
    <s v="July 2025"/>
    <s v="Late"/>
    <n v="27971.83"/>
    <n v="1117547.6500000001"/>
    <n v="4"/>
    <m/>
  </r>
  <r>
    <s v="SHP-00289"/>
    <s v="2025-12-24"/>
    <d v="2025-12-01T00:00:00"/>
    <s v="BlueWave Facilities"/>
    <x v="5"/>
    <x v="3"/>
    <s v="TRK-025"/>
    <s v="L. Wekesa"/>
    <n v="1451"/>
    <n v="366.72"/>
    <n v="532110.72"/>
    <n v="554"/>
    <s v="2025-12-26"/>
    <d v="2025-12-01T00:00:00"/>
    <s v="2025-12-29"/>
    <s v="December 2025"/>
    <s v="Late"/>
    <n v="31638.27"/>
    <n v="563748.99"/>
    <n v="3"/>
    <m/>
  </r>
  <r>
    <s v="SHP-00290"/>
    <s v="2025-07-05"/>
    <d v="2025-07-01T00:00:00"/>
    <s v="CoastBuild Ltd"/>
    <x v="3"/>
    <x v="2"/>
    <s v="TRK-027"/>
    <s v="J. Mutua"/>
    <n v="1166"/>
    <n v="146.62"/>
    <n v="170958.92"/>
    <n v="434"/>
    <s v="2025-07-07"/>
    <d v="2025-07-01T00:00:00"/>
    <s v="2025-07-06"/>
    <s v="July 2025"/>
    <s v="On Time"/>
    <n v="21033.39"/>
    <n v="191992.31"/>
    <n v="-1"/>
    <m/>
  </r>
  <r>
    <s v="SHP-00291"/>
    <s v="2025-08-14"/>
    <d v="2025-08-01T00:00:00"/>
    <s v="Highland Agro Processors"/>
    <x v="4"/>
    <x v="3"/>
    <s v="TRK-002"/>
    <s v="A. Hassan"/>
    <n v="1656"/>
    <n v="775.3"/>
    <n v="1283896.8"/>
    <n v="282"/>
    <s v="2025-08-15"/>
    <d v="2025-08-01T00:00:00"/>
    <s v="2025-08-18"/>
    <s v="August 2025"/>
    <s v="Late"/>
    <n v="15224.46"/>
    <n v="1299121.26"/>
    <n v="3"/>
    <m/>
  </r>
  <r>
    <s v="SHP-00292"/>
    <s v="2025-12-02"/>
    <d v="2025-12-01T00:00:00"/>
    <s v="BlueWave Facilities"/>
    <x v="1"/>
    <x v="1"/>
    <s v="TRK-004"/>
    <s v="J. Mutua"/>
    <n v="74"/>
    <n v="580.32000000000005"/>
    <n v="42943.68"/>
    <n v="396"/>
    <s v="2025-12-04"/>
    <d v="2025-12-01T00:00:00"/>
    <s v="2025-12-04"/>
    <s v="December 2025"/>
    <s v="On Time"/>
    <n v="22662.639999999999"/>
    <n v="65606.320000000007"/>
    <n v="0"/>
    <m/>
  </r>
  <r>
    <s v="SHP-00293"/>
    <s v="2025-07-07"/>
    <d v="2025-07-01T00:00:00"/>
    <s v="Metro Packaging Ltd"/>
    <x v="1"/>
    <x v="3"/>
    <s v="TRK-030"/>
    <s v="P. Maina"/>
    <n v="1873"/>
    <n v="856.2"/>
    <n v="1603662.6"/>
    <n v="342"/>
    <s v="2025-07-08"/>
    <d v="2025-07-01T00:00:00"/>
    <s v="2025-07-08"/>
    <s v="July 2025"/>
    <s v="On Time"/>
    <n v="20080.990000000002"/>
    <n v="1623743.59"/>
    <n v="0"/>
    <m/>
  </r>
  <r>
    <s v="SHP-00294"/>
    <s v="2025-02-16"/>
    <d v="2025-02-01T00:00:00"/>
    <s v="Metro Packaging Ltd"/>
    <x v="0"/>
    <x v="0"/>
    <s v="TRK-023"/>
    <s v="S. Chebet"/>
    <n v="2105"/>
    <n v="789.78"/>
    <n v="1662486.9"/>
    <n v="571"/>
    <s v="2025-02-18"/>
    <d v="2025-02-01T00:00:00"/>
    <s v="2025-02-22"/>
    <s v="February 2025"/>
    <s v="Late"/>
    <n v="22664.89"/>
    <n v="1685151.7899999998"/>
    <n v="4"/>
    <m/>
  </r>
  <r>
    <s v="SHP-00295"/>
    <s v="2025-06-04"/>
    <d v="2025-06-01T00:00:00"/>
    <s v="Rift Valley Manufacturing"/>
    <x v="0"/>
    <x v="3"/>
    <s v="TRK-030"/>
    <s v="B. Kiprono"/>
    <n v="953"/>
    <n v="434.87"/>
    <n v="414431.11"/>
    <n v="197"/>
    <s v="2025-06-05"/>
    <d v="2025-06-01T00:00:00"/>
    <s v="2025-06-09"/>
    <s v="June 2025"/>
    <s v="Late"/>
    <n v="11557.94"/>
    <n v="425989.05"/>
    <n v="4"/>
    <m/>
  </r>
  <r>
    <s v="SHP-00296"/>
    <s v="2025-06-18"/>
    <d v="2025-06-01T00:00:00"/>
    <s v="Rift Valley Manufacturing"/>
    <x v="0"/>
    <x v="1"/>
    <s v="TRK-022"/>
    <s v="B. Kiprono"/>
    <n v="2286"/>
    <n v="288.3"/>
    <n v="659053.80000000005"/>
    <n v="536"/>
    <s v="2025-06-20"/>
    <d v="2025-06-01T00:00:00"/>
    <s v="2025-06-20"/>
    <s v="June 2025"/>
    <s v="On Time"/>
    <n v="18841.04"/>
    <n v="677894.84000000008"/>
    <n v="0"/>
    <m/>
  </r>
  <r>
    <s v="SHP-00297"/>
    <s v="2025-10-02"/>
    <d v="2025-10-01T00:00:00"/>
    <s v="Lake Region Water Services"/>
    <x v="0"/>
    <x v="3"/>
    <s v="TRK-017"/>
    <s v="K. Barasa"/>
    <n v="1959"/>
    <n v="897.15"/>
    <n v="1757516.85"/>
    <n v="566"/>
    <s v="2025-10-04"/>
    <d v="2025-10-01T00:00:00"/>
    <s v="2025-10-04"/>
    <s v="October 2025"/>
    <s v="On Time"/>
    <n v="21278.25"/>
    <n v="1778795.1"/>
    <n v="0"/>
    <m/>
  </r>
  <r>
    <s v="SHP-00298"/>
    <s v="2025-04-26"/>
    <d v="2025-04-01T00:00:00"/>
    <s v="UrbanWorks Contractors"/>
    <x v="2"/>
    <x v="1"/>
    <s v="TRK-030"/>
    <s v="E. Achieng"/>
    <n v="702"/>
    <n v="474.32"/>
    <n v="332972.64"/>
    <n v="520"/>
    <s v="2025-04-28"/>
    <d v="2025-04-01T00:00:00"/>
    <s v="2025-05-01"/>
    <s v="May 2025"/>
    <s v="Late"/>
    <n v="21362.400000000001"/>
    <n v="354335.04000000004"/>
    <n v="3"/>
    <m/>
  </r>
  <r>
    <s v="SHP-00299"/>
    <s v="2025-04-07"/>
    <d v="2025-04-01T00:00:00"/>
    <s v="Lake Region Water Services"/>
    <x v="4"/>
    <x v="0"/>
    <s v="TRK-024"/>
    <s v="A. Hassan"/>
    <n v="117"/>
    <n v="77.680000000000007"/>
    <n v="9088.56"/>
    <n v="675"/>
    <s v="2025-04-09"/>
    <d v="2025-04-01T00:00:00"/>
    <s v="2025-04-12"/>
    <s v="April 2025"/>
    <s v="Late"/>
    <n v="39787.040000000001"/>
    <n v="48875.6"/>
    <n v="3"/>
    <m/>
  </r>
  <r>
    <s v="SHP-00300"/>
    <s v="2025-09-28"/>
    <d v="2025-09-01T00:00:00"/>
    <s v="Rift Valley Manufacturing"/>
    <x v="0"/>
    <x v="2"/>
    <s v="TRK-017"/>
    <s v="P. Maina"/>
    <n v="1606"/>
    <n v="389.69"/>
    <n v="625842.14"/>
    <n v="213"/>
    <s v="2025-09-29"/>
    <d v="2025-09-01T00:00:00"/>
    <s v="2025-09-29"/>
    <s v="September 2025"/>
    <s v="On Time"/>
    <n v="12458.52"/>
    <n v="638300.66"/>
    <n v="0"/>
    <m/>
  </r>
  <r>
    <s v="SHP-00301"/>
    <s v="2025-04-23"/>
    <d v="2025-04-01T00:00:00"/>
    <s v="UrbanWorks Contractors"/>
    <x v="2"/>
    <x v="0"/>
    <s v="TRK-009"/>
    <s v="P. Maina"/>
    <n v="1242"/>
    <n v="238.4"/>
    <n v="296092.79999999999"/>
    <n v="31"/>
    <s v="2025-04-24"/>
    <d v="2025-04-01T00:00:00"/>
    <s v="2025-04-28"/>
    <s v="April 2025"/>
    <s v="Late"/>
    <n v="1127.1400000000001"/>
    <n v="297219.94"/>
    <n v="4"/>
    <m/>
  </r>
  <r>
    <s v="SHP-00302"/>
    <s v="2025-06-04"/>
    <d v="2025-06-01T00:00:00"/>
    <s v="Highland Agro Processors"/>
    <x v="3"/>
    <x v="1"/>
    <s v="TRK-026"/>
    <s v="A. Hassan"/>
    <n v="81"/>
    <n v="201.46"/>
    <n v="16318.26"/>
    <n v="87"/>
    <s v="2025-06-05"/>
    <d v="2025-06-01T00:00:00"/>
    <s v="2025-06-07"/>
    <s v="June 2025"/>
    <s v="Late"/>
    <n v="3885.31"/>
    <n v="20203.57"/>
    <n v="2"/>
    <m/>
  </r>
  <r>
    <s v="SHP-00303"/>
    <s v="2025-11-21"/>
    <d v="2025-11-01T00:00:00"/>
    <s v="Lake Region Water Services"/>
    <x v="0"/>
    <x v="2"/>
    <s v="TRK-027"/>
    <s v="E. Achieng"/>
    <n v="218"/>
    <n v="777.02"/>
    <n v="169390.36"/>
    <n v="63"/>
    <s v="2025-11-22"/>
    <d v="2025-11-01T00:00:00"/>
    <s v="2025-11-23"/>
    <s v="November 2025"/>
    <s v="Late"/>
    <n v="2346.67"/>
    <n v="171737.03"/>
    <n v="1"/>
    <m/>
  </r>
  <r>
    <s v="SHP-00304"/>
    <s v="2025-12-10"/>
    <d v="2025-12-01T00:00:00"/>
    <s v="Highland Agro Processors"/>
    <x v="4"/>
    <x v="0"/>
    <s v="TRK-007"/>
    <s v="L. Wekesa"/>
    <n v="284"/>
    <n v="729.32"/>
    <n v="207126.88"/>
    <n v="382"/>
    <s v="2025-12-12"/>
    <d v="2025-12-01T00:00:00"/>
    <s v="2025-12-12"/>
    <s v="December 2025"/>
    <s v="On Time"/>
    <n v="20891.39"/>
    <n v="228018.27000000002"/>
    <n v="0"/>
    <m/>
  </r>
  <r>
    <s v="SHP-00305"/>
    <s v="2025-09-07"/>
    <d v="2025-09-01T00:00:00"/>
    <s v="Eastern Industrial Supplies"/>
    <x v="4"/>
    <x v="2"/>
    <s v="TRK-030"/>
    <s v="A. Hassan"/>
    <n v="212"/>
    <n v="144.59"/>
    <n v="30653.08"/>
    <n v="50"/>
    <s v="2025-09-08"/>
    <d v="2025-09-01T00:00:00"/>
    <s v="2025-09-12"/>
    <s v="September 2025"/>
    <s v="Late"/>
    <n v="2255.64"/>
    <n v="32908.720000000001"/>
    <n v="4"/>
    <m/>
  </r>
  <r>
    <s v="SHP-00306"/>
    <s v="2025-06-06"/>
    <d v="2025-06-01T00:00:00"/>
    <s v="Lake Region Water Services"/>
    <x v="2"/>
    <x v="2"/>
    <s v="TRK-023"/>
    <s v="M. Otieno"/>
    <n v="209"/>
    <n v="504.59"/>
    <n v="105459.31"/>
    <n v="31"/>
    <s v="2025-06-07"/>
    <d v="2025-06-01T00:00:00"/>
    <s v="2025-06-08"/>
    <s v="June 2025"/>
    <s v="Late"/>
    <n v="1250.53"/>
    <n v="106709.84"/>
    <n v="1"/>
    <m/>
  </r>
  <r>
    <s v="SHP-00307"/>
    <s v="2025-07-19"/>
    <d v="2025-07-01T00:00:00"/>
    <s v="Highland Agro Processors"/>
    <x v="2"/>
    <x v="1"/>
    <s v="TRK-019"/>
    <s v="B. Kiprono"/>
    <n v="2120"/>
    <n v="759.06"/>
    <n v="1609207.2"/>
    <n v="524"/>
    <s v="2025-07-21"/>
    <d v="2025-07-01T00:00:00"/>
    <s v="2025-07-25"/>
    <s v="July 2025"/>
    <s v="Late"/>
    <n v="20168.64"/>
    <n v="1629375.8399999999"/>
    <n v="4"/>
    <m/>
  </r>
  <r>
    <s v="SHP-00308"/>
    <s v="2025-01-16"/>
    <d v="2025-01-01T00:00:00"/>
    <s v="UrbanWorks Contractors"/>
    <x v="4"/>
    <x v="2"/>
    <s v="TRK-029"/>
    <s v="P. Maina"/>
    <n v="951"/>
    <n v="558.27"/>
    <n v="530914.77"/>
    <n v="449"/>
    <s v="2025-01-18"/>
    <d v="2025-01-01T00:00:00"/>
    <s v="2025-01-18"/>
    <s v="January 2025"/>
    <s v="On Time"/>
    <n v="27256.7"/>
    <n v="558171.47"/>
    <n v="0"/>
    <m/>
  </r>
  <r>
    <s v="SHP-00309"/>
    <s v="2025-07-23"/>
    <d v="2025-07-01T00:00:00"/>
    <s v="CoastBuild Ltd"/>
    <x v="2"/>
    <x v="3"/>
    <s v="TRK-001"/>
    <s v="P. Maina"/>
    <n v="1058"/>
    <n v="697.08"/>
    <n v="737510.64"/>
    <n v="348"/>
    <s v="2025-07-24"/>
    <d v="2025-07-01T00:00:00"/>
    <s v="2025-07-27"/>
    <s v="July 2025"/>
    <s v="Late"/>
    <n v="12183.92"/>
    <n v="749694.56"/>
    <n v="3"/>
    <m/>
  </r>
  <r>
    <s v="SHP-00310"/>
    <s v="2025-03-25"/>
    <d v="2025-03-01T00:00:00"/>
    <s v="Lake Region Water Services"/>
    <x v="5"/>
    <x v="3"/>
    <s v="TRK-007"/>
    <s v="J. Mutua"/>
    <n v="187"/>
    <n v="356.55"/>
    <n v="66674.850000000006"/>
    <n v="108"/>
    <s v="2025-03-26"/>
    <d v="2025-03-01T00:00:00"/>
    <s v="2025-03-25"/>
    <s v="March 2025"/>
    <s v="On Time"/>
    <n v="4706.82"/>
    <n v="71381.670000000013"/>
    <n v="-1"/>
    <m/>
  </r>
  <r>
    <s v="SHP-00311"/>
    <s v="2025-07-05"/>
    <d v="2025-07-01T00:00:00"/>
    <s v="Lake Region Water Services"/>
    <x v="3"/>
    <x v="2"/>
    <s v="TRK-005"/>
    <s v="K. Barasa"/>
    <n v="650"/>
    <n v="49.63"/>
    <n v="32259.5"/>
    <n v="683"/>
    <s v="2025-07-07"/>
    <d v="2025-07-01T00:00:00"/>
    <s v="2025-07-07"/>
    <s v="July 2025"/>
    <s v="On Time"/>
    <n v="35729.18"/>
    <n v="67988.679999999993"/>
    <n v="0"/>
    <m/>
  </r>
  <r>
    <s v="SHP-00312"/>
    <s v="2025-04-24"/>
    <d v="2025-04-01T00:00:00"/>
    <s v="Eastern Industrial Supplies"/>
    <x v="1"/>
    <x v="3"/>
    <s v="TRK-012"/>
    <s v="D. Said"/>
    <n v="1827"/>
    <n v="270.25"/>
    <n v="493746.75"/>
    <n v="209"/>
    <s v="2025-04-25"/>
    <d v="2025-04-01T00:00:00"/>
    <s v="2025-04-29"/>
    <s v="April 2025"/>
    <s v="Late"/>
    <n v="8390.1"/>
    <n v="502136.85"/>
    <n v="4"/>
    <m/>
  </r>
  <r>
    <s v="SHP-00313"/>
    <s v="2025-11-13"/>
    <d v="2025-11-01T00:00:00"/>
    <s v="Rift Valley Manufacturing"/>
    <x v="2"/>
    <x v="0"/>
    <s v="TRK-024"/>
    <s v="E. Achieng"/>
    <n v="498"/>
    <n v="425.51"/>
    <n v="211903.98"/>
    <n v="502"/>
    <s v="2025-11-15"/>
    <d v="2025-11-01T00:00:00"/>
    <s v="2025-11-14"/>
    <s v="November 2025"/>
    <s v="On Time"/>
    <n v="26246.880000000001"/>
    <n v="238150.86000000002"/>
    <n v="-1"/>
    <m/>
  </r>
  <r>
    <s v="SHP-00314"/>
    <s v="2025-04-07"/>
    <d v="2025-04-01T00:00:00"/>
    <s v="UrbanWorks Contractors"/>
    <x v="1"/>
    <x v="2"/>
    <s v="TRK-023"/>
    <s v="K. Barasa"/>
    <n v="1550"/>
    <n v="600.89"/>
    <n v="931379.5"/>
    <n v="294"/>
    <s v="2025-04-08"/>
    <d v="2025-04-01T00:00:00"/>
    <s v="2025-04-12"/>
    <s v="April 2025"/>
    <s v="Late"/>
    <n v="16110.18"/>
    <n v="947489.68"/>
    <n v="4"/>
    <m/>
  </r>
  <r>
    <s v="SHP-00315"/>
    <s v="2025-10-07"/>
    <d v="2025-10-01T00:00:00"/>
    <s v="UrbanWorks Contractors"/>
    <x v="0"/>
    <x v="1"/>
    <s v="TRK-026"/>
    <s v="S. Chebet"/>
    <n v="2022"/>
    <n v="661.42"/>
    <n v="1337391.24"/>
    <n v="155"/>
    <s v="2025-10-08"/>
    <d v="2025-10-01T00:00:00"/>
    <s v="2025-10-08"/>
    <s v="October 2025"/>
    <s v="On Time"/>
    <n v="5831.07"/>
    <n v="1343222.31"/>
    <n v="0"/>
    <m/>
  </r>
  <r>
    <s v="SHP-00316"/>
    <s v="2025-07-20"/>
    <d v="2025-07-01T00:00:00"/>
    <s v="CoastBuild Ltd"/>
    <x v="5"/>
    <x v="2"/>
    <s v="TRK-007"/>
    <s v="B. Kiprono"/>
    <n v="1156"/>
    <n v="81.89"/>
    <n v="94664.84"/>
    <n v="204"/>
    <s v="2025-07-21"/>
    <d v="2025-07-01T00:00:00"/>
    <s v="2025-07-23"/>
    <s v="July 2025"/>
    <s v="Late"/>
    <n v="10234.65"/>
    <n v="104899.48999999999"/>
    <n v="2"/>
    <m/>
  </r>
  <r>
    <s v="SHP-00317"/>
    <s v="2025-12-03"/>
    <d v="2025-12-01T00:00:00"/>
    <s v="BlueWave Facilities"/>
    <x v="1"/>
    <x v="2"/>
    <s v="TRK-025"/>
    <s v="B. Kiprono"/>
    <n v="886"/>
    <n v="532.80999999999995"/>
    <n v="472069.66"/>
    <n v="211"/>
    <s v="2025-12-04"/>
    <d v="2025-12-01T00:00:00"/>
    <s v="2025-12-05"/>
    <s v="December 2025"/>
    <s v="Late"/>
    <n v="10006.790000000001"/>
    <n v="482076.44999999995"/>
    <n v="1"/>
    <m/>
  </r>
  <r>
    <s v="SHP-00318"/>
    <s v="2025-12-20"/>
    <d v="2025-12-01T00:00:00"/>
    <s v="Metro Packaging Ltd"/>
    <x v="4"/>
    <x v="0"/>
    <s v="TRK-010"/>
    <s v="D. Said"/>
    <n v="897"/>
    <n v="642.26"/>
    <n v="576107.22"/>
    <n v="481"/>
    <s v="2025-12-22"/>
    <d v="2025-12-01T00:00:00"/>
    <s v="2025-12-22"/>
    <s v="December 2025"/>
    <s v="On Time"/>
    <n v="22394.91"/>
    <n v="598502.13"/>
    <n v="0"/>
    <m/>
  </r>
  <r>
    <s v="SHP-00319"/>
    <s v="2025-10-14"/>
    <d v="2025-10-01T00:00:00"/>
    <s v="Lake Region Water Services"/>
    <x v="4"/>
    <x v="3"/>
    <s v="TRK-006"/>
    <s v="A. Hassan"/>
    <n v="1093"/>
    <n v="891.98"/>
    <n v="974934.14"/>
    <n v="386"/>
    <s v="2025-10-16"/>
    <d v="2025-10-01T00:00:00"/>
    <s v="2025-10-16"/>
    <s v="October 2025"/>
    <s v="On Time"/>
    <n v="17999.77"/>
    <n v="992933.91"/>
    <n v="0"/>
    <m/>
  </r>
  <r>
    <s v="SHP-00320"/>
    <s v="2025-01-09"/>
    <d v="2025-01-01T00:00:00"/>
    <s v="Rift Valley Manufacturing"/>
    <x v="0"/>
    <x v="3"/>
    <s v="TRK-014"/>
    <s v="J. Mutua"/>
    <n v="139"/>
    <n v="496.28"/>
    <n v="68982.92"/>
    <n v="288"/>
    <s v="2025-01-10"/>
    <d v="2025-01-01T00:00:00"/>
    <s v="2025-01-10"/>
    <s v="January 2025"/>
    <s v="On Time"/>
    <n v="15741.19"/>
    <n v="84724.11"/>
    <n v="0"/>
    <m/>
  </r>
  <r>
    <s v="SHP-00321"/>
    <s v="2025-01-08"/>
    <d v="2025-01-01T00:00:00"/>
    <s v="Eastern Industrial Supplies"/>
    <x v="1"/>
    <x v="0"/>
    <s v="TRK-019"/>
    <s v="J. Mutua"/>
    <n v="1813"/>
    <n v="269.47000000000003"/>
    <n v="488549.11"/>
    <n v="513"/>
    <s v="2025-01-10"/>
    <d v="2025-01-01T00:00:00"/>
    <s v="2025-01-13"/>
    <s v="January 2025"/>
    <s v="Late"/>
    <n v="19839.740000000002"/>
    <n v="508388.85"/>
    <n v="3"/>
    <m/>
  </r>
  <r>
    <s v="SHP-00322"/>
    <s v="2025-11-17"/>
    <d v="2025-11-01T00:00:00"/>
    <s v="CoastBuild Ltd"/>
    <x v="3"/>
    <x v="1"/>
    <s v="TRK-023"/>
    <s v="A. Hassan"/>
    <n v="527"/>
    <n v="460.5"/>
    <n v="242683.5"/>
    <n v="557"/>
    <s v="2025-11-19"/>
    <d v="2025-11-01T00:00:00"/>
    <s v="2025-11-22"/>
    <s v="November 2025"/>
    <s v="Late"/>
    <n v="21731.52"/>
    <n v="264415.02"/>
    <n v="3"/>
    <m/>
  </r>
  <r>
    <s v="SHP-00323"/>
    <s v="2025-12-24"/>
    <d v="2025-12-01T00:00:00"/>
    <s v="CoastBuild Ltd"/>
    <x v="1"/>
    <x v="2"/>
    <s v="TRK-020"/>
    <s v="K. Barasa"/>
    <n v="1177"/>
    <n v="891.25"/>
    <n v="1049001.25"/>
    <n v="51"/>
    <s v="2025-12-25"/>
    <d v="2025-12-01T00:00:00"/>
    <s v="2025-12-26"/>
    <s v="December 2025"/>
    <s v="Late"/>
    <n v="2041.13"/>
    <n v="1051042.3799999999"/>
    <n v="1"/>
    <m/>
  </r>
  <r>
    <s v="SHP-00324"/>
    <s v="2025-04-16"/>
    <d v="2025-04-01T00:00:00"/>
    <s v="Eastern Industrial Supplies"/>
    <x v="0"/>
    <x v="2"/>
    <s v="TRK-003"/>
    <s v="S. Chebet"/>
    <n v="410"/>
    <n v="624.14"/>
    <n v="255897.4"/>
    <n v="288"/>
    <s v="2025-04-17"/>
    <d v="2025-04-01T00:00:00"/>
    <s v="2025-04-16"/>
    <s v="April 2025"/>
    <s v="On Time"/>
    <n v="16658.89"/>
    <n v="272556.28999999998"/>
    <n v="-1"/>
    <m/>
  </r>
  <r>
    <s v="SHP-00325"/>
    <s v="2025-07-09"/>
    <d v="2025-07-01T00:00:00"/>
    <s v="Metro Packaging Ltd"/>
    <x v="1"/>
    <x v="3"/>
    <s v="TRK-026"/>
    <s v="E. Achieng"/>
    <n v="129"/>
    <n v="686.24"/>
    <n v="88524.96"/>
    <n v="258"/>
    <s v="2025-07-10"/>
    <d v="2025-07-01T00:00:00"/>
    <s v="2025-07-10"/>
    <s v="July 2025"/>
    <s v="On Time"/>
    <n v="10112.51"/>
    <n v="98637.47"/>
    <n v="0"/>
    <m/>
  </r>
  <r>
    <s v="SHP-00326"/>
    <s v="2025-08-31"/>
    <d v="2025-08-01T00:00:00"/>
    <s v="Lake Region Water Services"/>
    <x v="0"/>
    <x v="1"/>
    <s v="TRK-003"/>
    <s v="S. Chebet"/>
    <n v="1357"/>
    <n v="639.75"/>
    <n v="868140.75"/>
    <n v="280"/>
    <s v="2025-09-01"/>
    <d v="2025-09-01T00:00:00"/>
    <s v="2025-09-01"/>
    <s v="September 2025"/>
    <s v="On Time"/>
    <n v="11432.8"/>
    <n v="879573.55"/>
    <n v="0"/>
    <m/>
  </r>
  <r>
    <s v="SHP-00327"/>
    <s v="2025-04-11"/>
    <d v="2025-04-01T00:00:00"/>
    <s v="Metro Packaging Ltd"/>
    <x v="1"/>
    <x v="2"/>
    <s v="TRK-011"/>
    <s v="S. Chebet"/>
    <n v="1434"/>
    <n v="169.78"/>
    <n v="243464.52"/>
    <n v="414"/>
    <s v="2025-04-13"/>
    <d v="2025-04-01T00:00:00"/>
    <s v="2025-04-13"/>
    <s v="April 2025"/>
    <s v="On Time"/>
    <n v="17973.05"/>
    <n v="261437.56999999998"/>
    <n v="0"/>
    <m/>
  </r>
  <r>
    <s v="SHP-00328"/>
    <s v="2025-03-25"/>
    <d v="2025-03-01T00:00:00"/>
    <s v="Eastern Industrial Supplies"/>
    <x v="1"/>
    <x v="1"/>
    <s v="TRK-018"/>
    <s v="K. Barasa"/>
    <n v="1158"/>
    <n v="415.86"/>
    <n v="481565.88"/>
    <n v="340"/>
    <s v="2025-03-26"/>
    <d v="2025-03-01T00:00:00"/>
    <s v="2025-03-29"/>
    <s v="March 2025"/>
    <s v="Late"/>
    <n v="13971.49"/>
    <n v="495537.37"/>
    <n v="3"/>
    <m/>
  </r>
  <r>
    <s v="SHP-00329"/>
    <s v="2025-06-10"/>
    <d v="2025-06-01T00:00:00"/>
    <s v="Rift Valley Manufacturing"/>
    <x v="4"/>
    <x v="2"/>
    <s v="TRK-015"/>
    <s v="L. Wekesa"/>
    <n v="912"/>
    <n v="109.2"/>
    <n v="99590.399999999994"/>
    <n v="453"/>
    <s v="2025-06-12"/>
    <d v="2025-06-01T00:00:00"/>
    <s v="2025-06-15"/>
    <s v="June 2025"/>
    <s v="Late"/>
    <n v="22776.71"/>
    <n v="122367.10999999999"/>
    <n v="3"/>
    <m/>
  </r>
  <r>
    <s v="SHP-00330"/>
    <s v="2025-12-19"/>
    <d v="2025-12-01T00:00:00"/>
    <s v="Metro Packaging Ltd"/>
    <x v="5"/>
    <x v="2"/>
    <s v="TRK-013"/>
    <s v="M. Otieno"/>
    <n v="1618"/>
    <n v="196.56"/>
    <n v="318034.08"/>
    <n v="315"/>
    <s v="2025-12-20"/>
    <d v="2025-12-01T00:00:00"/>
    <s v="2025-12-20"/>
    <s v="December 2025"/>
    <s v="On Time"/>
    <n v="11800.4"/>
    <n v="329834.48000000004"/>
    <n v="0"/>
    <m/>
  </r>
  <r>
    <s v="SHP-00331"/>
    <s v="2025-04-04"/>
    <d v="2025-04-01T00:00:00"/>
    <s v="UrbanWorks Contractors"/>
    <x v="3"/>
    <x v="2"/>
    <s v="TRK-001"/>
    <s v="E. Achieng"/>
    <n v="2347"/>
    <n v="868.81"/>
    <n v="2039097.07"/>
    <n v="264"/>
    <s v="2025-04-05"/>
    <d v="2025-04-01T00:00:00"/>
    <s v="2025-04-08"/>
    <s v="April 2025"/>
    <s v="Late"/>
    <n v="10699.24"/>
    <n v="2049796.31"/>
    <n v="3"/>
    <m/>
  </r>
  <r>
    <s v="SHP-00332"/>
    <s v="2025-06-19"/>
    <d v="2025-06-01T00:00:00"/>
    <s v="Highland Agro Processors"/>
    <x v="2"/>
    <x v="1"/>
    <s v="TRK-016"/>
    <s v="K. Barasa"/>
    <n v="1102"/>
    <n v="350.25"/>
    <n v="385975.5"/>
    <n v="222"/>
    <s v="2025-06-20"/>
    <d v="2025-06-01T00:00:00"/>
    <s v="2025-06-22"/>
    <s v="June 2025"/>
    <s v="Late"/>
    <n v="8433.7800000000007"/>
    <n v="394409.28"/>
    <n v="2"/>
    <m/>
  </r>
  <r>
    <s v="SHP-00333"/>
    <s v="2025-12-13"/>
    <d v="2025-12-01T00:00:00"/>
    <s v="Eastern Industrial Supplies"/>
    <x v="4"/>
    <x v="0"/>
    <s v="TRK-011"/>
    <s v="E. Achieng"/>
    <n v="1231"/>
    <n v="254.76"/>
    <n v="313609.56"/>
    <n v="82"/>
    <s v="2025-12-14"/>
    <d v="2025-12-01T00:00:00"/>
    <s v="2025-12-13"/>
    <s v="December 2025"/>
    <s v="On Time"/>
    <n v="4429.6099999999997"/>
    <n v="318039.17"/>
    <n v="-1"/>
    <m/>
  </r>
  <r>
    <s v="SHP-00334"/>
    <s v="2025-09-20"/>
    <d v="2025-09-01T00:00:00"/>
    <s v="Rift Valley Manufacturing"/>
    <x v="5"/>
    <x v="0"/>
    <s v="TRK-025"/>
    <s v="E. Achieng"/>
    <n v="1161"/>
    <n v="761.8"/>
    <n v="884449.8"/>
    <n v="145"/>
    <s v="2025-09-21"/>
    <d v="2025-09-01T00:00:00"/>
    <s v="2025-09-20"/>
    <s v="September 2025"/>
    <s v="On Time"/>
    <n v="5184.8900000000003"/>
    <n v="889634.69000000006"/>
    <n v="-1"/>
    <m/>
  </r>
  <r>
    <s v="SHP-00335"/>
    <s v="2025-10-25"/>
    <d v="2025-10-01T00:00:00"/>
    <s v="CoastBuild Ltd"/>
    <x v="4"/>
    <x v="3"/>
    <s v="TRK-007"/>
    <s v="L. Wekesa"/>
    <n v="1180"/>
    <n v="234.2"/>
    <n v="276356"/>
    <n v="449"/>
    <s v="2025-10-27"/>
    <d v="2025-10-01T00:00:00"/>
    <s v="2025-10-26"/>
    <s v="October 2025"/>
    <s v="On Time"/>
    <n v="24530.22"/>
    <n v="300886.21999999997"/>
    <n v="-1"/>
    <m/>
  </r>
  <r>
    <s v="SHP-00336"/>
    <s v="2025-08-30"/>
    <d v="2025-08-01T00:00:00"/>
    <s v="UrbanWorks Contractors"/>
    <x v="5"/>
    <x v="0"/>
    <s v="TRK-018"/>
    <s v="P. Maina"/>
    <n v="565"/>
    <n v="606.24"/>
    <n v="342525.6"/>
    <n v="149"/>
    <s v="2025-08-31"/>
    <d v="2025-08-01T00:00:00"/>
    <s v="2025-09-03"/>
    <s v="September 2025"/>
    <s v="Late"/>
    <n v="6294.86"/>
    <n v="348820.45999999996"/>
    <n v="3"/>
    <m/>
  </r>
  <r>
    <s v="SHP-00337"/>
    <s v="2025-10-04"/>
    <d v="2025-10-01T00:00:00"/>
    <s v="Rift Valley Manufacturing"/>
    <x v="4"/>
    <x v="0"/>
    <s v="TRK-001"/>
    <s v="D. Said"/>
    <n v="1004"/>
    <n v="119.08"/>
    <n v="119556.32"/>
    <n v="717"/>
    <s v="2025-10-07"/>
    <d v="2025-10-01T00:00:00"/>
    <s v="2025-10-08"/>
    <s v="October 2025"/>
    <s v="Late"/>
    <n v="43845.25"/>
    <n v="163401.57"/>
    <n v="1"/>
    <m/>
  </r>
  <r>
    <s v="SHP-00338"/>
    <s v="2025-04-09"/>
    <d v="2025-04-01T00:00:00"/>
    <s v="Highland Agro Processors"/>
    <x v="5"/>
    <x v="3"/>
    <s v="TRK-003"/>
    <s v="K. Barasa"/>
    <n v="869"/>
    <n v="806.62"/>
    <n v="700952.78"/>
    <n v="367"/>
    <s v="2025-04-11"/>
    <d v="2025-04-01T00:00:00"/>
    <s v="2025-04-15"/>
    <s v="April 2025"/>
    <s v="Late"/>
    <n v="22665.11"/>
    <n v="723617.89"/>
    <n v="4"/>
    <m/>
  </r>
  <r>
    <s v="SHP-00339"/>
    <s v="2025-08-23"/>
    <d v="2025-08-01T00:00:00"/>
    <s v="Lake Region Water Services"/>
    <x v="3"/>
    <x v="3"/>
    <s v="TRK-019"/>
    <s v="L. Wekesa"/>
    <n v="372"/>
    <n v="725.59"/>
    <n v="269919.48"/>
    <n v="237"/>
    <s v="2025-08-24"/>
    <d v="2025-08-01T00:00:00"/>
    <s v="2025-08-24"/>
    <s v="August 2025"/>
    <s v="On Time"/>
    <n v="0"/>
    <n v="269919.48"/>
    <n v="0"/>
    <m/>
  </r>
  <r>
    <s v="SHP-00340"/>
    <s v="2025-10-26"/>
    <d v="2025-10-01T00:00:00"/>
    <s v="Eastern Industrial Supplies"/>
    <x v="0"/>
    <x v="1"/>
    <s v="TRK-015"/>
    <s v="P. Maina"/>
    <n v="551"/>
    <n v="472.14"/>
    <n v="260149.14"/>
    <n v="609"/>
    <s v="2025-10-28"/>
    <d v="2025-10-01T00:00:00"/>
    <s v="2025-10-30"/>
    <s v="October 2025"/>
    <s v="Late"/>
    <n v="22776.240000000002"/>
    <n v="282925.38"/>
    <n v="2"/>
    <m/>
  </r>
  <r>
    <s v="SHP-00341"/>
    <s v="2025-01-29"/>
    <d v="2025-01-01T00:00:00"/>
    <s v="UrbanWorks Contractors"/>
    <x v="3"/>
    <x v="3"/>
    <s v="TRK-013"/>
    <s v="M. Otieno"/>
    <n v="1748"/>
    <n v="770.57"/>
    <n v="1346956.36"/>
    <n v="63"/>
    <s v="2025-01-30"/>
    <d v="2025-01-01T00:00:00"/>
    <s v="2025-01-30"/>
    <s v="January 2025"/>
    <s v="On Time"/>
    <n v="3643.96"/>
    <n v="1350600.32"/>
    <n v="0"/>
    <m/>
  </r>
  <r>
    <s v="SHP-00342"/>
    <s v="2025-01-16"/>
    <d v="2025-01-01T00:00:00"/>
    <s v="CoastBuild Ltd"/>
    <x v="4"/>
    <x v="3"/>
    <s v="TRK-025"/>
    <s v="B. Kiprono"/>
    <n v="2383"/>
    <n v="175.55"/>
    <n v="418335.65"/>
    <n v="112"/>
    <s v="2025-01-17"/>
    <d v="2025-01-01T00:00:00"/>
    <s v="2025-01-18"/>
    <s v="January 2025"/>
    <s v="Late"/>
    <n v="6056.42"/>
    <n v="424392.07"/>
    <n v="1"/>
    <m/>
  </r>
  <r>
    <s v="SHP-00343"/>
    <s v="2025-11-18"/>
    <d v="2025-11-01T00:00:00"/>
    <s v="CoastBuild Ltd"/>
    <x v="4"/>
    <x v="3"/>
    <s v="TRK-012"/>
    <s v="E. Achieng"/>
    <n v="1247"/>
    <n v="558.28"/>
    <n v="696175.16"/>
    <n v="709"/>
    <s v="2025-11-21"/>
    <d v="2025-11-01T00:00:00"/>
    <s v="2025-11-24"/>
    <s v="November 2025"/>
    <s v="Late"/>
    <n v="26918.86"/>
    <n v="723094.02"/>
    <n v="3"/>
    <m/>
  </r>
  <r>
    <s v="SHP-00344"/>
    <s v="2025-08-11"/>
    <d v="2025-08-01T00:00:00"/>
    <s v="Rift Valley Manufacturing"/>
    <x v="3"/>
    <x v="2"/>
    <s v="TRK-020"/>
    <s v="M. Otieno"/>
    <n v="1514"/>
    <n v="202.57"/>
    <n v="306690.98"/>
    <n v="614"/>
    <s v="2025-08-13"/>
    <d v="2025-08-01T00:00:00"/>
    <s v="2025-08-13"/>
    <s v="August 2025"/>
    <s v="On Time"/>
    <n v="25631.59"/>
    <n v="332322.57"/>
    <n v="0"/>
    <m/>
  </r>
  <r>
    <s v="SHP-00345"/>
    <s v="2025-06-14"/>
    <d v="2025-06-01T00:00:00"/>
    <s v="Eastern Industrial Supplies"/>
    <x v="0"/>
    <x v="1"/>
    <s v="TRK-013"/>
    <s v="K. Barasa"/>
    <n v="1120"/>
    <n v="863.76"/>
    <n v="967411.19999999995"/>
    <n v="204"/>
    <s v="2025-06-15"/>
    <d v="2025-06-01T00:00:00"/>
    <s v="2025-06-17"/>
    <s v="June 2025"/>
    <s v="Late"/>
    <n v="9227.7900000000009"/>
    <n v="976638.99"/>
    <n v="2"/>
    <m/>
  </r>
  <r>
    <s v="SHP-00346"/>
    <s v="2025-04-07"/>
    <d v="2025-04-01T00:00:00"/>
    <s v="BlueWave Facilities"/>
    <x v="1"/>
    <x v="0"/>
    <s v="TRK-005"/>
    <s v="P. Maina"/>
    <n v="1097"/>
    <n v="333.09"/>
    <n v="365399.73"/>
    <n v="339"/>
    <s v="2025-04-08"/>
    <d v="2025-04-01T00:00:00"/>
    <s v="2025-04-11"/>
    <s v="April 2025"/>
    <s v="Late"/>
    <n v="20153.89"/>
    <n v="385553.62"/>
    <n v="3"/>
    <m/>
  </r>
  <r>
    <s v="SHP-00347"/>
    <s v="2025-02-03"/>
    <d v="2025-02-01T00:00:00"/>
    <s v="Eastern Industrial Supplies"/>
    <x v="4"/>
    <x v="0"/>
    <s v="TRK-010"/>
    <s v="S. Chebet"/>
    <n v="2208"/>
    <n v="431.28"/>
    <n v="952266.23999999999"/>
    <n v="305"/>
    <s v="2025-02-04"/>
    <d v="2025-02-01T00:00:00"/>
    <s v="2025-02-08"/>
    <s v="February 2025"/>
    <s v="Late"/>
    <n v="16662.259999999998"/>
    <n v="968928.5"/>
    <n v="4"/>
    <m/>
  </r>
  <r>
    <s v="SHP-00348"/>
    <s v="2025-07-03"/>
    <d v="2025-07-01T00:00:00"/>
    <s v="CoastBuild Ltd"/>
    <x v="2"/>
    <x v="0"/>
    <s v="TRK-004"/>
    <s v="K. Barasa"/>
    <n v="1262"/>
    <n v="633.92999999999995"/>
    <n v="800019.66"/>
    <n v="657"/>
    <s v="2025-07-05"/>
    <d v="2025-07-01T00:00:00"/>
    <s v="2025-07-08"/>
    <s v="July 2025"/>
    <s v="Late"/>
    <n v="30679.37"/>
    <n v="830699.03"/>
    <n v="3"/>
    <m/>
  </r>
  <r>
    <s v="SHP-00349"/>
    <s v="2025-10-13"/>
    <d v="2025-10-01T00:00:00"/>
    <s v="CoastBuild Ltd"/>
    <x v="2"/>
    <x v="1"/>
    <s v="TRK-018"/>
    <s v="E. Achieng"/>
    <n v="720"/>
    <n v="472.4"/>
    <n v="340128"/>
    <n v="261"/>
    <s v="2025-10-14"/>
    <d v="2025-10-01T00:00:00"/>
    <s v="2025-10-15"/>
    <s v="October 2025"/>
    <s v="Late"/>
    <n v="12461.58"/>
    <n v="352589.58"/>
    <n v="1"/>
    <m/>
  </r>
  <r>
    <s v="SHP-00350"/>
    <s v="2025-07-26"/>
    <d v="2025-07-01T00:00:00"/>
    <s v="Rift Valley Manufacturing"/>
    <x v="3"/>
    <x v="0"/>
    <s v="TRK-024"/>
    <s v="S. Chebet"/>
    <n v="903"/>
    <n v="591.69000000000005"/>
    <n v="534296.06999999995"/>
    <n v="663"/>
    <s v="2025-07-28"/>
    <d v="2025-07-01T00:00:00"/>
    <s v="2025-07-31"/>
    <s v="July 2025"/>
    <s v="Late"/>
    <n v="29631.69"/>
    <n v="563927.75999999989"/>
    <n v="3"/>
    <m/>
  </r>
  <r>
    <s v="SHP-00351"/>
    <s v="2025-08-17"/>
    <d v="2025-08-01T00:00:00"/>
    <s v="Metro Packaging Ltd"/>
    <x v="0"/>
    <x v="0"/>
    <s v="TRK-006"/>
    <s v="A. Hassan"/>
    <n v="1110"/>
    <n v="220.85"/>
    <n v="245143.5"/>
    <n v="285"/>
    <s v="2025-08-18"/>
    <d v="2025-08-01T00:00:00"/>
    <s v="2025-08-22"/>
    <s v="August 2025"/>
    <s v="Late"/>
    <n v="10372.120000000001"/>
    <n v="255515.62"/>
    <n v="4"/>
    <m/>
  </r>
  <r>
    <s v="SHP-00352"/>
    <s v="2025-04-24"/>
    <d v="2025-04-01T00:00:00"/>
    <s v="Metro Packaging Ltd"/>
    <x v="2"/>
    <x v="2"/>
    <s v="TRK-007"/>
    <s v="M. Otieno"/>
    <n v="2435"/>
    <n v="646.76"/>
    <n v="1574860.6"/>
    <n v="609"/>
    <s v="2025-04-26"/>
    <d v="2025-04-01T00:00:00"/>
    <s v="2025-04-26"/>
    <s v="April 2025"/>
    <s v="On Time"/>
    <n v="35714.559999999998"/>
    <n v="1610575.1600000001"/>
    <n v="0"/>
    <m/>
  </r>
  <r>
    <s v="SHP-00353"/>
    <s v="2025-04-03"/>
    <d v="2025-04-01T00:00:00"/>
    <s v="Lake Region Water Services"/>
    <x v="4"/>
    <x v="3"/>
    <s v="TRK-028"/>
    <s v="E. Achieng"/>
    <n v="764"/>
    <n v="440.71"/>
    <n v="336702.44"/>
    <n v="376"/>
    <s v="2025-04-05"/>
    <d v="2025-04-01T00:00:00"/>
    <s v="2025-04-07"/>
    <s v="April 2025"/>
    <s v="Late"/>
    <n v="20805.560000000001"/>
    <n v="357508"/>
    <n v="2"/>
    <m/>
  </r>
  <r>
    <s v="SHP-00354"/>
    <s v="2025-08-12"/>
    <d v="2025-08-01T00:00:00"/>
    <s v="BlueWave Facilities"/>
    <x v="4"/>
    <x v="3"/>
    <s v="TRK-010"/>
    <s v="M. Otieno"/>
    <n v="474"/>
    <n v="795.18"/>
    <n v="376915.32"/>
    <n v="381"/>
    <s v="2025-08-14"/>
    <d v="2025-08-01T00:00:00"/>
    <s v="2025-08-18"/>
    <s v="August 2025"/>
    <s v="Late"/>
    <n v="15409.27"/>
    <n v="392324.59"/>
    <n v="4"/>
    <m/>
  </r>
  <r>
    <s v="SHP-00355"/>
    <s v="2025-06-02"/>
    <d v="2025-06-01T00:00:00"/>
    <s v="Eastern Industrial Supplies"/>
    <x v="5"/>
    <x v="0"/>
    <s v="TRK-024"/>
    <s v="B. Kiprono"/>
    <n v="384"/>
    <n v="580.25"/>
    <n v="222816"/>
    <n v="709"/>
    <s v="2025-06-05"/>
    <d v="2025-06-01T00:00:00"/>
    <s v="2025-06-06"/>
    <s v="June 2025"/>
    <s v="Late"/>
    <n v="39344.25"/>
    <n v="262160.25"/>
    <n v="1"/>
    <m/>
  </r>
  <r>
    <s v="SHP-00356"/>
    <s v="2025-06-17"/>
    <d v="2025-06-01T00:00:00"/>
    <s v="BlueWave Facilities"/>
    <x v="3"/>
    <x v="2"/>
    <s v="TRK-005"/>
    <s v="L. Wekesa"/>
    <n v="1994"/>
    <n v="177.96"/>
    <n v="354852.24"/>
    <n v="30"/>
    <s v="2025-06-18"/>
    <d v="2025-06-01T00:00:00"/>
    <s v="2025-06-18"/>
    <s v="June 2025"/>
    <s v="On Time"/>
    <n v="1218.22"/>
    <n v="356070.45999999996"/>
    <n v="0"/>
    <m/>
  </r>
  <r>
    <s v="SHP-00357"/>
    <s v="2025-02-08"/>
    <d v="2025-02-01T00:00:00"/>
    <s v="Rift Valley Manufacturing"/>
    <x v="3"/>
    <x v="3"/>
    <s v="TRK-029"/>
    <s v="L. Wekesa"/>
    <n v="55"/>
    <n v="493.56"/>
    <n v="27145.8"/>
    <n v="122"/>
    <s v="2025-02-09"/>
    <d v="2025-02-01T00:00:00"/>
    <s v="2025-02-13"/>
    <s v="February 2025"/>
    <s v="Late"/>
    <n v="4957.6400000000003"/>
    <n v="32103.439999999999"/>
    <n v="4"/>
    <m/>
  </r>
  <r>
    <s v="SHP-00358"/>
    <s v="2025-06-16"/>
    <d v="2025-06-01T00:00:00"/>
    <s v="Highland Agro Processors"/>
    <x v="0"/>
    <x v="1"/>
    <s v="TRK-011"/>
    <s v="B. Kiprono"/>
    <n v="1640"/>
    <n v="226.12"/>
    <n v="370836.8"/>
    <n v="312"/>
    <s v="2025-06-17"/>
    <d v="2025-06-01T00:00:00"/>
    <s v="2025-06-17"/>
    <s v="June 2025"/>
    <s v="On Time"/>
    <n v="18895.73"/>
    <n v="389732.52999999997"/>
    <n v="0"/>
    <m/>
  </r>
  <r>
    <s v="SHP-00359"/>
    <s v="2025-07-09"/>
    <d v="2025-07-01T00:00:00"/>
    <s v="Eastern Industrial Supplies"/>
    <x v="4"/>
    <x v="0"/>
    <s v="TRK-019"/>
    <s v="B. Kiprono"/>
    <n v="1359"/>
    <n v="179.65"/>
    <n v="244144.35"/>
    <n v="82"/>
    <s v="2025-07-10"/>
    <d v="2025-07-01T00:00:00"/>
    <s v="2025-07-14"/>
    <s v="July 2025"/>
    <s v="Late"/>
    <n v="4399.66"/>
    <n v="248544.01"/>
    <n v="4"/>
    <m/>
  </r>
  <r>
    <s v="SHP-00360"/>
    <s v="2025-02-13"/>
    <d v="2025-02-01T00:00:00"/>
    <s v="Highland Agro Processors"/>
    <x v="3"/>
    <x v="1"/>
    <s v="TRK-006"/>
    <s v="K. Barasa"/>
    <n v="886"/>
    <n v="496.29"/>
    <n v="439712.94"/>
    <n v="504"/>
    <s v="2025-02-15"/>
    <d v="2025-02-01T00:00:00"/>
    <s v="2025-02-14"/>
    <s v="February 2025"/>
    <s v="On Time"/>
    <n v="17946.439999999999"/>
    <n v="457659.38"/>
    <n v="-1"/>
    <m/>
  </r>
  <r>
    <s v="SHP-00361"/>
    <s v="2025-04-14"/>
    <d v="2025-04-01T00:00:00"/>
    <s v="Highland Agro Processors"/>
    <x v="1"/>
    <x v="0"/>
    <s v="TRK-023"/>
    <s v="P. Maina"/>
    <n v="330"/>
    <n v="382.72"/>
    <n v="126297.60000000001"/>
    <n v="106"/>
    <s v="2025-04-15"/>
    <d v="2025-04-01T00:00:00"/>
    <s v="2025-04-15"/>
    <s v="April 2025"/>
    <s v="On Time"/>
    <n v="4973.92"/>
    <n v="131271.52000000002"/>
    <n v="0"/>
    <m/>
  </r>
  <r>
    <s v="SHP-00362"/>
    <s v="2025-04-26"/>
    <d v="2025-04-01T00:00:00"/>
    <s v="Eastern Industrial Supplies"/>
    <x v="3"/>
    <x v="0"/>
    <s v="TRK-022"/>
    <s v="S. Chebet"/>
    <n v="317"/>
    <n v="828.74"/>
    <n v="262710.58"/>
    <n v="382"/>
    <s v="2025-04-28"/>
    <d v="2025-04-01T00:00:00"/>
    <s v="2025-04-29"/>
    <s v="April 2025"/>
    <s v="Late"/>
    <n v="16610.63"/>
    <n v="279321.21000000002"/>
    <n v="1"/>
    <m/>
  </r>
  <r>
    <s v="SHP-00363"/>
    <s v="2025-11-15"/>
    <d v="2025-11-01T00:00:00"/>
    <s v="BlueWave Facilities"/>
    <x v="0"/>
    <x v="1"/>
    <s v="TRK-012"/>
    <s v="J. Mutua"/>
    <n v="2143"/>
    <n v="536.64"/>
    <n v="1150019.52"/>
    <n v="542"/>
    <s v="2025-11-17"/>
    <d v="2025-11-01T00:00:00"/>
    <s v="2025-11-20"/>
    <s v="November 2025"/>
    <s v="Late"/>
    <n v="30864.54"/>
    <n v="1180884.06"/>
    <n v="3"/>
    <m/>
  </r>
  <r>
    <s v="SHP-00364"/>
    <s v="2025-11-08"/>
    <d v="2025-11-01T00:00:00"/>
    <s v="BlueWave Facilities"/>
    <x v="2"/>
    <x v="3"/>
    <s v="TRK-006"/>
    <s v="B. Kiprono"/>
    <n v="602"/>
    <n v="175.92"/>
    <n v="105903.84"/>
    <n v="191"/>
    <s v="2025-11-09"/>
    <d v="2025-11-01T00:00:00"/>
    <s v="2025-11-11"/>
    <s v="November 2025"/>
    <s v="Late"/>
    <n v="10607.55"/>
    <n v="116511.39"/>
    <n v="2"/>
    <m/>
  </r>
  <r>
    <s v="SHP-00365"/>
    <s v="2025-02-11"/>
    <d v="2025-02-01T00:00:00"/>
    <s v="Rift Valley Manufacturing"/>
    <x v="3"/>
    <x v="0"/>
    <s v="TRK-029"/>
    <s v="E. Achieng"/>
    <n v="773"/>
    <n v="288.38"/>
    <n v="222917.74"/>
    <n v="665"/>
    <s v="2025-02-13"/>
    <d v="2025-02-01T00:00:00"/>
    <s v="2025-02-15"/>
    <s v="February 2025"/>
    <s v="Late"/>
    <n v="36682.550000000003"/>
    <n v="259600.28999999998"/>
    <n v="2"/>
    <m/>
  </r>
  <r>
    <s v="SHP-00366"/>
    <s v="2025-09-27"/>
    <d v="2025-09-01T00:00:00"/>
    <s v="Metro Packaging Ltd"/>
    <x v="3"/>
    <x v="3"/>
    <s v="TRK-024"/>
    <s v="M. Otieno"/>
    <n v="1206"/>
    <n v="663.85"/>
    <n v="800603.1"/>
    <n v="585"/>
    <s v="2025-09-29"/>
    <d v="2025-09-01T00:00:00"/>
    <s v="2025-09-29"/>
    <s v="September 2025"/>
    <s v="On Time"/>
    <n v="32145.03"/>
    <n v="832748.13"/>
    <n v="0"/>
    <m/>
  </r>
  <r>
    <s v="SHP-00367"/>
    <s v="2025-05-02"/>
    <d v="2025-05-01T00:00:00"/>
    <s v="CoastBuild Ltd"/>
    <x v="2"/>
    <x v="3"/>
    <s v="TRK-027"/>
    <s v="B. Kiprono"/>
    <n v="1802"/>
    <n v="272.95"/>
    <n v="491855.9"/>
    <n v="44"/>
    <s v="2025-05-03"/>
    <d v="2025-05-01T00:00:00"/>
    <s v="2025-05-03"/>
    <s v="May 2025"/>
    <s v="On Time"/>
    <n v="2414.34"/>
    <n v="494270.24000000005"/>
    <n v="0"/>
    <m/>
  </r>
  <r>
    <s v="SHP-00368"/>
    <s v="2025-08-14"/>
    <d v="2025-08-01T00:00:00"/>
    <s v="UrbanWorks Contractors"/>
    <x v="2"/>
    <x v="0"/>
    <s v="TRK-030"/>
    <s v="K. Barasa"/>
    <n v="2388"/>
    <n v="785.64"/>
    <n v="1876108.32"/>
    <n v="578"/>
    <s v="2025-08-16"/>
    <d v="2025-08-01T00:00:00"/>
    <s v="2025-08-20"/>
    <s v="August 2025"/>
    <s v="Late"/>
    <n v="29101.03"/>
    <n v="1905209.35"/>
    <n v="4"/>
    <m/>
  </r>
  <r>
    <s v="SHP-00369"/>
    <s v="2025-07-30"/>
    <d v="2025-07-01T00:00:00"/>
    <s v="Eastern Industrial Supplies"/>
    <x v="2"/>
    <x v="1"/>
    <s v="TRK-021"/>
    <s v="A. Hassan"/>
    <n v="331"/>
    <n v="83.84"/>
    <n v="27751.040000000001"/>
    <n v="652"/>
    <s v="2025-08-01"/>
    <d v="2025-08-01T00:00:00"/>
    <s v="2025-08-01"/>
    <s v="August 2025"/>
    <s v="On Time"/>
    <n v="28940.42"/>
    <n v="56691.46"/>
    <n v="0"/>
    <m/>
  </r>
  <r>
    <s v="SHP-00370"/>
    <s v="2025-09-11"/>
    <d v="2025-09-01T00:00:00"/>
    <s v="Highland Agro Processors"/>
    <x v="0"/>
    <x v="0"/>
    <s v="TRK-029"/>
    <s v="B. Kiprono"/>
    <n v="1906"/>
    <n v="442.79"/>
    <n v="843957.74"/>
    <n v="713"/>
    <s v="2025-09-14"/>
    <d v="2025-09-01T00:00:00"/>
    <s v="2025-09-18"/>
    <s v="September 2025"/>
    <s v="Late"/>
    <n v="42059.59"/>
    <n v="886017.33"/>
    <n v="4"/>
    <m/>
  </r>
  <r>
    <s v="SHP-00371"/>
    <s v="2025-11-28"/>
    <d v="2025-11-01T00:00:00"/>
    <s v="Eastern Industrial Supplies"/>
    <x v="1"/>
    <x v="1"/>
    <s v="TRK-017"/>
    <s v="E. Achieng"/>
    <n v="673"/>
    <n v="608.5"/>
    <n v="409520.5"/>
    <n v="338"/>
    <s v="2025-11-29"/>
    <d v="2025-11-01T00:00:00"/>
    <s v="2025-11-29"/>
    <s v="November 2025"/>
    <s v="On Time"/>
    <n v="17896.919999999998"/>
    <n v="427417.42"/>
    <n v="0"/>
    <m/>
  </r>
  <r>
    <s v="SHP-00372"/>
    <s v="2025-05-02"/>
    <d v="2025-05-01T00:00:00"/>
    <s v="Rift Valley Manufacturing"/>
    <x v="0"/>
    <x v="2"/>
    <s v="TRK-017"/>
    <s v="K. Barasa"/>
    <n v="2131"/>
    <n v="182.2"/>
    <n v="388268.2"/>
    <n v="244"/>
    <s v="2025-05-03"/>
    <d v="2025-05-01T00:00:00"/>
    <s v="2025-05-03"/>
    <s v="May 2025"/>
    <s v="On Time"/>
    <n v="11649.78"/>
    <n v="399917.98000000004"/>
    <n v="0"/>
    <m/>
  </r>
  <r>
    <s v="SHP-00373"/>
    <s v="2025-03-09"/>
    <d v="2025-03-01T00:00:00"/>
    <s v="Metro Packaging Ltd"/>
    <x v="2"/>
    <x v="0"/>
    <s v="TRK-025"/>
    <s v="E. Achieng"/>
    <n v="966"/>
    <n v="546.36"/>
    <n v="527783.76"/>
    <n v="489"/>
    <s v="2025-03-11"/>
    <d v="2025-03-01T00:00:00"/>
    <s v="2025-03-12"/>
    <s v="March 2025"/>
    <s v="Late"/>
    <n v="28700.14"/>
    <n v="556483.9"/>
    <n v="1"/>
    <m/>
  </r>
  <r>
    <s v="SHP-00374"/>
    <s v="2025-12-02"/>
    <d v="2025-12-01T00:00:00"/>
    <s v="Lake Region Water Services"/>
    <x v="0"/>
    <x v="0"/>
    <s v="TRK-006"/>
    <s v="B. Kiprono"/>
    <n v="1944"/>
    <n v="79.83"/>
    <n v="155189.51999999999"/>
    <n v="648"/>
    <s v="2025-12-04"/>
    <d v="2025-12-01T00:00:00"/>
    <s v="2025-12-05"/>
    <s v="December 2025"/>
    <s v="Late"/>
    <n v="32746.39"/>
    <n v="187935.90999999997"/>
    <n v="1"/>
    <m/>
  </r>
  <r>
    <s v="SHP-00375"/>
    <s v="2025-10-05"/>
    <d v="2025-10-01T00:00:00"/>
    <s v="Lake Region Water Services"/>
    <x v="4"/>
    <x v="1"/>
    <s v="TRK-012"/>
    <s v="K. Barasa"/>
    <n v="1977"/>
    <n v="171.92"/>
    <n v="339885.84"/>
    <n v="564"/>
    <s v="2025-10-07"/>
    <d v="2025-10-01T00:00:00"/>
    <s v="2025-10-07"/>
    <s v="October 2025"/>
    <s v="On Time"/>
    <n v="26888.71"/>
    <n v="366774.55000000005"/>
    <n v="0"/>
    <m/>
  </r>
  <r>
    <s v="SHP-00376"/>
    <s v="2025-08-21"/>
    <d v="2025-08-01T00:00:00"/>
    <s v="Metro Packaging Ltd"/>
    <x v="0"/>
    <x v="0"/>
    <s v="TRK-003"/>
    <s v="J. Mutua"/>
    <n v="1843"/>
    <n v="601.80999999999995"/>
    <n v="1109135.83"/>
    <n v="548"/>
    <s v="2025-08-23"/>
    <d v="2025-08-01T00:00:00"/>
    <s v="2025-08-27"/>
    <s v="August 2025"/>
    <s v="Late"/>
    <n v="25818.53"/>
    <n v="1134954.3600000001"/>
    <n v="4"/>
    <m/>
  </r>
  <r>
    <s v="SHP-00377"/>
    <s v="2025-05-11"/>
    <d v="2025-05-01T00:00:00"/>
    <s v="Highland Agro Processors"/>
    <x v="1"/>
    <x v="3"/>
    <s v="TRK-022"/>
    <s v="L. Wekesa"/>
    <n v="158"/>
    <n v="232.75"/>
    <n v="36774.5"/>
    <n v="85"/>
    <s v="2025-05-12"/>
    <d v="2025-05-01T00:00:00"/>
    <s v="2025-05-12"/>
    <s v="May 2025"/>
    <s v="On Time"/>
    <n v="3035.58"/>
    <n v="39810.080000000002"/>
    <n v="0"/>
    <m/>
  </r>
  <r>
    <s v="SHP-00378"/>
    <s v="2025-01-05"/>
    <d v="2025-01-01T00:00:00"/>
    <s v="Highland Agro Processors"/>
    <x v="0"/>
    <x v="1"/>
    <s v="TRK-030"/>
    <s v="D. Said"/>
    <n v="1307"/>
    <n v="116.48"/>
    <n v="152239.35999999999"/>
    <n v="220"/>
    <s v="2025-01-06"/>
    <d v="2025-01-01T00:00:00"/>
    <s v="2025-01-08"/>
    <s v="January 2025"/>
    <s v="Late"/>
    <n v="8000.96"/>
    <n v="160240.31999999998"/>
    <n v="2"/>
    <m/>
  </r>
  <r>
    <s v="SHP-00379"/>
    <s v="2025-07-02"/>
    <d v="2025-07-01T00:00:00"/>
    <s v="CoastBuild Ltd"/>
    <x v="5"/>
    <x v="2"/>
    <s v="TRK-004"/>
    <s v="E. Achieng"/>
    <n v="1149"/>
    <n v="191.75"/>
    <n v="220320.75"/>
    <n v="342"/>
    <s v="2025-07-03"/>
    <d v="2025-07-01T00:00:00"/>
    <s v="2025-07-04"/>
    <s v="July 2025"/>
    <s v="Late"/>
    <n v="18829.63"/>
    <n v="239150.38"/>
    <n v="1"/>
    <m/>
  </r>
  <r>
    <s v="SHP-00380"/>
    <s v="2025-04-10"/>
    <d v="2025-04-01T00:00:00"/>
    <s v="Eastern Industrial Supplies"/>
    <x v="4"/>
    <x v="2"/>
    <s v="TRK-019"/>
    <s v="E. Achieng"/>
    <n v="2237"/>
    <n v="255.91"/>
    <n v="572470.67000000004"/>
    <n v="124"/>
    <s v="2025-04-11"/>
    <d v="2025-04-01T00:00:00"/>
    <s v="2025-04-11"/>
    <s v="April 2025"/>
    <s v="On Time"/>
    <n v="7171.69"/>
    <n v="579642.36"/>
    <n v="0"/>
    <m/>
  </r>
  <r>
    <s v="SHP-00381"/>
    <s v="2025-12-18"/>
    <d v="2025-12-01T00:00:00"/>
    <s v="Lake Region Water Services"/>
    <x v="0"/>
    <x v="1"/>
    <s v="TRK-012"/>
    <s v="B. Kiprono"/>
    <n v="137"/>
    <n v="523.38"/>
    <n v="71703.06"/>
    <n v="45"/>
    <s v="2025-12-19"/>
    <d v="2025-12-01T00:00:00"/>
    <s v="2025-12-22"/>
    <s v="December 2025"/>
    <s v="Late"/>
    <n v="1866.95"/>
    <n v="73570.009999999995"/>
    <n v="3"/>
    <m/>
  </r>
  <r>
    <s v="SHP-00382"/>
    <s v="2025-01-31"/>
    <d v="2025-01-01T00:00:00"/>
    <s v="Rift Valley Manufacturing"/>
    <x v="2"/>
    <x v="2"/>
    <s v="TRK-013"/>
    <s v="L. Wekesa"/>
    <n v="2108"/>
    <n v="112.16"/>
    <n v="236433.28"/>
    <n v="581"/>
    <s v="2025-02-02"/>
    <d v="2025-02-01T00:00:00"/>
    <s v="2025-02-05"/>
    <s v="February 2025"/>
    <s v="Late"/>
    <n v="22603.11"/>
    <n v="259036.39"/>
    <n v="3"/>
    <m/>
  </r>
  <r>
    <s v="SHP-00383"/>
    <s v="2025-08-02"/>
    <d v="2025-08-01T00:00:00"/>
    <s v="UrbanWorks Contractors"/>
    <x v="3"/>
    <x v="2"/>
    <s v="TRK-016"/>
    <s v="D. Said"/>
    <n v="2195"/>
    <n v="241.42"/>
    <n v="529916.9"/>
    <n v="105"/>
    <s v="2025-08-03"/>
    <d v="2025-08-01T00:00:00"/>
    <s v="2025-08-02"/>
    <s v="August 2025"/>
    <s v="On Time"/>
    <n v="6352.12"/>
    <n v="536269.02"/>
    <n v="-1"/>
    <m/>
  </r>
  <r>
    <s v="SHP-00384"/>
    <s v="2025-08-07"/>
    <d v="2025-08-01T00:00:00"/>
    <s v="CoastBuild Ltd"/>
    <x v="2"/>
    <x v="0"/>
    <s v="TRK-015"/>
    <s v="A. Hassan"/>
    <n v="1123"/>
    <n v="635.23"/>
    <n v="713363.29"/>
    <n v="521"/>
    <s v="2025-08-09"/>
    <d v="2025-08-01T00:00:00"/>
    <s v="2025-08-10"/>
    <s v="August 2025"/>
    <s v="Late"/>
    <n v="30871.98"/>
    <n v="744235.27"/>
    <n v="1"/>
    <m/>
  </r>
  <r>
    <s v="SHP-00385"/>
    <s v="2025-04-18"/>
    <d v="2025-04-01T00:00:00"/>
    <s v="Metro Packaging Ltd"/>
    <x v="5"/>
    <x v="2"/>
    <s v="TRK-007"/>
    <s v="A. Hassan"/>
    <n v="1764"/>
    <n v="500.27"/>
    <n v="882476.28"/>
    <n v="648"/>
    <s v="2025-04-20"/>
    <d v="2025-04-01T00:00:00"/>
    <s v="2025-04-20"/>
    <s v="April 2025"/>
    <s v="On Time"/>
    <n v="33610.870000000003"/>
    <n v="916087.15"/>
    <n v="0"/>
    <m/>
  </r>
  <r>
    <s v="SHP-00386"/>
    <s v="2025-03-14"/>
    <d v="2025-03-01T00:00:00"/>
    <s v="Lake Region Water Services"/>
    <x v="1"/>
    <x v="2"/>
    <s v="TRK-020"/>
    <s v="M. Otieno"/>
    <n v="1137"/>
    <n v="692.76"/>
    <n v="787668.12"/>
    <n v="307"/>
    <s v="2025-03-15"/>
    <d v="2025-03-01T00:00:00"/>
    <s v="2025-03-18"/>
    <s v="March 2025"/>
    <s v="Late"/>
    <n v="15732.98"/>
    <n v="803401.1"/>
    <n v="3"/>
    <m/>
  </r>
  <r>
    <s v="SHP-00387"/>
    <s v="2025-08-11"/>
    <d v="2025-08-01T00:00:00"/>
    <s v="Metro Packaging Ltd"/>
    <x v="0"/>
    <x v="2"/>
    <s v="TRK-024"/>
    <s v="M. Otieno"/>
    <n v="1886"/>
    <n v="197.23"/>
    <n v="371975.78"/>
    <n v="257"/>
    <s v="2025-08-12"/>
    <d v="2025-08-01T00:00:00"/>
    <s v="2025-08-11"/>
    <s v="August 2025"/>
    <s v="On Time"/>
    <n v="15703.19"/>
    <n v="387678.97000000003"/>
    <n v="-1"/>
    <m/>
  </r>
  <r>
    <s v="SHP-00388"/>
    <s v="2025-11-07"/>
    <d v="2025-11-01T00:00:00"/>
    <s v="BlueWave Facilities"/>
    <x v="4"/>
    <x v="1"/>
    <s v="TRK-016"/>
    <s v="L. Wekesa"/>
    <n v="2167"/>
    <n v="484.21"/>
    <n v="1049283.07"/>
    <n v="490"/>
    <s v="2025-11-09"/>
    <d v="2025-11-01T00:00:00"/>
    <s v="2025-11-09"/>
    <s v="November 2025"/>
    <s v="On Time"/>
    <n v="27778.31"/>
    <n v="1077061.3800000001"/>
    <n v="0"/>
    <m/>
  </r>
  <r>
    <s v="SHP-00389"/>
    <s v="2025-12-27"/>
    <d v="2025-12-01T00:00:00"/>
    <s v="Lake Region Water Services"/>
    <x v="4"/>
    <x v="1"/>
    <s v="TRK-001"/>
    <s v="L. Wekesa"/>
    <n v="2499"/>
    <n v="343.47"/>
    <n v="858331.53"/>
    <n v="565"/>
    <s v="2025-12-29"/>
    <d v="2025-12-01T00:00:00"/>
    <s v="2025-12-28"/>
    <s v="December 2025"/>
    <s v="On Time"/>
    <n v="25786.17"/>
    <n v="884117.70000000007"/>
    <n v="-1"/>
    <m/>
  </r>
  <r>
    <s v="SHP-00390"/>
    <s v="2025-07-20"/>
    <d v="2025-07-01T00:00:00"/>
    <s v="CoastBuild Ltd"/>
    <x v="1"/>
    <x v="0"/>
    <s v="TRK-005"/>
    <s v="E. Achieng"/>
    <n v="92"/>
    <n v="142.81"/>
    <n v="13138.52"/>
    <n v="718"/>
    <s v="2025-07-23"/>
    <d v="2025-07-01T00:00:00"/>
    <s v="2025-07-25"/>
    <s v="July 2025"/>
    <s v="Late"/>
    <n v="27177.25"/>
    <n v="40315.770000000004"/>
    <n v="2"/>
    <m/>
  </r>
  <r>
    <s v="SHP-00391"/>
    <s v="2025-08-11"/>
    <d v="2025-08-01T00:00:00"/>
    <s v="CoastBuild Ltd"/>
    <x v="2"/>
    <x v="0"/>
    <s v="TRK-002"/>
    <s v="A. Hassan"/>
    <n v="2172"/>
    <n v="234.05"/>
    <n v="508356.6"/>
    <n v="399"/>
    <s v="2025-08-13"/>
    <d v="2025-08-01T00:00:00"/>
    <s v="2025-08-15"/>
    <s v="August 2025"/>
    <s v="Late"/>
    <n v="16729.53"/>
    <n v="525086.13"/>
    <n v="2"/>
    <m/>
  </r>
  <r>
    <s v="SHP-00392"/>
    <s v="2025-06-04"/>
    <d v="2025-06-01T00:00:00"/>
    <s v="Eastern Industrial Supplies"/>
    <x v="1"/>
    <x v="1"/>
    <s v="TRK-020"/>
    <s v="B. Kiprono"/>
    <n v="1298"/>
    <n v="140.43"/>
    <n v="182278.14"/>
    <n v="143"/>
    <s v="2025-06-05"/>
    <d v="2025-06-01T00:00:00"/>
    <s v="2025-06-05"/>
    <s v="June 2025"/>
    <s v="On Time"/>
    <n v="8293.2199999999993"/>
    <n v="190571.36000000002"/>
    <n v="0"/>
    <m/>
  </r>
  <r>
    <s v="SHP-00393"/>
    <s v="2025-12-10"/>
    <d v="2025-12-01T00:00:00"/>
    <s v="CoastBuild Ltd"/>
    <x v="4"/>
    <x v="2"/>
    <s v="TRK-003"/>
    <s v="L. Wekesa"/>
    <n v="650"/>
    <n v="273.26"/>
    <n v="177619"/>
    <n v="425"/>
    <s v="2025-12-12"/>
    <d v="2025-12-01T00:00:00"/>
    <s v="2025-12-11"/>
    <s v="December 2025"/>
    <s v="On Time"/>
    <n v="19785.310000000001"/>
    <n v="197404.31"/>
    <n v="-1"/>
    <m/>
  </r>
  <r>
    <s v="SHP-00394"/>
    <s v="2025-08-14"/>
    <d v="2025-08-01T00:00:00"/>
    <s v="BlueWave Facilities"/>
    <x v="2"/>
    <x v="1"/>
    <s v="TRK-028"/>
    <s v="D. Said"/>
    <n v="80"/>
    <n v="822.87"/>
    <n v="65829.600000000006"/>
    <n v="712"/>
    <s v="2025-08-17"/>
    <d v="2025-08-01T00:00:00"/>
    <s v="2025-08-17"/>
    <s v="August 2025"/>
    <s v="On Time"/>
    <n v="38375.769999999997"/>
    <n v="104205.37"/>
    <n v="0"/>
    <m/>
  </r>
  <r>
    <s v="SHP-00395"/>
    <s v="2025-08-30"/>
    <d v="2025-08-01T00:00:00"/>
    <s v="Lake Region Water Services"/>
    <x v="1"/>
    <x v="1"/>
    <s v="TRK-020"/>
    <s v="A. Hassan"/>
    <n v="1709"/>
    <n v="96.7"/>
    <n v="165260.29999999999"/>
    <n v="456"/>
    <s v="2025-09-01"/>
    <d v="2025-09-01T00:00:00"/>
    <s v="2025-09-04"/>
    <s v="September 2025"/>
    <s v="Late"/>
    <n v="19197"/>
    <n v="184457.3"/>
    <n v="3"/>
    <m/>
  </r>
  <r>
    <s v="SHP-00396"/>
    <s v="2025-06-28"/>
    <d v="2025-06-01T00:00:00"/>
    <s v="Lake Region Water Services"/>
    <x v="2"/>
    <x v="2"/>
    <s v="TRK-006"/>
    <s v="S. Chebet"/>
    <n v="349"/>
    <n v="645.59"/>
    <n v="225310.91"/>
    <n v="245"/>
    <s v="2025-06-29"/>
    <d v="2025-06-01T00:00:00"/>
    <s v="2025-06-28"/>
    <s v="June 2025"/>
    <s v="On Time"/>
    <n v="13987.75"/>
    <n v="239298.66"/>
    <n v="-1"/>
    <m/>
  </r>
  <r>
    <s v="SHP-00397"/>
    <s v="2025-08-05"/>
    <d v="2025-08-01T00:00:00"/>
    <s v="BlueWave Facilities"/>
    <x v="2"/>
    <x v="3"/>
    <s v="TRK-008"/>
    <s v="P. Maina"/>
    <n v="555"/>
    <n v="334.87"/>
    <n v="185852.85"/>
    <n v="533"/>
    <s v="2025-08-07"/>
    <d v="2025-08-01T00:00:00"/>
    <s v="2025-08-06"/>
    <s v="August 2025"/>
    <s v="On Time"/>
    <n v="19024.900000000001"/>
    <n v="204877.75"/>
    <n v="-1"/>
    <m/>
  </r>
  <r>
    <s v="SHP-00398"/>
    <s v="2025-12-09"/>
    <d v="2025-12-01T00:00:00"/>
    <s v="UrbanWorks Contractors"/>
    <x v="1"/>
    <x v="3"/>
    <s v="TRK-001"/>
    <s v="L. Wekesa"/>
    <n v="2296"/>
    <n v="311.23"/>
    <n v="714584.08"/>
    <n v="538"/>
    <s v="2025-12-11"/>
    <d v="2025-12-01T00:00:00"/>
    <s v="2025-12-13"/>
    <s v="December 2025"/>
    <s v="Late"/>
    <n v="26457.53"/>
    <n v="741041.61"/>
    <n v="2"/>
    <m/>
  </r>
  <r>
    <s v="SHP-00399"/>
    <s v="2025-04-17"/>
    <d v="2025-04-01T00:00:00"/>
    <s v="UrbanWorks Contractors"/>
    <x v="1"/>
    <x v="3"/>
    <s v="TRK-006"/>
    <s v="D. Said"/>
    <n v="1326"/>
    <n v="367.26"/>
    <n v="486986.76"/>
    <n v="108"/>
    <s v="2025-04-18"/>
    <d v="2025-04-01T00:00:00"/>
    <s v="2025-04-21"/>
    <s v="April 2025"/>
    <s v="Late"/>
    <n v="5017.04"/>
    <n v="492003.8"/>
    <n v="3"/>
    <m/>
  </r>
  <r>
    <s v="SHP-00400"/>
    <s v="2025-06-02"/>
    <d v="2025-06-01T00:00:00"/>
    <s v="CoastBuild Ltd"/>
    <x v="2"/>
    <x v="3"/>
    <s v="TRK-003"/>
    <s v="D. Said"/>
    <n v="864"/>
    <n v="800.42"/>
    <n v="691562.88"/>
    <n v="245"/>
    <s v="2025-06-03"/>
    <d v="2025-06-01T00:00:00"/>
    <s v="2025-06-03"/>
    <s v="June 2025"/>
    <s v="On Time"/>
    <n v="13308.89"/>
    <n v="704871.77"/>
    <n v="0"/>
    <m/>
  </r>
  <r>
    <s v="SHP-00401"/>
    <s v="2025-10-16"/>
    <d v="2025-10-01T00:00:00"/>
    <s v="Lake Region Water Services"/>
    <x v="2"/>
    <x v="3"/>
    <s v="TRK-029"/>
    <s v="P. Maina"/>
    <n v="2026"/>
    <n v="452.83"/>
    <n v="917433.58"/>
    <n v="68"/>
    <s v="2025-10-17"/>
    <d v="2025-10-01T00:00:00"/>
    <s v="2025-10-17"/>
    <s v="October 2025"/>
    <s v="On Time"/>
    <n v="2968.77"/>
    <n v="920402.35"/>
    <n v="0"/>
    <m/>
  </r>
  <r>
    <s v="SHP-00402"/>
    <s v="2025-08-22"/>
    <d v="2025-08-01T00:00:00"/>
    <s v="UrbanWorks Contractors"/>
    <x v="3"/>
    <x v="3"/>
    <s v="TRK-023"/>
    <s v="E. Achieng"/>
    <n v="1300"/>
    <n v="417"/>
    <n v="542100"/>
    <n v="467"/>
    <s v="2025-08-24"/>
    <d v="2025-08-01T00:00:00"/>
    <s v="2025-08-24"/>
    <s v="August 2025"/>
    <s v="On Time"/>
    <n v="27588.47"/>
    <n v="569688.47"/>
    <n v="0"/>
    <m/>
  </r>
  <r>
    <s v="SHP-00403"/>
    <s v="2025-08-25"/>
    <d v="2025-08-01T00:00:00"/>
    <s v="UrbanWorks Contractors"/>
    <x v="1"/>
    <x v="1"/>
    <s v="TRK-026"/>
    <s v="P. Maina"/>
    <n v="138"/>
    <n v="436.02"/>
    <n v="60170.76"/>
    <n v="428"/>
    <s v="2025-08-27"/>
    <d v="2025-08-01T00:00:00"/>
    <s v="2025-08-28"/>
    <s v="August 2025"/>
    <s v="Late"/>
    <n v="24507.74"/>
    <n v="84678.5"/>
    <n v="1"/>
    <m/>
  </r>
  <r>
    <s v="SHP-00404"/>
    <s v="2025-07-18"/>
    <d v="2025-07-01T00:00:00"/>
    <s v="Highland Agro Processors"/>
    <x v="2"/>
    <x v="3"/>
    <s v="TRK-014"/>
    <s v="A. Hassan"/>
    <n v="595"/>
    <n v="346.65"/>
    <n v="206256.75"/>
    <n v="34"/>
    <s v="2025-07-19"/>
    <d v="2025-07-01T00:00:00"/>
    <s v="2025-07-20"/>
    <s v="July 2025"/>
    <s v="Late"/>
    <n v="1626.5"/>
    <n v="207883.25"/>
    <n v="1"/>
    <m/>
  </r>
  <r>
    <s v="SHP-00405"/>
    <s v="2025-08-03"/>
    <d v="2025-08-01T00:00:00"/>
    <s v="Eastern Industrial Supplies"/>
    <x v="0"/>
    <x v="0"/>
    <s v="TRK-030"/>
    <s v="M. Otieno"/>
    <n v="1155"/>
    <n v="95.27"/>
    <n v="110036.85"/>
    <n v="150"/>
    <s v="2025-08-04"/>
    <d v="2025-08-01T00:00:00"/>
    <s v="2025-08-04"/>
    <s v="August 2025"/>
    <s v="On Time"/>
    <n v="6381.73"/>
    <n v="116418.58"/>
    <n v="0"/>
    <m/>
  </r>
  <r>
    <s v="SHP-00406"/>
    <s v="2025-09-23"/>
    <d v="2025-09-01T00:00:00"/>
    <s v="Eastern Industrial Supplies"/>
    <x v="2"/>
    <x v="1"/>
    <s v="TRK-009"/>
    <s v="L. Wekesa"/>
    <n v="890"/>
    <n v="150.30000000000001"/>
    <n v="133767"/>
    <n v="364"/>
    <s v="2025-09-25"/>
    <d v="2025-09-01T00:00:00"/>
    <s v="2025-09-25"/>
    <s v="September 2025"/>
    <s v="On Time"/>
    <n v="18862.900000000001"/>
    <n v="152629.9"/>
    <n v="0"/>
    <m/>
  </r>
  <r>
    <s v="SHP-00407"/>
    <s v="2025-06-25"/>
    <d v="2025-06-01T00:00:00"/>
    <s v="CoastBuild Ltd"/>
    <x v="4"/>
    <x v="3"/>
    <s v="TRK-019"/>
    <s v="E. Achieng"/>
    <n v="2450"/>
    <n v="149.65"/>
    <n v="366642.5"/>
    <n v="256"/>
    <s v="2025-06-26"/>
    <d v="2025-06-01T00:00:00"/>
    <s v="2025-06-26"/>
    <s v="June 2025"/>
    <s v="On Time"/>
    <n v="12634.28"/>
    <n v="379276.78"/>
    <n v="0"/>
    <m/>
  </r>
  <r>
    <s v="SHP-00408"/>
    <s v="2025-08-02"/>
    <d v="2025-08-01T00:00:00"/>
    <s v="Rift Valley Manufacturing"/>
    <x v="2"/>
    <x v="3"/>
    <s v="TRK-013"/>
    <s v="L. Wekesa"/>
    <n v="1535"/>
    <n v="179.53"/>
    <n v="275578.55"/>
    <n v="122"/>
    <s v="2025-08-03"/>
    <d v="2025-08-01T00:00:00"/>
    <s v="2025-08-03"/>
    <s v="August 2025"/>
    <s v="On Time"/>
    <n v="6346.32"/>
    <n v="281924.87"/>
    <n v="0"/>
    <m/>
  </r>
  <r>
    <s v="SHP-00409"/>
    <s v="2025-01-15"/>
    <d v="2025-01-01T00:00:00"/>
    <s v="Highland Agro Processors"/>
    <x v="0"/>
    <x v="2"/>
    <s v="TRK-004"/>
    <s v="A. Hassan"/>
    <n v="1586"/>
    <n v="762.49"/>
    <n v="1209309.1399999999"/>
    <n v="455"/>
    <s v="2025-01-17"/>
    <d v="2025-01-01T00:00:00"/>
    <s v="2025-01-19"/>
    <s v="January 2025"/>
    <s v="Late"/>
    <n v="21446.58"/>
    <n v="1230755.72"/>
    <n v="2"/>
    <m/>
  </r>
  <r>
    <s v="SHP-00410"/>
    <s v="2025-11-03"/>
    <d v="2025-11-01T00:00:00"/>
    <s v="UrbanWorks Contractors"/>
    <x v="4"/>
    <x v="2"/>
    <s v="TRK-009"/>
    <s v="E. Achieng"/>
    <n v="1014"/>
    <n v="369.07"/>
    <n v="374236.98"/>
    <n v="291"/>
    <s v="2025-11-04"/>
    <d v="2025-11-01T00:00:00"/>
    <s v="2025-11-04"/>
    <s v="November 2025"/>
    <s v="On Time"/>
    <n v="13244.87"/>
    <n v="387481.85"/>
    <n v="0"/>
    <m/>
  </r>
  <r>
    <s v="SHP-00411"/>
    <s v="2025-04-27"/>
    <d v="2025-04-01T00:00:00"/>
    <s v="UrbanWorks Contractors"/>
    <x v="2"/>
    <x v="2"/>
    <s v="TRK-020"/>
    <s v="J. Mutua"/>
    <n v="134"/>
    <n v="280.24"/>
    <n v="37552.160000000003"/>
    <n v="116"/>
    <s v="2025-04-28"/>
    <d v="2025-04-01T00:00:00"/>
    <s v="2025-05-01"/>
    <s v="May 2025"/>
    <s v="Late"/>
    <n v="5759.7"/>
    <n v="43311.86"/>
    <n v="3"/>
    <m/>
  </r>
  <r>
    <s v="SHP-00412"/>
    <s v="2025-10-05"/>
    <d v="2025-10-01T00:00:00"/>
    <s v="UrbanWorks Contractors"/>
    <x v="1"/>
    <x v="1"/>
    <s v="TRK-018"/>
    <s v="E. Achieng"/>
    <n v="2143"/>
    <n v="725.64"/>
    <n v="1555046.52"/>
    <n v="340"/>
    <s v="2025-10-06"/>
    <d v="2025-10-01T00:00:00"/>
    <s v="2025-10-05"/>
    <s v="October 2025"/>
    <s v="On Time"/>
    <n v="17378.97"/>
    <n v="1572425.49"/>
    <n v="-1"/>
    <m/>
  </r>
  <r>
    <s v="SHP-00413"/>
    <s v="2025-03-21"/>
    <d v="2025-03-01T00:00:00"/>
    <s v="BlueWave Facilities"/>
    <x v="1"/>
    <x v="2"/>
    <s v="TRK-018"/>
    <s v="E. Achieng"/>
    <n v="1992"/>
    <n v="328.77"/>
    <n v="654909.84"/>
    <n v="219"/>
    <s v="2025-03-22"/>
    <d v="2025-03-01T00:00:00"/>
    <s v="2025-03-21"/>
    <s v="March 2025"/>
    <s v="On Time"/>
    <n v="7715.03"/>
    <n v="662624.87"/>
    <n v="-1"/>
    <m/>
  </r>
  <r>
    <s v="SHP-00414"/>
    <s v="2025-12-17"/>
    <d v="2025-12-01T00:00:00"/>
    <s v="BlueWave Facilities"/>
    <x v="3"/>
    <x v="2"/>
    <s v="TRK-019"/>
    <s v="S. Chebet"/>
    <n v="282"/>
    <n v="129.13999999999999"/>
    <n v="36417.480000000003"/>
    <n v="273"/>
    <s v="2025-12-18"/>
    <d v="2025-12-01T00:00:00"/>
    <s v="2025-12-18"/>
    <s v="December 2025"/>
    <s v="On Time"/>
    <n v="14655.15"/>
    <n v="51072.630000000005"/>
    <n v="0"/>
    <m/>
  </r>
  <r>
    <s v="SHP-00415"/>
    <s v="2025-03-10"/>
    <d v="2025-03-01T00:00:00"/>
    <s v="UrbanWorks Contractors"/>
    <x v="4"/>
    <x v="0"/>
    <s v="TRK-028"/>
    <s v="M. Otieno"/>
    <n v="91"/>
    <n v="276.69"/>
    <n v="25178.79"/>
    <n v="35"/>
    <s v="2025-03-11"/>
    <d v="2025-03-01T00:00:00"/>
    <s v="2025-03-11"/>
    <s v="March 2025"/>
    <s v="On Time"/>
    <n v="1302"/>
    <n v="26480.79"/>
    <n v="0"/>
    <m/>
  </r>
  <r>
    <s v="SHP-00416"/>
    <s v="2025-05-13"/>
    <d v="2025-05-01T00:00:00"/>
    <s v="Metro Packaging Ltd"/>
    <x v="0"/>
    <x v="0"/>
    <s v="TRK-004"/>
    <s v="L. Wekesa"/>
    <n v="2007"/>
    <n v="801.82"/>
    <n v="1609252.74"/>
    <n v="215"/>
    <s v="2025-05-14"/>
    <d v="2025-05-01T00:00:00"/>
    <s v="2025-05-13"/>
    <s v="May 2025"/>
    <s v="On Time"/>
    <n v="10956.24"/>
    <n v="1620208.98"/>
    <n v="-1"/>
    <m/>
  </r>
  <r>
    <s v="SHP-00417"/>
    <s v="2025-08-05"/>
    <d v="2025-08-01T00:00:00"/>
    <s v="UrbanWorks Contractors"/>
    <x v="3"/>
    <x v="3"/>
    <s v="TRK-006"/>
    <s v="P. Maina"/>
    <n v="2280"/>
    <n v="624.59"/>
    <n v="1424065.2"/>
    <n v="480"/>
    <s v="2025-08-07"/>
    <d v="2025-08-01T00:00:00"/>
    <s v="2025-08-10"/>
    <s v="August 2025"/>
    <s v="Late"/>
    <n v="22966.76"/>
    <n v="1447031.96"/>
    <n v="3"/>
    <m/>
  </r>
  <r>
    <s v="SHP-00418"/>
    <s v="2025-06-27"/>
    <d v="2025-06-01T00:00:00"/>
    <s v="CoastBuild Ltd"/>
    <x v="5"/>
    <x v="0"/>
    <s v="TRK-016"/>
    <s v="B. Kiprono"/>
    <n v="2059"/>
    <n v="380.08"/>
    <n v="782584.72"/>
    <n v="42"/>
    <s v="2025-06-28"/>
    <d v="2025-06-01T00:00:00"/>
    <s v="2025-06-28"/>
    <s v="June 2025"/>
    <s v="On Time"/>
    <n v="2578.04"/>
    <n v="785162.76"/>
    <n v="0"/>
    <m/>
  </r>
  <r>
    <s v="SHP-00419"/>
    <s v="2025-01-20"/>
    <d v="2025-01-01T00:00:00"/>
    <s v="UrbanWorks Contractors"/>
    <x v="5"/>
    <x v="3"/>
    <s v="TRK-009"/>
    <s v="L. Wekesa"/>
    <n v="1315"/>
    <n v="374.32"/>
    <n v="492230.8"/>
    <n v="600"/>
    <s v="2025-01-22"/>
    <d v="2025-01-01T00:00:00"/>
    <s v="2025-01-22"/>
    <s v="January 2025"/>
    <s v="On Time"/>
    <n v="0"/>
    <n v="492230.8"/>
    <n v="0"/>
    <m/>
  </r>
  <r>
    <s v="SHP-00420"/>
    <s v="2025-04-12"/>
    <d v="2025-04-01T00:00:00"/>
    <s v="Highland Agro Processors"/>
    <x v="5"/>
    <x v="3"/>
    <s v="TRK-024"/>
    <s v="P. Maina"/>
    <n v="983"/>
    <n v="373.44"/>
    <n v="367091.52"/>
    <n v="424"/>
    <s v="2025-04-14"/>
    <d v="2025-04-01T00:00:00"/>
    <s v="2025-04-16"/>
    <s v="April 2025"/>
    <s v="Late"/>
    <n v="20620.919999999998"/>
    <n v="387712.44"/>
    <n v="2"/>
    <m/>
  </r>
  <r>
    <s v="SHP-00421"/>
    <s v="2025-02-04"/>
    <d v="2025-02-01T00:00:00"/>
    <s v="UrbanWorks Contractors"/>
    <x v="2"/>
    <x v="2"/>
    <s v="TRK-023"/>
    <s v="B. Kiprono"/>
    <n v="1160"/>
    <n v="659.96"/>
    <n v="765553.6"/>
    <n v="518"/>
    <s v="2025-02-06"/>
    <d v="2025-02-01T00:00:00"/>
    <s v="2025-02-06"/>
    <s v="February 2025"/>
    <s v="On Time"/>
    <n v="22703.95"/>
    <n v="788257.54999999993"/>
    <n v="0"/>
    <m/>
  </r>
  <r>
    <s v="SHP-00422"/>
    <s v="2025-01-28"/>
    <d v="2025-01-01T00:00:00"/>
    <s v="CoastBuild Ltd"/>
    <x v="1"/>
    <x v="1"/>
    <s v="TRK-015"/>
    <s v="K. Barasa"/>
    <n v="1800"/>
    <n v="542.44000000000005"/>
    <n v="976392"/>
    <n v="116"/>
    <s v="2025-01-29"/>
    <d v="2025-01-01T00:00:00"/>
    <s v="2025-02-01"/>
    <s v="February 2025"/>
    <s v="Late"/>
    <n v="4655.21"/>
    <n v="981047.21"/>
    <n v="3"/>
    <m/>
  </r>
  <r>
    <s v="SHP-00423"/>
    <s v="2025-02-11"/>
    <d v="2025-02-01T00:00:00"/>
    <s v="Metro Packaging Ltd"/>
    <x v="4"/>
    <x v="2"/>
    <s v="TRK-007"/>
    <s v="K. Barasa"/>
    <n v="1412"/>
    <n v="180.18"/>
    <n v="254414.16"/>
    <n v="358"/>
    <s v="2025-02-13"/>
    <d v="2025-02-01T00:00:00"/>
    <s v="2025-02-13"/>
    <s v="February 2025"/>
    <s v="On Time"/>
    <n v="16199.13"/>
    <n v="270613.28999999998"/>
    <n v="0"/>
    <m/>
  </r>
  <r>
    <s v="SHP-00424"/>
    <s v="2025-01-08"/>
    <d v="2025-01-01T00:00:00"/>
    <s v="Metro Packaging Ltd"/>
    <x v="2"/>
    <x v="0"/>
    <s v="TRK-022"/>
    <s v="K. Barasa"/>
    <n v="2219"/>
    <n v="705.77"/>
    <n v="1566103.63"/>
    <n v="552"/>
    <s v="2025-01-10"/>
    <d v="2025-01-01T00:00:00"/>
    <s v="2025-01-10"/>
    <s v="January 2025"/>
    <s v="On Time"/>
    <n v="31065.439999999999"/>
    <n v="1597169.0699999998"/>
    <n v="0"/>
    <m/>
  </r>
  <r>
    <s v="SHP-00425"/>
    <s v="2025-10-05"/>
    <d v="2025-10-01T00:00:00"/>
    <s v="Highland Agro Processors"/>
    <x v="1"/>
    <x v="3"/>
    <s v="TRK-006"/>
    <s v="M. Otieno"/>
    <n v="461"/>
    <n v="289.35000000000002"/>
    <n v="133390.35"/>
    <n v="70"/>
    <s v="2025-10-06"/>
    <d v="2025-10-01T00:00:00"/>
    <s v="2025-10-07"/>
    <s v="October 2025"/>
    <s v="Late"/>
    <n v="2813.37"/>
    <n v="136203.72"/>
    <n v="1"/>
    <m/>
  </r>
  <r>
    <s v="SHP-00426"/>
    <s v="2025-10-09"/>
    <d v="2025-10-01T00:00:00"/>
    <s v="Eastern Industrial Supplies"/>
    <x v="0"/>
    <x v="2"/>
    <s v="TRK-022"/>
    <s v="P. Maina"/>
    <n v="1604"/>
    <n v="207.53"/>
    <n v="332878.12"/>
    <n v="102"/>
    <s v="2025-10-10"/>
    <d v="2025-10-01T00:00:00"/>
    <s v="2025-10-12"/>
    <s v="October 2025"/>
    <s v="Late"/>
    <n v="6148.99"/>
    <n v="339027.11"/>
    <n v="2"/>
    <m/>
  </r>
  <r>
    <s v="SHP-00427"/>
    <s v="2025-04-28"/>
    <d v="2025-04-01T00:00:00"/>
    <s v="UrbanWorks Contractors"/>
    <x v="2"/>
    <x v="0"/>
    <s v="TRK-017"/>
    <s v="K. Barasa"/>
    <n v="1250"/>
    <n v="73.56"/>
    <n v="91950"/>
    <n v="556"/>
    <s v="2025-04-30"/>
    <d v="2025-04-01T00:00:00"/>
    <s v="2025-04-29"/>
    <s v="April 2025"/>
    <s v="On Time"/>
    <n v="32388.97"/>
    <n v="124338.97"/>
    <n v="-1"/>
    <m/>
  </r>
  <r>
    <s v="SHP-00428"/>
    <s v="2025-09-23"/>
    <d v="2025-09-01T00:00:00"/>
    <s v="Rift Valley Manufacturing"/>
    <x v="5"/>
    <x v="2"/>
    <s v="TRK-024"/>
    <s v="E. Achieng"/>
    <n v="1569"/>
    <n v="681.71"/>
    <n v="1069602.99"/>
    <n v="544"/>
    <s v="2025-09-25"/>
    <d v="2025-09-01T00:00:00"/>
    <s v="2025-09-25"/>
    <s v="September 2025"/>
    <s v="On Time"/>
    <n v="33342.550000000003"/>
    <n v="1102945.54"/>
    <n v="0"/>
    <m/>
  </r>
  <r>
    <s v="SHP-00429"/>
    <s v="2025-04-09"/>
    <d v="2025-04-01T00:00:00"/>
    <s v="Highland Agro Processors"/>
    <x v="3"/>
    <x v="2"/>
    <s v="TRK-008"/>
    <s v="B. Kiprono"/>
    <n v="1032"/>
    <n v="183.79"/>
    <n v="189671.28"/>
    <n v="199"/>
    <s v="2025-04-10"/>
    <d v="2025-04-01T00:00:00"/>
    <s v="2025-04-14"/>
    <s v="April 2025"/>
    <s v="Late"/>
    <n v="11778.1"/>
    <n v="201449.38"/>
    <n v="4"/>
    <m/>
  </r>
  <r>
    <s v="SHP-00430"/>
    <s v="2025-09-23"/>
    <d v="2025-09-01T00:00:00"/>
    <s v="Metro Packaging Ltd"/>
    <x v="0"/>
    <x v="1"/>
    <s v="TRK-019"/>
    <s v="K. Barasa"/>
    <n v="1770"/>
    <n v="891.96"/>
    <n v="1578769.2"/>
    <n v="82"/>
    <s v="2025-09-24"/>
    <d v="2025-09-01T00:00:00"/>
    <s v="2025-09-25"/>
    <s v="September 2025"/>
    <s v="Late"/>
    <n v="3046.6"/>
    <n v="1581815.8"/>
    <n v="1"/>
    <m/>
  </r>
  <r>
    <s v="SHP-00431"/>
    <s v="2025-08-08"/>
    <d v="2025-08-01T00:00:00"/>
    <s v="Eastern Industrial Supplies"/>
    <x v="1"/>
    <x v="1"/>
    <s v="TRK-017"/>
    <s v="M. Otieno"/>
    <n v="593"/>
    <n v="402"/>
    <n v="238386"/>
    <n v="424"/>
    <s v="2025-08-10"/>
    <d v="2025-08-01T00:00:00"/>
    <s v="2025-08-14"/>
    <s v="August 2025"/>
    <s v="Late"/>
    <n v="19086.47"/>
    <n v="257472.47"/>
    <n v="4"/>
    <m/>
  </r>
  <r>
    <s v="SHP-00432"/>
    <s v="2025-07-30"/>
    <d v="2025-07-01T00:00:00"/>
    <s v="Rift Valley Manufacturing"/>
    <x v="2"/>
    <x v="2"/>
    <s v="TRK-011"/>
    <s v="M. Otieno"/>
    <n v="1788"/>
    <n v="393.64"/>
    <n v="703828.32"/>
    <n v="247"/>
    <s v="2025-07-31"/>
    <d v="2025-07-01T00:00:00"/>
    <s v="2025-07-31"/>
    <s v="July 2025"/>
    <s v="On Time"/>
    <n v="10832.95"/>
    <n v="714661.2699999999"/>
    <n v="0"/>
    <m/>
  </r>
  <r>
    <s v="SHP-00433"/>
    <s v="2025-08-07"/>
    <d v="2025-08-01T00:00:00"/>
    <s v="Eastern Industrial Supplies"/>
    <x v="2"/>
    <x v="2"/>
    <s v="TRK-023"/>
    <s v="D. Said"/>
    <n v="577"/>
    <n v="141.06"/>
    <n v="81391.62"/>
    <n v="249"/>
    <s v="2025-08-08"/>
    <d v="2025-08-01T00:00:00"/>
    <s v="2025-08-07"/>
    <s v="August 2025"/>
    <s v="On Time"/>
    <n v="10898.34"/>
    <n v="92289.959999999992"/>
    <n v="-1"/>
    <m/>
  </r>
  <r>
    <s v="SHP-00434"/>
    <s v="2025-06-19"/>
    <d v="2025-06-01T00:00:00"/>
    <s v="UrbanWorks Contractors"/>
    <x v="2"/>
    <x v="1"/>
    <s v="TRK-025"/>
    <s v="L. Wekesa"/>
    <n v="1345"/>
    <n v="348.11"/>
    <n v="468207.95"/>
    <n v="214"/>
    <s v="2025-06-20"/>
    <d v="2025-06-01T00:00:00"/>
    <s v="2025-06-22"/>
    <s v="June 2025"/>
    <s v="Late"/>
    <n v="10745.78"/>
    <n v="478953.73000000004"/>
    <n v="2"/>
    <m/>
  </r>
  <r>
    <s v="SHP-00435"/>
    <s v="2025-07-11"/>
    <d v="2025-07-01T00:00:00"/>
    <s v="Highland Agro Processors"/>
    <x v="0"/>
    <x v="1"/>
    <s v="TRK-029"/>
    <s v="B. Kiprono"/>
    <n v="1719"/>
    <n v="530.01"/>
    <n v="911087.19"/>
    <n v="240"/>
    <s v="2025-07-12"/>
    <d v="2025-07-01T00:00:00"/>
    <s v="2025-07-12"/>
    <s v="July 2025"/>
    <s v="On Time"/>
    <n v="11640.44"/>
    <n v="922727.62999999989"/>
    <n v="0"/>
    <m/>
  </r>
  <r>
    <s v="SHP-00436"/>
    <s v="2025-12-10"/>
    <d v="2025-12-01T00:00:00"/>
    <s v="CoastBuild Ltd"/>
    <x v="0"/>
    <x v="3"/>
    <s v="TRK-009"/>
    <s v="M. Otieno"/>
    <n v="113"/>
    <n v="325.64999999999998"/>
    <n v="36798.449999999997"/>
    <n v="525"/>
    <s v="2025-12-12"/>
    <d v="2025-12-01T00:00:00"/>
    <s v="2025-12-11"/>
    <s v="December 2025"/>
    <s v="On Time"/>
    <n v="27619.63"/>
    <n v="64418.080000000002"/>
    <n v="-1"/>
    <m/>
  </r>
  <r>
    <s v="SHP-00437"/>
    <s v="2025-06-25"/>
    <d v="2025-06-01T00:00:00"/>
    <s v="UrbanWorks Contractors"/>
    <x v="4"/>
    <x v="0"/>
    <s v="TRK-022"/>
    <s v="L. Wekesa"/>
    <n v="1024"/>
    <n v="730.56"/>
    <n v="748093.43999999994"/>
    <n v="528"/>
    <s v="2025-06-27"/>
    <d v="2025-06-01T00:00:00"/>
    <s v="2025-06-27"/>
    <s v="June 2025"/>
    <s v="On Time"/>
    <n v="22248.25"/>
    <n v="770341.69"/>
    <n v="0"/>
    <m/>
  </r>
  <r>
    <s v="SHP-00438"/>
    <s v="2025-10-18"/>
    <d v="2025-10-01T00:00:00"/>
    <s v="Highland Agro Processors"/>
    <x v="0"/>
    <x v="2"/>
    <s v="TRK-017"/>
    <s v="E. Achieng"/>
    <n v="1541"/>
    <n v="582.1"/>
    <n v="897016.1"/>
    <n v="210"/>
    <s v="2025-10-19"/>
    <d v="2025-10-01T00:00:00"/>
    <s v="2025-10-18"/>
    <s v="October 2025"/>
    <s v="On Time"/>
    <n v="8540.73"/>
    <n v="905556.83"/>
    <n v="-1"/>
    <m/>
  </r>
  <r>
    <s v="SHP-00439"/>
    <s v="2025-03-23"/>
    <d v="2025-03-01T00:00:00"/>
    <s v="CoastBuild Ltd"/>
    <x v="4"/>
    <x v="2"/>
    <s v="TRK-008"/>
    <s v="J. Mutua"/>
    <n v="428"/>
    <n v="150.93"/>
    <n v="64598.04"/>
    <n v="602"/>
    <s v="2025-03-25"/>
    <d v="2025-03-01T00:00:00"/>
    <s v="2025-03-26"/>
    <s v="March 2025"/>
    <s v="Late"/>
    <n v="36470.239999999998"/>
    <n v="101068.28"/>
    <n v="1"/>
    <m/>
  </r>
  <r>
    <s v="SHP-00440"/>
    <s v="2025-05-30"/>
    <d v="2025-05-01T00:00:00"/>
    <s v="Rift Valley Manufacturing"/>
    <x v="0"/>
    <x v="2"/>
    <s v="TRK-003"/>
    <s v="E. Achieng"/>
    <n v="932"/>
    <n v="495.67"/>
    <n v="461964.44"/>
    <n v="520"/>
    <s v="2025-06-01"/>
    <d v="2025-06-01T00:00:00"/>
    <s v="2025-06-01"/>
    <s v="June 2025"/>
    <s v="On Time"/>
    <n v="29672.12"/>
    <n v="491636.56"/>
    <n v="0"/>
    <m/>
  </r>
  <r>
    <s v="SHP-00441"/>
    <s v="2025-04-08"/>
    <d v="2025-04-01T00:00:00"/>
    <s v="Lake Region Water Services"/>
    <x v="0"/>
    <x v="2"/>
    <s v="TRK-012"/>
    <s v="L. Wekesa"/>
    <n v="1876"/>
    <n v="736.22"/>
    <n v="1381148.72"/>
    <n v="584"/>
    <s v="2025-04-10"/>
    <d v="2025-04-01T00:00:00"/>
    <s v="2025-04-12"/>
    <s v="April 2025"/>
    <s v="Late"/>
    <n v="29944.71"/>
    <n v="1411093.43"/>
    <n v="2"/>
    <m/>
  </r>
  <r>
    <s v="SHP-00442"/>
    <s v="2025-07-29"/>
    <d v="2025-07-01T00:00:00"/>
    <s v="Eastern Industrial Supplies"/>
    <x v="1"/>
    <x v="0"/>
    <s v="TRK-016"/>
    <s v="L. Wekesa"/>
    <n v="1683"/>
    <n v="677.59"/>
    <n v="1140383.97"/>
    <n v="65"/>
    <s v="2025-07-30"/>
    <d v="2025-07-01T00:00:00"/>
    <s v="2025-07-30"/>
    <s v="July 2025"/>
    <s v="On Time"/>
    <n v="3421.86"/>
    <n v="1143805.83"/>
    <n v="0"/>
    <m/>
  </r>
  <r>
    <s v="SHP-00443"/>
    <s v="2025-02-02"/>
    <d v="2025-02-01T00:00:00"/>
    <s v="Metro Packaging Ltd"/>
    <x v="4"/>
    <x v="0"/>
    <s v="TRK-028"/>
    <s v="J. Mutua"/>
    <n v="736"/>
    <n v="553.36"/>
    <n v="407272.96000000002"/>
    <n v="442"/>
    <s v="2025-02-04"/>
    <d v="2025-02-01T00:00:00"/>
    <s v="2025-02-04"/>
    <s v="February 2025"/>
    <s v="On Time"/>
    <n v="21541.07"/>
    <n v="428814.03"/>
    <n v="0"/>
    <m/>
  </r>
  <r>
    <s v="SHP-00444"/>
    <s v="2025-07-20"/>
    <d v="2025-07-01T00:00:00"/>
    <s v="Metro Packaging Ltd"/>
    <x v="1"/>
    <x v="0"/>
    <s v="TRK-027"/>
    <s v="L. Wekesa"/>
    <n v="868"/>
    <n v="189.53"/>
    <n v="164512.04"/>
    <n v="255"/>
    <s v="2025-07-21"/>
    <d v="2025-07-01T00:00:00"/>
    <s v="2025-07-21"/>
    <s v="July 2025"/>
    <s v="On Time"/>
    <n v="15636.22"/>
    <n v="180148.26"/>
    <n v="0"/>
    <m/>
  </r>
  <r>
    <s v="SHP-00445"/>
    <s v="2025-09-13"/>
    <d v="2025-09-01T00:00:00"/>
    <s v="Highland Agro Processors"/>
    <x v="1"/>
    <x v="3"/>
    <s v="TRK-004"/>
    <s v="M. Otieno"/>
    <n v="641"/>
    <n v="663.23"/>
    <n v="425130.43"/>
    <n v="690"/>
    <s v="2025-09-15"/>
    <d v="2025-09-01T00:00:00"/>
    <s v="2025-09-17"/>
    <s v="September 2025"/>
    <s v="Late"/>
    <n v="37316.730000000003"/>
    <n v="462447.16"/>
    <n v="2"/>
    <m/>
  </r>
  <r>
    <s v="SHP-00446"/>
    <s v="2025-01-08"/>
    <d v="2025-01-01T00:00:00"/>
    <s v="BlueWave Facilities"/>
    <x v="2"/>
    <x v="3"/>
    <s v="TRK-025"/>
    <s v="E. Achieng"/>
    <n v="2269"/>
    <n v="526.77"/>
    <n v="1195241.1299999999"/>
    <n v="470"/>
    <s v="2025-01-10"/>
    <d v="2025-01-01T00:00:00"/>
    <s v="2025-01-12"/>
    <s v="January 2025"/>
    <s v="Late"/>
    <n v="22719.81"/>
    <n v="1217960.94"/>
    <n v="2"/>
    <m/>
  </r>
  <r>
    <s v="SHP-00447"/>
    <s v="2025-07-05"/>
    <d v="2025-07-01T00:00:00"/>
    <s v="CoastBuild Ltd"/>
    <x v="0"/>
    <x v="2"/>
    <s v="TRK-020"/>
    <s v="S. Chebet"/>
    <n v="1394"/>
    <n v="555.08000000000004"/>
    <n v="773781.52"/>
    <n v="692"/>
    <s v="2025-07-07"/>
    <d v="2025-07-01T00:00:00"/>
    <s v="2025-07-09"/>
    <s v="July 2025"/>
    <s v="Late"/>
    <n v="37565.97"/>
    <n v="811347.49"/>
    <n v="2"/>
    <m/>
  </r>
  <r>
    <s v="SHP-00448"/>
    <s v="2025-12-23"/>
    <d v="2025-12-01T00:00:00"/>
    <s v="BlueWave Facilities"/>
    <x v="2"/>
    <x v="2"/>
    <s v="TRK-016"/>
    <s v="A. Hassan"/>
    <n v="1803"/>
    <n v="806.26"/>
    <n v="1453686.78"/>
    <n v="708"/>
    <s v="2025-12-26"/>
    <d v="2025-12-01T00:00:00"/>
    <s v="2025-12-25"/>
    <s v="December 2025"/>
    <s v="On Time"/>
    <n v="36860.53"/>
    <n v="1490547.31"/>
    <n v="-1"/>
    <m/>
  </r>
  <r>
    <s v="SHP-00449"/>
    <s v="2025-06-06"/>
    <d v="2025-06-01T00:00:00"/>
    <s v="Eastern Industrial Supplies"/>
    <x v="0"/>
    <x v="0"/>
    <s v="TRK-025"/>
    <s v="B. Kiprono"/>
    <n v="1807"/>
    <n v="453.02"/>
    <n v="818607.14"/>
    <n v="202"/>
    <s v="2025-06-07"/>
    <d v="2025-06-01T00:00:00"/>
    <s v="2025-06-07"/>
    <s v="June 2025"/>
    <s v="On Time"/>
    <n v="12028.36"/>
    <n v="830635.5"/>
    <n v="0"/>
    <m/>
  </r>
  <r>
    <s v="SHP-00450"/>
    <s v="2025-04-17"/>
    <d v="2025-04-01T00:00:00"/>
    <s v="Lake Region Water Services"/>
    <x v="5"/>
    <x v="1"/>
    <s v="TRK-016"/>
    <s v="E. Achieng"/>
    <n v="924"/>
    <n v="195.23"/>
    <n v="180392.52"/>
    <n v="565"/>
    <s v="2025-04-19"/>
    <d v="2025-04-01T00:00:00"/>
    <s v="2025-04-18"/>
    <s v="April 2025"/>
    <s v="On Time"/>
    <n v="28391.67"/>
    <n v="208784.19"/>
    <n v="-1"/>
    <m/>
  </r>
  <r>
    <s v="SHP-00451"/>
    <s v="2025-03-25"/>
    <d v="2025-03-01T00:00:00"/>
    <s v="CoastBuild Ltd"/>
    <x v="2"/>
    <x v="2"/>
    <s v="TRK-013"/>
    <s v="A. Hassan"/>
    <n v="1368"/>
    <n v="193.08"/>
    <n v="264133.44"/>
    <n v="384"/>
    <s v="2025-03-27"/>
    <d v="2025-03-01T00:00:00"/>
    <s v="2025-03-30"/>
    <s v="March 2025"/>
    <s v="Late"/>
    <n v="17188.759999999998"/>
    <n v="281322.2"/>
    <n v="3"/>
    <m/>
  </r>
  <r>
    <s v="SHP-00452"/>
    <s v="2025-09-14"/>
    <d v="2025-09-01T00:00:00"/>
    <s v="BlueWave Facilities"/>
    <x v="5"/>
    <x v="1"/>
    <s v="TRK-011"/>
    <s v="K. Barasa"/>
    <n v="659"/>
    <n v="858.29"/>
    <n v="565613.11"/>
    <n v="222"/>
    <s v="2025-09-15"/>
    <d v="2025-09-01T00:00:00"/>
    <s v="2025-09-18"/>
    <s v="September 2025"/>
    <s v="Late"/>
    <n v="8949.3700000000008"/>
    <n v="574562.48"/>
    <n v="3"/>
    <m/>
  </r>
  <r>
    <s v="SHP-00453"/>
    <s v="2025-10-04"/>
    <d v="2025-10-01T00:00:00"/>
    <s v="CoastBuild Ltd"/>
    <x v="4"/>
    <x v="0"/>
    <s v="TRK-013"/>
    <s v="B. Kiprono"/>
    <n v="1976"/>
    <n v="647.91"/>
    <n v="1280270.1599999999"/>
    <n v="456"/>
    <s v="2025-10-06"/>
    <d v="2025-10-01T00:00:00"/>
    <s v="2025-10-06"/>
    <s v="October 2025"/>
    <s v="On Time"/>
    <n v="25396.53"/>
    <n v="1305666.69"/>
    <n v="0"/>
    <m/>
  </r>
  <r>
    <s v="SHP-00454"/>
    <s v="2025-12-30"/>
    <d v="2025-12-01T00:00:00"/>
    <s v="Rift Valley Manufacturing"/>
    <x v="3"/>
    <x v="2"/>
    <s v="TRK-020"/>
    <s v="J. Mutua"/>
    <n v="826"/>
    <n v="582.96"/>
    <n v="481524.96"/>
    <n v="150"/>
    <s v="2025-12-31"/>
    <d v="2025-12-01T00:00:00"/>
    <s v="2025-12-30"/>
    <s v="December 2025"/>
    <s v="On Time"/>
    <n v="5483.94"/>
    <n v="487008.9"/>
    <n v="-1"/>
    <m/>
  </r>
  <r>
    <s v="SHP-00455"/>
    <s v="2025-12-07"/>
    <d v="2025-12-01T00:00:00"/>
    <s v="Lake Region Water Services"/>
    <x v="2"/>
    <x v="2"/>
    <s v="TRK-008"/>
    <s v="J. Mutua"/>
    <n v="363"/>
    <n v="265.29000000000002"/>
    <n v="96300.27"/>
    <n v="553"/>
    <s v="2025-12-09"/>
    <d v="2025-12-01T00:00:00"/>
    <s v="2025-12-12"/>
    <s v="December 2025"/>
    <s v="Late"/>
    <n v="31871.83"/>
    <n v="128172.1"/>
    <n v="3"/>
    <m/>
  </r>
  <r>
    <s v="SHP-00456"/>
    <s v="2025-11-13"/>
    <d v="2025-11-01T00:00:00"/>
    <s v="BlueWave Facilities"/>
    <x v="2"/>
    <x v="2"/>
    <s v="TRK-012"/>
    <s v="A. Hassan"/>
    <n v="1851"/>
    <n v="379.63"/>
    <n v="702695.13"/>
    <n v="642"/>
    <s v="2025-11-15"/>
    <d v="2025-11-01T00:00:00"/>
    <s v="2025-11-17"/>
    <s v="November 2025"/>
    <s v="Late"/>
    <n v="38097.89"/>
    <n v="740793.02"/>
    <n v="2"/>
    <m/>
  </r>
  <r>
    <s v="SHP-00457"/>
    <s v="2025-07-08"/>
    <d v="2025-07-01T00:00:00"/>
    <s v="BlueWave Facilities"/>
    <x v="0"/>
    <x v="0"/>
    <s v="TRK-014"/>
    <s v="S. Chebet"/>
    <n v="1517"/>
    <n v="496.93"/>
    <n v="753842.81"/>
    <n v="17"/>
    <s v="2025-07-09"/>
    <d v="2025-07-01T00:00:00"/>
    <s v="2025-07-12"/>
    <s v="July 2025"/>
    <s v="Late"/>
    <n v="619.72"/>
    <n v="754462.53"/>
    <n v="3"/>
    <m/>
  </r>
  <r>
    <s v="SHP-00458"/>
    <s v="2025-04-03"/>
    <d v="2025-04-01T00:00:00"/>
    <s v="Highland Agro Processors"/>
    <x v="0"/>
    <x v="2"/>
    <s v="TRK-015"/>
    <s v="A. Hassan"/>
    <n v="53"/>
    <n v="496.69"/>
    <n v="26324.57"/>
    <n v="394"/>
    <s v="2025-04-05"/>
    <d v="2025-04-01T00:00:00"/>
    <s v="2025-04-04"/>
    <s v="April 2025"/>
    <s v="On Time"/>
    <n v="21429.68"/>
    <n v="47754.25"/>
    <n v="-1"/>
    <m/>
  </r>
  <r>
    <s v="SHP-00459"/>
    <s v="2025-10-01"/>
    <d v="2025-10-01T00:00:00"/>
    <s v="Lake Region Water Services"/>
    <x v="2"/>
    <x v="0"/>
    <s v="TRK-027"/>
    <s v="M. Otieno"/>
    <n v="646"/>
    <n v="872.26"/>
    <n v="563479.96"/>
    <n v="373"/>
    <s v="2025-10-03"/>
    <d v="2025-10-01T00:00:00"/>
    <s v="2025-10-02"/>
    <s v="October 2025"/>
    <s v="On Time"/>
    <n v="18628.02"/>
    <n v="582107.98"/>
    <n v="-1"/>
    <m/>
  </r>
  <r>
    <s v="SHP-00460"/>
    <s v="2025-07-06"/>
    <d v="2025-07-01T00:00:00"/>
    <s v="Eastern Industrial Supplies"/>
    <x v="1"/>
    <x v="1"/>
    <s v="TRK-028"/>
    <s v="P. Maina"/>
    <n v="2468"/>
    <n v="882.71"/>
    <n v="2178528.2799999998"/>
    <n v="584"/>
    <s v="2025-07-08"/>
    <d v="2025-07-01T00:00:00"/>
    <s v="2025-07-07"/>
    <s v="July 2025"/>
    <s v="On Time"/>
    <n v="28673.68"/>
    <n v="2207201.96"/>
    <n v="-1"/>
    <m/>
  </r>
  <r>
    <s v="SHP-00461"/>
    <s v="2025-04-10"/>
    <d v="2025-04-01T00:00:00"/>
    <s v="Metro Packaging Ltd"/>
    <x v="1"/>
    <x v="0"/>
    <s v="TRK-016"/>
    <s v="K. Barasa"/>
    <n v="1519"/>
    <n v="259.66000000000003"/>
    <n v="394423.54"/>
    <n v="483"/>
    <s v="2025-04-12"/>
    <d v="2025-04-01T00:00:00"/>
    <s v="2025-04-11"/>
    <s v="April 2025"/>
    <s v="On Time"/>
    <n v="19890.53"/>
    <n v="414314.06999999995"/>
    <n v="-1"/>
    <m/>
  </r>
  <r>
    <s v="SHP-00462"/>
    <s v="2025-04-08"/>
    <d v="2025-04-01T00:00:00"/>
    <s v="Lake Region Water Services"/>
    <x v="0"/>
    <x v="1"/>
    <s v="TRK-005"/>
    <s v="E. Achieng"/>
    <n v="564"/>
    <n v="150.91999999999999"/>
    <n v="85118.88"/>
    <n v="389"/>
    <s v="2025-04-10"/>
    <d v="2025-04-01T00:00:00"/>
    <s v="2025-04-09"/>
    <s v="April 2025"/>
    <s v="On Time"/>
    <n v="21371.8"/>
    <n v="106490.68000000001"/>
    <n v="-1"/>
    <m/>
  </r>
  <r>
    <s v="SHP-00463"/>
    <s v="2025-04-06"/>
    <d v="2025-04-01T00:00:00"/>
    <s v="Highland Agro Processors"/>
    <x v="0"/>
    <x v="2"/>
    <s v="TRK-009"/>
    <s v="E. Achieng"/>
    <n v="2224"/>
    <n v="837.23"/>
    <n v="1861999.52"/>
    <n v="94"/>
    <s v="2025-04-07"/>
    <d v="2025-04-01T00:00:00"/>
    <s v="2025-04-06"/>
    <s v="April 2025"/>
    <s v="On Time"/>
    <n v="3878.88"/>
    <n v="1865878.4"/>
    <n v="-1"/>
    <m/>
  </r>
  <r>
    <s v="SHP-00464"/>
    <s v="2025-02-06"/>
    <d v="2025-02-01T00:00:00"/>
    <s v="CoastBuild Ltd"/>
    <x v="0"/>
    <x v="3"/>
    <s v="TRK-023"/>
    <s v="A. Hassan"/>
    <n v="2407"/>
    <n v="867.81"/>
    <n v="2088818.67"/>
    <n v="123"/>
    <s v="2025-02-07"/>
    <d v="2025-02-01T00:00:00"/>
    <s v="2025-02-08"/>
    <s v="February 2025"/>
    <s v="Late"/>
    <n v="5273.7"/>
    <n v="2094092.3699999999"/>
    <n v="1"/>
    <m/>
  </r>
  <r>
    <s v="SHP-00465"/>
    <s v="2025-12-24"/>
    <d v="2025-12-01T00:00:00"/>
    <s v="CoastBuild Ltd"/>
    <x v="1"/>
    <x v="2"/>
    <s v="TRK-016"/>
    <s v="M. Otieno"/>
    <n v="2451"/>
    <n v="234.14"/>
    <n v="573877.14"/>
    <n v="390"/>
    <s v="2025-12-26"/>
    <d v="2025-12-01T00:00:00"/>
    <s v="2025-12-26"/>
    <s v="December 2025"/>
    <s v="On Time"/>
    <n v="17681.150000000001"/>
    <n v="591558.29"/>
    <n v="0"/>
    <m/>
  </r>
  <r>
    <s v="SHP-00466"/>
    <s v="2025-04-26"/>
    <d v="2025-04-01T00:00:00"/>
    <s v="BlueWave Facilities"/>
    <x v="4"/>
    <x v="2"/>
    <s v="TRK-009"/>
    <s v="S. Chebet"/>
    <n v="2149"/>
    <n v="165.01"/>
    <n v="354606.49"/>
    <n v="680"/>
    <s v="2025-04-28"/>
    <d v="2025-04-01T00:00:00"/>
    <s v="2025-04-28"/>
    <s v="April 2025"/>
    <s v="On Time"/>
    <n v="24026.49"/>
    <n v="378632.98"/>
    <n v="0"/>
    <m/>
  </r>
  <r>
    <s v="SHP-00467"/>
    <s v="2025-01-26"/>
    <d v="2025-01-01T00:00:00"/>
    <s v="Highland Agro Processors"/>
    <x v="2"/>
    <x v="2"/>
    <s v="TRK-012"/>
    <s v="K. Barasa"/>
    <n v="719"/>
    <n v="97.86"/>
    <n v="70361.34"/>
    <n v="285"/>
    <s v="2025-01-27"/>
    <d v="2025-01-01T00:00:00"/>
    <s v="2025-01-29"/>
    <s v="January 2025"/>
    <s v="Late"/>
    <n v="17265.12"/>
    <n v="87626.459999999992"/>
    <n v="2"/>
    <m/>
  </r>
  <r>
    <s v="SHP-00468"/>
    <s v="2025-05-08"/>
    <d v="2025-05-01T00:00:00"/>
    <s v="UrbanWorks Contractors"/>
    <x v="5"/>
    <x v="2"/>
    <s v="TRK-028"/>
    <s v="B. Kiprono"/>
    <n v="1096"/>
    <n v="650.16999999999996"/>
    <n v="712586.32"/>
    <n v="80"/>
    <s v="2025-05-09"/>
    <d v="2025-05-01T00:00:00"/>
    <s v="2025-05-09"/>
    <s v="May 2025"/>
    <s v="On Time"/>
    <n v="3944.43"/>
    <n v="716530.75"/>
    <n v="0"/>
    <m/>
  </r>
  <r>
    <s v="SHP-00469"/>
    <s v="2025-04-02"/>
    <d v="2025-04-01T00:00:00"/>
    <s v="Metro Packaging Ltd"/>
    <x v="2"/>
    <x v="0"/>
    <s v="TRK-025"/>
    <s v="J. Mutua"/>
    <n v="2002"/>
    <n v="439.85"/>
    <n v="880579.7"/>
    <n v="589"/>
    <s v="2025-04-04"/>
    <d v="2025-04-01T00:00:00"/>
    <s v="2025-04-03"/>
    <s v="April 2025"/>
    <s v="On Time"/>
    <n v="35816.5"/>
    <n v="916396.2"/>
    <n v="-1"/>
    <m/>
  </r>
  <r>
    <s v="SHP-00470"/>
    <s v="2025-10-05"/>
    <d v="2025-10-01T00:00:00"/>
    <s v="Highland Agro Processors"/>
    <x v="3"/>
    <x v="1"/>
    <s v="TRK-025"/>
    <s v="D. Said"/>
    <n v="2032"/>
    <n v="762.25"/>
    <n v="1548892"/>
    <n v="292"/>
    <s v="2025-10-06"/>
    <d v="2025-10-01T00:00:00"/>
    <s v="2025-10-08"/>
    <s v="October 2025"/>
    <s v="Late"/>
    <n v="16186.22"/>
    <n v="1565078.22"/>
    <n v="2"/>
    <m/>
  </r>
  <r>
    <s v="SHP-00471"/>
    <s v="2025-03-03"/>
    <d v="2025-03-01T00:00:00"/>
    <s v="Rift Valley Manufacturing"/>
    <x v="0"/>
    <x v="2"/>
    <s v="TRK-015"/>
    <s v="A. Hassan"/>
    <n v="1877"/>
    <n v="277.19"/>
    <n v="520285.63"/>
    <n v="97"/>
    <s v="2025-03-04"/>
    <d v="2025-03-01T00:00:00"/>
    <s v="2025-03-04"/>
    <s v="March 2025"/>
    <s v="On Time"/>
    <n v="4897.7299999999996"/>
    <n v="525183.36"/>
    <n v="0"/>
    <m/>
  </r>
  <r>
    <s v="SHP-00472"/>
    <s v="2025-07-15"/>
    <d v="2025-07-01T00:00:00"/>
    <s v="Lake Region Water Services"/>
    <x v="4"/>
    <x v="2"/>
    <s v="TRK-014"/>
    <s v="B. Kiprono"/>
    <n v="2101"/>
    <n v="702.52"/>
    <n v="1475994.52"/>
    <n v="657"/>
    <s v="2025-07-17"/>
    <d v="2025-07-01T00:00:00"/>
    <s v="2025-07-17"/>
    <s v="July 2025"/>
    <s v="On Time"/>
    <n v="28945.3"/>
    <n v="1504939.82"/>
    <n v="0"/>
    <m/>
  </r>
  <r>
    <s v="SHP-00473"/>
    <s v="2025-01-29"/>
    <d v="2025-01-01T00:00:00"/>
    <s v="UrbanWorks Contractors"/>
    <x v="5"/>
    <x v="3"/>
    <s v="TRK-006"/>
    <s v="S. Chebet"/>
    <n v="625"/>
    <n v="53.76"/>
    <n v="33600"/>
    <n v="604"/>
    <s v="2025-01-31"/>
    <d v="2025-01-01T00:00:00"/>
    <s v="2025-02-01"/>
    <s v="February 2025"/>
    <s v="Late"/>
    <n v="22156.02"/>
    <n v="55756.020000000004"/>
    <n v="1"/>
    <m/>
  </r>
  <r>
    <s v="SHP-00474"/>
    <s v="2025-10-19"/>
    <d v="2025-10-01T00:00:00"/>
    <s v="Metro Packaging Ltd"/>
    <x v="3"/>
    <x v="2"/>
    <s v="TRK-021"/>
    <s v="Not Found"/>
    <n v="713"/>
    <n v="83.28"/>
    <n v="59378.64"/>
    <n v="687"/>
    <s v="2025-10-21"/>
    <d v="2025-10-01T00:00:00"/>
    <s v="2025-10-21"/>
    <s v="October 2025"/>
    <s v="On Time"/>
    <n v="26777.91"/>
    <n v="86156.55"/>
    <n v="0"/>
    <m/>
  </r>
  <r>
    <s v="SHP-00475"/>
    <s v="2025-12-06"/>
    <d v="2025-12-01T00:00:00"/>
    <s v="Eastern Industrial Supplies"/>
    <x v="2"/>
    <x v="1"/>
    <s v="TRK-009"/>
    <s v="D. Said"/>
    <n v="2397"/>
    <n v="544.66"/>
    <n v="1305550.02"/>
    <n v="510"/>
    <s v="2025-12-08"/>
    <d v="2025-12-01T00:00:00"/>
    <s v="2025-12-11"/>
    <s v="December 2025"/>
    <s v="Late"/>
    <n v="30193.15"/>
    <n v="1335743.17"/>
    <n v="3"/>
    <m/>
  </r>
  <r>
    <s v="SHP-00476"/>
    <s v="2025-08-02"/>
    <d v="2025-08-01T00:00:00"/>
    <s v="Highland Agro Processors"/>
    <x v="4"/>
    <x v="1"/>
    <s v="TRK-014"/>
    <s v="A. Hassan"/>
    <n v="988"/>
    <n v="634.97"/>
    <n v="627350.36"/>
    <n v="639"/>
    <s v="2025-08-04"/>
    <d v="2025-08-01T00:00:00"/>
    <s v="2025-08-04"/>
    <s v="August 2025"/>
    <s v="On Time"/>
    <n v="22482"/>
    <n v="649832.36"/>
    <n v="0"/>
    <m/>
  </r>
  <r>
    <s v="SHP-00477"/>
    <s v="2025-04-17"/>
    <d v="2025-04-01T00:00:00"/>
    <s v="Lake Region Water Services"/>
    <x v="5"/>
    <x v="0"/>
    <s v="TRK-024"/>
    <s v="L. Wekesa"/>
    <n v="2391"/>
    <n v="787.52"/>
    <n v="1882960.32"/>
    <n v="168"/>
    <s v="2025-04-18"/>
    <d v="2025-04-01T00:00:00"/>
    <s v="2025-04-18"/>
    <s v="April 2025"/>
    <s v="On Time"/>
    <n v="7961.32"/>
    <n v="1890921.6400000001"/>
    <n v="0"/>
    <m/>
  </r>
  <r>
    <s v="SHP-00478"/>
    <s v="2025-11-05"/>
    <d v="2025-11-01T00:00:00"/>
    <s v="Eastern Industrial Supplies"/>
    <x v="4"/>
    <x v="3"/>
    <s v="TRK-007"/>
    <s v="A. Hassan"/>
    <n v="2136"/>
    <n v="305.43"/>
    <n v="652398.48"/>
    <n v="702"/>
    <s v="2025-11-08"/>
    <d v="2025-11-01T00:00:00"/>
    <s v="2025-11-08"/>
    <s v="November 2025"/>
    <s v="On Time"/>
    <n v="32575.23"/>
    <n v="684973.71"/>
    <n v="0"/>
    <m/>
  </r>
  <r>
    <s v="SHP-00479"/>
    <s v="2025-01-10"/>
    <d v="2025-01-01T00:00:00"/>
    <s v="UrbanWorks Contractors"/>
    <x v="5"/>
    <x v="3"/>
    <s v="TRK-003"/>
    <s v="D. Said"/>
    <n v="808"/>
    <n v="623.64"/>
    <n v="503901.12"/>
    <n v="414"/>
    <s v="2025-01-12"/>
    <d v="2025-01-01T00:00:00"/>
    <s v="2025-01-14"/>
    <s v="January 2025"/>
    <s v="Late"/>
    <n v="16236.28"/>
    <n v="520137.4"/>
    <n v="2"/>
    <m/>
  </r>
  <r>
    <s v="SHP-00480"/>
    <s v="2025-08-08"/>
    <d v="2025-08-01T00:00:00"/>
    <s v="CoastBuild Ltd"/>
    <x v="5"/>
    <x v="1"/>
    <s v="TRK-017"/>
    <s v="M. Otieno"/>
    <n v="1084"/>
    <n v="654.51"/>
    <n v="709488.84"/>
    <n v="190"/>
    <s v="2025-08-09"/>
    <d v="2025-08-01T00:00:00"/>
    <s v="2025-08-12"/>
    <s v="August 2025"/>
    <s v="Late"/>
    <n v="10363.98"/>
    <n v="719852.82"/>
    <n v="3"/>
    <m/>
  </r>
  <r>
    <s v="SHP-00481"/>
    <s v="2025-02-23"/>
    <d v="2025-02-01T00:00:00"/>
    <s v="Rift Valley Manufacturing"/>
    <x v="3"/>
    <x v="0"/>
    <s v="TRK-003"/>
    <s v="P. Maina"/>
    <n v="881"/>
    <n v="698.05"/>
    <n v="614982.05000000005"/>
    <n v="263"/>
    <s v="2025-02-24"/>
    <d v="2025-02-01T00:00:00"/>
    <s v="2025-02-25"/>
    <s v="February 2025"/>
    <s v="Late"/>
    <n v="14422.13"/>
    <n v="629404.18000000005"/>
    <n v="1"/>
    <m/>
  </r>
  <r>
    <s v="SHP-00482"/>
    <s v="2025-01-11"/>
    <d v="2025-01-01T00:00:00"/>
    <s v="Eastern Industrial Supplies"/>
    <x v="1"/>
    <x v="0"/>
    <s v="TRK-024"/>
    <s v="J. Mutua"/>
    <n v="2499"/>
    <n v="539.66"/>
    <n v="1348610.34"/>
    <n v="656"/>
    <s v="2025-01-13"/>
    <d v="2025-01-01T00:00:00"/>
    <s v="2025-01-16"/>
    <s v="January 2025"/>
    <s v="Late"/>
    <n v="39866.54"/>
    <n v="1388476.8800000001"/>
    <n v="3"/>
    <m/>
  </r>
  <r>
    <s v="SHP-00483"/>
    <s v="2025-06-14"/>
    <d v="2025-06-01T00:00:00"/>
    <s v="BlueWave Facilities"/>
    <x v="4"/>
    <x v="0"/>
    <s v="TRK-005"/>
    <s v="E. Achieng"/>
    <n v="523"/>
    <n v="186.47"/>
    <n v="97523.81"/>
    <n v="714"/>
    <s v="2025-06-17"/>
    <d v="2025-06-01T00:00:00"/>
    <s v="2025-06-18"/>
    <s v="June 2025"/>
    <s v="Late"/>
    <n v="40374.67"/>
    <n v="137898.47999999998"/>
    <n v="1"/>
    <m/>
  </r>
  <r>
    <s v="SHP-00484"/>
    <s v="2025-01-08"/>
    <d v="2025-01-01T00:00:00"/>
    <s v="Lake Region Water Services"/>
    <x v="5"/>
    <x v="3"/>
    <s v="TRK-022"/>
    <s v="S. Chebet"/>
    <n v="2333"/>
    <n v="401.89"/>
    <n v="937609.37"/>
    <n v="255"/>
    <s v="2025-01-09"/>
    <d v="2025-01-01T00:00:00"/>
    <s v="2025-01-10"/>
    <s v="January 2025"/>
    <s v="Late"/>
    <n v="9075.1299999999992"/>
    <n v="946684.5"/>
    <n v="1"/>
    <m/>
  </r>
  <r>
    <s v="SHP-00485"/>
    <s v="2025-03-07"/>
    <d v="2025-03-01T00:00:00"/>
    <s v="Highland Agro Processors"/>
    <x v="0"/>
    <x v="1"/>
    <s v="TRK-028"/>
    <s v="E. Achieng"/>
    <n v="1284"/>
    <n v="511.26"/>
    <n v="656457.84"/>
    <n v="130"/>
    <s v="2025-03-08"/>
    <d v="2025-03-01T00:00:00"/>
    <s v="2025-03-08"/>
    <s v="March 2025"/>
    <s v="On Time"/>
    <n v="4570.12"/>
    <n v="661027.96"/>
    <n v="0"/>
    <m/>
  </r>
  <r>
    <s v="SHP-00486"/>
    <s v="2025-05-12"/>
    <d v="2025-05-01T00:00:00"/>
    <s v="Eastern Industrial Supplies"/>
    <x v="2"/>
    <x v="1"/>
    <s v="TRK-005"/>
    <s v="E. Achieng"/>
    <n v="333"/>
    <n v="876.97"/>
    <n v="292031.01"/>
    <n v="706"/>
    <s v="2025-05-15"/>
    <d v="2025-05-01T00:00:00"/>
    <s v="2025-05-15"/>
    <s v="May 2025"/>
    <s v="On Time"/>
    <n v="33028.97"/>
    <n v="325059.98"/>
    <n v="0"/>
    <m/>
  </r>
  <r>
    <s v="SHP-00487"/>
    <s v="2025-05-21"/>
    <d v="2025-05-01T00:00:00"/>
    <s v="Lake Region Water Services"/>
    <x v="2"/>
    <x v="1"/>
    <s v="TRK-021"/>
    <s v="B. Kiprono"/>
    <n v="1741"/>
    <n v="350.09"/>
    <n v="609506.68999999994"/>
    <n v="175"/>
    <s v="2025-05-22"/>
    <d v="2025-05-01T00:00:00"/>
    <s v="2025-05-22"/>
    <s v="May 2025"/>
    <s v="On Time"/>
    <n v="7660.29"/>
    <n v="617166.98"/>
    <n v="0"/>
    <m/>
  </r>
  <r>
    <s v="SHP-00488"/>
    <s v="2025-04-21"/>
    <d v="2025-04-01T00:00:00"/>
    <s v="UrbanWorks Contractors"/>
    <x v="2"/>
    <x v="2"/>
    <s v="TRK-030"/>
    <s v="S. Chebet"/>
    <n v="449"/>
    <n v="608.30999999999995"/>
    <n v="273131.19"/>
    <n v="261"/>
    <s v="2025-04-22"/>
    <d v="2025-04-01T00:00:00"/>
    <s v="2025-04-23"/>
    <s v="April 2025"/>
    <s v="Late"/>
    <n v="12607.11"/>
    <n v="285738.3"/>
    <n v="1"/>
    <m/>
  </r>
  <r>
    <s v="SHP-00489"/>
    <s v="2025-05-23"/>
    <d v="2025-05-01T00:00:00"/>
    <s v="BlueWave Facilities"/>
    <x v="2"/>
    <x v="0"/>
    <s v="TRK-026"/>
    <s v="M. Otieno"/>
    <n v="2000"/>
    <n v="862.37"/>
    <n v="1724740"/>
    <n v="448"/>
    <s v="2025-05-25"/>
    <d v="2025-05-01T00:00:00"/>
    <s v="2025-05-27"/>
    <s v="May 2025"/>
    <s v="Late"/>
    <n v="24057.13"/>
    <n v="1748797.13"/>
    <n v="2"/>
    <m/>
  </r>
  <r>
    <s v="SHP-00490"/>
    <s v="2025-02-02"/>
    <d v="2025-02-01T00:00:00"/>
    <s v="BlueWave Facilities"/>
    <x v="3"/>
    <x v="2"/>
    <s v="TRK-014"/>
    <s v="J. Mutua"/>
    <n v="967"/>
    <n v="339.04"/>
    <n v="327851.68"/>
    <n v="634"/>
    <s v="2025-02-04"/>
    <d v="2025-02-01T00:00:00"/>
    <s v="2025-02-05"/>
    <s v="February 2025"/>
    <s v="Late"/>
    <n v="29077.06"/>
    <n v="356928.74"/>
    <n v="1"/>
    <m/>
  </r>
  <r>
    <s v="SHP-00491"/>
    <s v="2025-08-12"/>
    <d v="2025-08-01T00:00:00"/>
    <s v="Lake Region Water Services"/>
    <x v="3"/>
    <x v="3"/>
    <s v="TRK-001"/>
    <s v="E. Achieng"/>
    <n v="1382"/>
    <n v="79.650000000000006"/>
    <n v="110076.3"/>
    <n v="647"/>
    <s v="2025-08-14"/>
    <d v="2025-08-01T00:00:00"/>
    <s v="2025-08-15"/>
    <s v="August 2025"/>
    <s v="Late"/>
    <n v="36394.410000000003"/>
    <n v="146470.71000000002"/>
    <n v="1"/>
    <m/>
  </r>
  <r>
    <s v="SHP-00492"/>
    <s v="2025-12-10"/>
    <d v="2025-12-01T00:00:00"/>
    <s v="Lake Region Water Services"/>
    <x v="3"/>
    <x v="2"/>
    <s v="TRK-016"/>
    <s v="E. Achieng"/>
    <n v="1664"/>
    <n v="559.23"/>
    <n v="930558.72"/>
    <n v="396"/>
    <s v="2025-12-12"/>
    <d v="2025-12-01T00:00:00"/>
    <s v="2025-12-14"/>
    <s v="December 2025"/>
    <s v="Late"/>
    <n v="21511.1"/>
    <n v="952069.82"/>
    <n v="2"/>
    <m/>
  </r>
  <r>
    <s v="SHP-00493"/>
    <s v="2025-12-05"/>
    <d v="2025-12-01T00:00:00"/>
    <s v="CoastBuild Ltd"/>
    <x v="4"/>
    <x v="1"/>
    <s v="TRK-025"/>
    <s v="D. Said"/>
    <n v="724"/>
    <n v="212.28"/>
    <n v="153690.72"/>
    <n v="192"/>
    <s v="2025-12-06"/>
    <d v="2025-12-01T00:00:00"/>
    <s v="2025-12-07"/>
    <s v="December 2025"/>
    <s v="Late"/>
    <n v="7423.09"/>
    <n v="161113.81"/>
    <n v="1"/>
    <m/>
  </r>
  <r>
    <s v="SHP-00494"/>
    <s v="2025-07-06"/>
    <d v="2025-07-01T00:00:00"/>
    <s v="Eastern Industrial Supplies"/>
    <x v="5"/>
    <x v="1"/>
    <s v="TRK-026"/>
    <s v="J. Mutua"/>
    <n v="1665"/>
    <n v="134.84"/>
    <n v="224508.6"/>
    <n v="532"/>
    <s v="2025-07-08"/>
    <d v="2025-07-01T00:00:00"/>
    <s v="2025-07-08"/>
    <s v="July 2025"/>
    <s v="On Time"/>
    <n v="32821.14"/>
    <n v="257329.74"/>
    <n v="0"/>
    <m/>
  </r>
  <r>
    <s v="SHP-00495"/>
    <s v="2025-12-17"/>
    <d v="2025-12-01T00:00:00"/>
    <s v="Metro Packaging Ltd"/>
    <x v="5"/>
    <x v="2"/>
    <s v="TRK-007"/>
    <s v="P. Maina"/>
    <n v="792"/>
    <n v="234.86"/>
    <n v="186009.12"/>
    <n v="557"/>
    <s v="2025-12-19"/>
    <d v="2025-12-01T00:00:00"/>
    <s v="2025-12-20"/>
    <s v="December 2025"/>
    <s v="Late"/>
    <n v="31254.67"/>
    <n v="217263.78999999998"/>
    <n v="1"/>
    <m/>
  </r>
  <r>
    <s v="SHP-00496"/>
    <s v="2025-12-15"/>
    <d v="2025-12-01T00:00:00"/>
    <s v="UrbanWorks Contractors"/>
    <x v="0"/>
    <x v="0"/>
    <s v="TRK-006"/>
    <s v="P. Maina"/>
    <n v="943"/>
    <n v="580.21"/>
    <n v="547138.03"/>
    <n v="595"/>
    <s v="2025-12-17"/>
    <d v="2025-12-01T00:00:00"/>
    <s v="2025-12-18"/>
    <s v="December 2025"/>
    <s v="Late"/>
    <n v="25482.11"/>
    <n v="572620.14"/>
    <n v="1"/>
    <m/>
  </r>
  <r>
    <s v="SHP-00497"/>
    <s v="2025-06-18"/>
    <d v="2025-06-01T00:00:00"/>
    <s v="UrbanWorks Contractors"/>
    <x v="1"/>
    <x v="2"/>
    <s v="TRK-003"/>
    <s v="P. Maina"/>
    <n v="1774"/>
    <n v="746.16"/>
    <n v="1323687.8400000001"/>
    <n v="36"/>
    <s v="2025-06-19"/>
    <d v="2025-06-01T00:00:00"/>
    <s v="2025-06-23"/>
    <s v="June 2025"/>
    <s v="Late"/>
    <n v="1451.44"/>
    <n v="1325139.28"/>
    <n v="4"/>
    <m/>
  </r>
  <r>
    <s v="SHP-00498"/>
    <s v="2025-11-06"/>
    <d v="2025-11-01T00:00:00"/>
    <s v="Metro Packaging Ltd"/>
    <x v="2"/>
    <x v="2"/>
    <s v="TRK-010"/>
    <s v="E. Achieng"/>
    <n v="1978"/>
    <n v="558.80999999999995"/>
    <n v="1105326.18"/>
    <n v="449"/>
    <s v="2025-11-08"/>
    <d v="2025-11-01T00:00:00"/>
    <s v="2025-11-11"/>
    <s v="November 2025"/>
    <s v="Late"/>
    <n v="23120.61"/>
    <n v="1128446.79"/>
    <n v="3"/>
    <m/>
  </r>
  <r>
    <s v="SHP-00499"/>
    <s v="2025-09-02"/>
    <d v="2025-09-01T00:00:00"/>
    <s v="Eastern Industrial Supplies"/>
    <x v="0"/>
    <x v="0"/>
    <s v="TRK-028"/>
    <s v="M. Otieno"/>
    <n v="1367"/>
    <n v="86.78"/>
    <n v="118628.26"/>
    <n v="237"/>
    <s v="2025-09-03"/>
    <d v="2025-09-01T00:00:00"/>
    <s v="2025-09-05"/>
    <s v="September 2025"/>
    <s v="Late"/>
    <n v="8621.0499999999993"/>
    <n v="127249.31"/>
    <n v="2"/>
    <m/>
  </r>
  <r>
    <s v="SHP-00500"/>
    <s v="2025-10-03"/>
    <d v="2025-10-01T00:00:00"/>
    <s v="Lake Region Water Services"/>
    <x v="1"/>
    <x v="2"/>
    <s v="TRK-004"/>
    <s v="D. Said"/>
    <n v="2216"/>
    <n v="751.8"/>
    <n v="1665988.8"/>
    <n v="671"/>
    <s v="2025-10-05"/>
    <d v="2025-10-01T00:00:00"/>
    <s v="2025-10-06"/>
    <s v="October 2025"/>
    <s v="Late"/>
    <n v="24473.99"/>
    <n v="1690462.79"/>
    <n v="1"/>
    <m/>
  </r>
  <r>
    <s v="SHP-00501"/>
    <s v="2025-12-20"/>
    <d v="2025-12-01T00:00:00"/>
    <s v="BlueWave Facilities"/>
    <x v="3"/>
    <x v="1"/>
    <s v="TRK-007"/>
    <s v="S. Chebet"/>
    <n v="835"/>
    <n v="582.72"/>
    <n v="486571.2"/>
    <n v="271"/>
    <s v="2025-12-21"/>
    <d v="2025-12-01T00:00:00"/>
    <s v="2025-12-24"/>
    <s v="December 2025"/>
    <s v="Late"/>
    <n v="16204.65"/>
    <n v="502775.85000000003"/>
    <n v="3"/>
    <m/>
  </r>
  <r>
    <s v="SHP-00502"/>
    <s v="2025-05-06"/>
    <d v="2025-05-01T00:00:00"/>
    <s v="CoastBuild Ltd"/>
    <x v="1"/>
    <x v="3"/>
    <s v="TRK-018"/>
    <s v="K. Barasa"/>
    <n v="101"/>
    <n v="249.71"/>
    <n v="25220.71"/>
    <n v="611"/>
    <s v="2025-05-08"/>
    <d v="2025-05-01T00:00:00"/>
    <s v="2025-05-08"/>
    <s v="May 2025"/>
    <s v="On Time"/>
    <n v="32219.48"/>
    <n v="57440.19"/>
    <n v="0"/>
    <m/>
  </r>
  <r>
    <s v="SHP-00503"/>
    <s v="2025-07-15"/>
    <d v="2025-07-01T00:00:00"/>
    <s v="Lake Region Water Services"/>
    <x v="5"/>
    <x v="2"/>
    <s v="TRK-009"/>
    <s v="A. Hassan"/>
    <n v="1550"/>
    <n v="677.51"/>
    <n v="1050140.5"/>
    <n v="127"/>
    <s v="2025-07-16"/>
    <d v="2025-07-01T00:00:00"/>
    <s v="2025-07-16"/>
    <s v="July 2025"/>
    <s v="On Time"/>
    <n v="4900.12"/>
    <n v="1055040.6200000001"/>
    <n v="0"/>
    <m/>
  </r>
  <r>
    <s v="SHP-00504"/>
    <s v="2025-02-23"/>
    <d v="2025-02-01T00:00:00"/>
    <s v="BlueWave Facilities"/>
    <x v="4"/>
    <x v="3"/>
    <s v="TRK-008"/>
    <s v="M. Otieno"/>
    <n v="2335"/>
    <n v="826.08"/>
    <n v="1928896.8"/>
    <n v="260"/>
    <s v="2025-02-24"/>
    <d v="2025-02-01T00:00:00"/>
    <s v="2025-02-25"/>
    <s v="February 2025"/>
    <s v="Late"/>
    <n v="10414.36"/>
    <n v="1939311.1600000001"/>
    <n v="1"/>
    <m/>
  </r>
  <r>
    <s v="SHP-00505"/>
    <s v="2025-03-10"/>
    <d v="2025-03-01T00:00:00"/>
    <s v="Lake Region Water Services"/>
    <x v="5"/>
    <x v="1"/>
    <s v="TRK-007"/>
    <s v="S. Chebet"/>
    <n v="952"/>
    <n v="273.36"/>
    <n v="260238.72"/>
    <n v="106"/>
    <s v="2025-03-11"/>
    <d v="2025-03-01T00:00:00"/>
    <s v="2025-03-13"/>
    <s v="March 2025"/>
    <s v="Late"/>
    <n v="6525.91"/>
    <n v="266764.63"/>
    <n v="2"/>
    <m/>
  </r>
  <r>
    <s v="SHP-00506"/>
    <s v="2025-08-23"/>
    <d v="2025-08-01T00:00:00"/>
    <s v="UrbanWorks Contractors"/>
    <x v="3"/>
    <x v="1"/>
    <s v="TRK-012"/>
    <s v="D. Said"/>
    <n v="1733"/>
    <n v="112.74"/>
    <n v="195378.42"/>
    <n v="451"/>
    <s v="2025-08-25"/>
    <d v="2025-08-01T00:00:00"/>
    <s v="2025-08-25"/>
    <s v="August 2025"/>
    <s v="On Time"/>
    <n v="23818.080000000002"/>
    <n v="219196.5"/>
    <n v="0"/>
    <m/>
  </r>
  <r>
    <s v="SHP-00507"/>
    <s v="2025-02-11"/>
    <d v="2025-02-01T00:00:00"/>
    <s v="CoastBuild Ltd"/>
    <x v="3"/>
    <x v="3"/>
    <s v="TRK-027"/>
    <s v="A. Hassan"/>
    <n v="2204"/>
    <n v="452.94"/>
    <n v="998279.76"/>
    <n v="255"/>
    <s v="2025-02-12"/>
    <d v="2025-02-01T00:00:00"/>
    <s v="2025-02-11"/>
    <s v="February 2025"/>
    <s v="On Time"/>
    <n v="14343.98"/>
    <n v="1012623.74"/>
    <n v="-1"/>
    <m/>
  </r>
  <r>
    <s v="SHP-00508"/>
    <s v="2025-10-09"/>
    <d v="2025-10-01T00:00:00"/>
    <s v="CoastBuild Ltd"/>
    <x v="3"/>
    <x v="1"/>
    <s v="TRK-003"/>
    <s v="E. Achieng"/>
    <n v="359"/>
    <n v="382.36"/>
    <n v="137267.24"/>
    <n v="177"/>
    <s v="2025-10-10"/>
    <d v="2025-10-01T00:00:00"/>
    <s v="2025-10-10"/>
    <s v="October 2025"/>
    <s v="On Time"/>
    <n v="9148.4699999999993"/>
    <n v="146415.71"/>
    <n v="0"/>
    <m/>
  </r>
  <r>
    <s v="SHP-00509"/>
    <s v="2025-04-28"/>
    <d v="2025-04-01T00:00:00"/>
    <s v="BlueWave Facilities"/>
    <x v="1"/>
    <x v="0"/>
    <s v="TRK-029"/>
    <s v="J. Mutua"/>
    <n v="813"/>
    <n v="192.5"/>
    <n v="156502.5"/>
    <n v="602"/>
    <s v="2025-04-30"/>
    <d v="2025-04-01T00:00:00"/>
    <s v="2025-04-30"/>
    <s v="April 2025"/>
    <s v="On Time"/>
    <n v="26385.38"/>
    <n v="182887.88"/>
    <n v="0"/>
    <m/>
  </r>
  <r>
    <s v="SHP-00510"/>
    <s v="2025-03-16"/>
    <d v="2025-03-01T00:00:00"/>
    <s v="UrbanWorks Contractors"/>
    <x v="5"/>
    <x v="3"/>
    <s v="TRK-025"/>
    <s v="L. Wekesa"/>
    <n v="166"/>
    <n v="76.510000000000005"/>
    <n v="12700.66"/>
    <n v="356"/>
    <s v="2025-03-18"/>
    <d v="2025-03-01T00:00:00"/>
    <s v="2025-03-20"/>
    <s v="March 2025"/>
    <s v="Late"/>
    <n v="15817.18"/>
    <n v="28517.84"/>
    <n v="2"/>
    <m/>
  </r>
  <r>
    <s v="SHP-00511"/>
    <s v="2025-03-02"/>
    <d v="2025-03-01T00:00:00"/>
    <s v="UrbanWorks Contractors"/>
    <x v="0"/>
    <x v="0"/>
    <s v="TRK-024"/>
    <s v="K. Barasa"/>
    <n v="2422"/>
    <n v="411.59"/>
    <n v="996870.98"/>
    <n v="114"/>
    <s v="2025-03-03"/>
    <d v="2025-03-01T00:00:00"/>
    <s v="2025-03-03"/>
    <s v="March 2025"/>
    <s v="On Time"/>
    <n v="6716"/>
    <n v="1003586.98"/>
    <n v="0"/>
    <m/>
  </r>
  <r>
    <s v="SHP-00512"/>
    <s v="2025-06-07"/>
    <d v="2025-06-01T00:00:00"/>
    <s v="Metro Packaging Ltd"/>
    <x v="0"/>
    <x v="3"/>
    <s v="TRK-017"/>
    <s v="L. Wekesa"/>
    <n v="935"/>
    <n v="607.55999999999995"/>
    <n v="568068.6"/>
    <n v="411"/>
    <s v="2025-06-09"/>
    <d v="2025-06-01T00:00:00"/>
    <s v="2025-06-11"/>
    <s v="June 2025"/>
    <s v="Late"/>
    <n v="19803.13"/>
    <n v="587871.73"/>
    <n v="2"/>
    <m/>
  </r>
  <r>
    <s v="SHP-00513"/>
    <s v="2025-01-12"/>
    <d v="2025-01-01T00:00:00"/>
    <s v="BlueWave Facilities"/>
    <x v="0"/>
    <x v="2"/>
    <s v="TRK-030"/>
    <s v="S. Chebet"/>
    <n v="373"/>
    <n v="816.14"/>
    <n v="304420.21999999997"/>
    <n v="105"/>
    <s v="2025-01-13"/>
    <d v="2025-01-01T00:00:00"/>
    <s v="2025-01-17"/>
    <s v="January 2025"/>
    <s v="Late"/>
    <n v="3829.34"/>
    <n v="308249.56"/>
    <n v="4"/>
    <m/>
  </r>
  <r>
    <s v="SHP-00514"/>
    <s v="2025-05-12"/>
    <d v="2025-05-01T00:00:00"/>
    <s v="Lake Region Water Services"/>
    <x v="4"/>
    <x v="3"/>
    <s v="TRK-024"/>
    <s v="E. Achieng"/>
    <n v="819"/>
    <n v="503.99"/>
    <n v="412767.81"/>
    <n v="27"/>
    <s v="2025-05-13"/>
    <d v="2025-05-01T00:00:00"/>
    <s v="2025-05-13"/>
    <s v="May 2025"/>
    <s v="On Time"/>
    <n v="1039.83"/>
    <n v="413807.64"/>
    <n v="0"/>
    <m/>
  </r>
  <r>
    <s v="SHP-00515"/>
    <s v="2025-01-30"/>
    <d v="2025-01-01T00:00:00"/>
    <s v="Rift Valley Manufacturing"/>
    <x v="3"/>
    <x v="1"/>
    <s v="TRK-021"/>
    <s v="J. Mutua"/>
    <n v="140"/>
    <n v="179.79"/>
    <n v="25170.6"/>
    <n v="419"/>
    <s v="2025-02-01"/>
    <d v="2025-02-01T00:00:00"/>
    <s v="2025-02-01"/>
    <s v="February 2025"/>
    <s v="On Time"/>
    <n v="19012.86"/>
    <n v="44183.46"/>
    <n v="0"/>
    <m/>
  </r>
  <r>
    <s v="SHP-00516"/>
    <s v="2025-10-29"/>
    <d v="2025-10-01T00:00:00"/>
    <s v="Metro Packaging Ltd"/>
    <x v="3"/>
    <x v="3"/>
    <s v="TRK-028"/>
    <s v="L. Wekesa"/>
    <n v="1786"/>
    <n v="165.78"/>
    <n v="296083.08"/>
    <n v="26"/>
    <s v="2025-10-30"/>
    <d v="2025-10-01T00:00:00"/>
    <s v="2025-10-30"/>
    <s v="October 2025"/>
    <s v="On Time"/>
    <n v="1450.6"/>
    <n v="297533.68"/>
    <n v="0"/>
    <m/>
  </r>
  <r>
    <s v="SHP-00517"/>
    <s v="2025-09-18"/>
    <d v="2025-09-01T00:00:00"/>
    <s v="Rift Valley Manufacturing"/>
    <x v="1"/>
    <x v="1"/>
    <s v="TRK-011"/>
    <s v="K. Barasa"/>
    <n v="2248"/>
    <n v="748.98"/>
    <n v="1683707.04"/>
    <n v="311"/>
    <s v="2025-09-19"/>
    <d v="2025-09-01T00:00:00"/>
    <s v="2025-09-19"/>
    <s v="September 2025"/>
    <s v="On Time"/>
    <n v="17464.310000000001"/>
    <n v="1701171.35"/>
    <n v="0"/>
    <m/>
  </r>
  <r>
    <s v="SHP-00518"/>
    <s v="2025-06-10"/>
    <d v="2025-06-01T00:00:00"/>
    <s v="Lake Region Water Services"/>
    <x v="3"/>
    <x v="3"/>
    <s v="TRK-013"/>
    <s v="L. Wekesa"/>
    <n v="2289"/>
    <n v="836.26"/>
    <n v="1914199.14"/>
    <n v="365"/>
    <s v="2025-06-12"/>
    <d v="2025-06-01T00:00:00"/>
    <s v="2025-06-13"/>
    <s v="June 2025"/>
    <s v="Late"/>
    <n v="20883.61"/>
    <n v="1935082.75"/>
    <n v="1"/>
    <m/>
  </r>
  <r>
    <s v="SHP-00519"/>
    <s v="2025-04-19"/>
    <d v="2025-04-01T00:00:00"/>
    <s v="CoastBuild Ltd"/>
    <x v="5"/>
    <x v="1"/>
    <s v="TRK-023"/>
    <s v="Not Found"/>
    <n v="1394"/>
    <n v="169.74"/>
    <n v="236617.56"/>
    <n v="59"/>
    <s v="2025-04-20"/>
    <d v="2025-04-01T00:00:00"/>
    <s v="2025-04-20"/>
    <s v="April 2025"/>
    <s v="On Time"/>
    <n v="2623.38"/>
    <n v="239240.94"/>
    <n v="0"/>
    <m/>
  </r>
  <r>
    <s v="SHP-00520"/>
    <s v="2025-07-18"/>
    <d v="2025-07-01T00:00:00"/>
    <s v="Lake Region Water Services"/>
    <x v="3"/>
    <x v="3"/>
    <s v="TRK-008"/>
    <s v="A. Hassan"/>
    <n v="923"/>
    <n v="368.99"/>
    <n v="340577.77"/>
    <n v="459"/>
    <s v="2025-07-20"/>
    <d v="2025-07-01T00:00:00"/>
    <s v="2025-07-19"/>
    <s v="July 2025"/>
    <s v="On Time"/>
    <n v="25851.15"/>
    <n v="366428.92000000004"/>
    <n v="-1"/>
    <m/>
  </r>
  <r>
    <s v="SHP-00521"/>
    <s v="2025-06-02"/>
    <d v="2025-06-01T00:00:00"/>
    <s v="BlueWave Facilities"/>
    <x v="5"/>
    <x v="2"/>
    <s v="TRK-030"/>
    <s v="K. Barasa"/>
    <n v="1396"/>
    <n v="154.9"/>
    <n v="216240.4"/>
    <n v="352"/>
    <s v="2025-06-04"/>
    <d v="2025-06-01T00:00:00"/>
    <s v="2025-06-04"/>
    <s v="June 2025"/>
    <s v="On Time"/>
    <n v="12455.08"/>
    <n v="228695.47999999998"/>
    <n v="0"/>
    <m/>
  </r>
  <r>
    <s v="SHP-00522"/>
    <s v="2025-02-18"/>
    <d v="2025-02-01T00:00:00"/>
    <s v="CoastBuild Ltd"/>
    <x v="3"/>
    <x v="0"/>
    <s v="TRK-023"/>
    <s v="E. Achieng"/>
    <n v="579"/>
    <n v="676.26"/>
    <n v="391554.54"/>
    <n v="640"/>
    <s v="2025-02-20"/>
    <d v="2025-02-01T00:00:00"/>
    <s v="2025-02-20"/>
    <s v="February 2025"/>
    <s v="On Time"/>
    <n v="27919.47"/>
    <n v="419474.01"/>
    <n v="0"/>
    <m/>
  </r>
  <r>
    <s v="SHP-00523"/>
    <s v="2025-08-09"/>
    <d v="2025-08-01T00:00:00"/>
    <s v="Rift Valley Manufacturing"/>
    <x v="1"/>
    <x v="1"/>
    <s v="TRK-008"/>
    <s v="S. Chebet"/>
    <n v="2500"/>
    <n v="702.79"/>
    <n v="1756975"/>
    <n v="674"/>
    <s v="2025-08-11"/>
    <d v="2025-08-01T00:00:00"/>
    <s v="2025-08-11"/>
    <s v="August 2025"/>
    <s v="On Time"/>
    <n v="32968.6"/>
    <n v="1789943.6"/>
    <n v="0"/>
    <m/>
  </r>
  <r>
    <s v="SHP-00524"/>
    <s v="2025-03-22"/>
    <d v="2025-03-01T00:00:00"/>
    <s v="Highland Agro Processors"/>
    <x v="0"/>
    <x v="0"/>
    <s v="TRK-001"/>
    <s v="P. Maina"/>
    <n v="1378"/>
    <n v="56.7"/>
    <n v="78132.600000000006"/>
    <n v="29"/>
    <s v="2025-03-23"/>
    <d v="2025-03-01T00:00:00"/>
    <s v="2025-03-24"/>
    <s v="March 2025"/>
    <s v="Late"/>
    <n v="1180.58"/>
    <n v="79313.180000000008"/>
    <n v="1"/>
    <m/>
  </r>
  <r>
    <s v="SHP-00525"/>
    <s v="2025-10-23"/>
    <d v="2025-10-01T00:00:00"/>
    <s v="Highland Agro Processors"/>
    <x v="4"/>
    <x v="0"/>
    <s v="TRK-009"/>
    <s v="K. Barasa"/>
    <n v="1924"/>
    <n v="675.36"/>
    <n v="1299392.6399999999"/>
    <n v="527"/>
    <s v="2025-10-25"/>
    <d v="2025-10-01T00:00:00"/>
    <s v="2025-10-27"/>
    <s v="October 2025"/>
    <s v="Late"/>
    <n v="30334.3"/>
    <n v="1329726.94"/>
    <n v="2"/>
    <m/>
  </r>
  <r>
    <s v="SHP-00526"/>
    <s v="2025-06-12"/>
    <d v="2025-06-01T00:00:00"/>
    <s v="BlueWave Facilities"/>
    <x v="4"/>
    <x v="1"/>
    <s v="TRK-018"/>
    <s v="J. Mutua"/>
    <n v="555"/>
    <n v="795.38"/>
    <n v="441435.9"/>
    <n v="513"/>
    <s v="2025-06-14"/>
    <d v="2025-06-01T00:00:00"/>
    <s v="2025-06-13"/>
    <s v="June 2025"/>
    <s v="On Time"/>
    <n v="20694.79"/>
    <n v="462130.69"/>
    <n v="-1"/>
    <m/>
  </r>
  <r>
    <s v="SHP-00527"/>
    <s v="2025-02-16"/>
    <d v="2025-02-01T00:00:00"/>
    <s v="BlueWave Facilities"/>
    <x v="1"/>
    <x v="0"/>
    <s v="TRK-018"/>
    <s v="S. Chebet"/>
    <n v="743"/>
    <n v="469.43"/>
    <n v="348786.49"/>
    <n v="123"/>
    <s v="2025-02-17"/>
    <d v="2025-02-01T00:00:00"/>
    <s v="2025-02-21"/>
    <s v="February 2025"/>
    <s v="Late"/>
    <n v="4841.41"/>
    <n v="353627.89999999997"/>
    <n v="4"/>
    <m/>
  </r>
  <r>
    <s v="SHP-00528"/>
    <s v="2025-04-23"/>
    <d v="2025-04-01T00:00:00"/>
    <s v="Highland Agro Processors"/>
    <x v="4"/>
    <x v="1"/>
    <s v="TRK-009"/>
    <s v="B. Kiprono"/>
    <n v="1519"/>
    <n v="839.24"/>
    <n v="1274805.56"/>
    <n v="672"/>
    <s v="2025-04-25"/>
    <d v="2025-04-01T00:00:00"/>
    <s v="2025-04-27"/>
    <s v="April 2025"/>
    <s v="Late"/>
    <n v="25955.03"/>
    <n v="1300760.5900000001"/>
    <n v="2"/>
    <m/>
  </r>
  <r>
    <s v="SHP-00529"/>
    <s v="2025-11-18"/>
    <d v="2025-11-01T00:00:00"/>
    <s v="Lake Region Water Services"/>
    <x v="5"/>
    <x v="0"/>
    <s v="TRK-015"/>
    <s v="J. Mutua"/>
    <n v="73"/>
    <n v="416.2"/>
    <n v="30382.6"/>
    <n v="717"/>
    <s v="2025-11-21"/>
    <d v="2025-11-01T00:00:00"/>
    <s v="2025-11-21"/>
    <s v="November 2025"/>
    <s v="On Time"/>
    <n v="42834.559999999998"/>
    <n v="73217.16"/>
    <n v="0"/>
    <m/>
  </r>
  <r>
    <s v="SHP-00530"/>
    <s v="2025-05-22"/>
    <d v="2025-05-01T00:00:00"/>
    <s v="Eastern Industrial Supplies"/>
    <x v="2"/>
    <x v="2"/>
    <s v="TRK-015"/>
    <s v="K. Barasa"/>
    <n v="2207"/>
    <n v="745.2"/>
    <n v="1644656.4"/>
    <n v="616"/>
    <s v="2025-05-24"/>
    <d v="2025-05-01T00:00:00"/>
    <s v="2025-05-23"/>
    <s v="May 2025"/>
    <s v="On Time"/>
    <n v="0"/>
    <n v="1644656.4"/>
    <n v="-1"/>
    <m/>
  </r>
  <r>
    <s v="SHP-00531"/>
    <s v="2025-10-04"/>
    <d v="2025-10-01T00:00:00"/>
    <s v="UrbanWorks Contractors"/>
    <x v="4"/>
    <x v="0"/>
    <s v="TRK-029"/>
    <s v="K. Barasa"/>
    <n v="1624"/>
    <n v="360.86"/>
    <n v="586036.64"/>
    <n v="435"/>
    <s v="2025-10-06"/>
    <d v="2025-10-01T00:00:00"/>
    <s v="2025-10-06"/>
    <s v="October 2025"/>
    <s v="On Time"/>
    <n v="18914.89"/>
    <n v="604951.53"/>
    <n v="0"/>
    <m/>
  </r>
  <r>
    <s v="SHP-00532"/>
    <s v="2025-04-08"/>
    <d v="2025-04-01T00:00:00"/>
    <s v="Highland Agro Processors"/>
    <x v="2"/>
    <x v="0"/>
    <s v="TRK-011"/>
    <s v="M. Otieno"/>
    <n v="1075"/>
    <n v="560.72"/>
    <n v="602774"/>
    <n v="532"/>
    <s v="2025-04-10"/>
    <d v="2025-04-01T00:00:00"/>
    <s v="2025-04-12"/>
    <s v="April 2025"/>
    <s v="Late"/>
    <n v="30211.759999999998"/>
    <n v="632985.76"/>
    <n v="2"/>
    <m/>
  </r>
  <r>
    <s v="SHP-00533"/>
    <s v="2025-11-07"/>
    <d v="2025-11-01T00:00:00"/>
    <s v="UrbanWorks Contractors"/>
    <x v="1"/>
    <x v="1"/>
    <s v="TRK-025"/>
    <s v="E. Achieng"/>
    <n v="328"/>
    <n v="603.41999999999996"/>
    <n v="197921.76"/>
    <n v="398"/>
    <s v="2025-11-09"/>
    <d v="2025-11-01T00:00:00"/>
    <s v="2025-11-08"/>
    <s v="November 2025"/>
    <s v="On Time"/>
    <n v="23668.19"/>
    <n v="221589.95"/>
    <n v="-1"/>
    <m/>
  </r>
  <r>
    <s v="SHP-00534"/>
    <s v="2025-07-29"/>
    <d v="2025-07-01T00:00:00"/>
    <s v="Lake Region Water Services"/>
    <x v="2"/>
    <x v="2"/>
    <s v="TRK-011"/>
    <s v="P. Maina"/>
    <n v="2385"/>
    <n v="47.98"/>
    <n v="114432.3"/>
    <n v="495"/>
    <s v="2025-07-31"/>
    <d v="2025-07-01T00:00:00"/>
    <s v="2025-08-03"/>
    <s v="August 2025"/>
    <s v="Late"/>
    <n v="25318.34"/>
    <n v="139750.64000000001"/>
    <n v="3"/>
    <m/>
  </r>
  <r>
    <s v="SHP-00535"/>
    <s v="2025-05-04"/>
    <d v="2025-05-01T00:00:00"/>
    <s v="Highland Agro Processors"/>
    <x v="5"/>
    <x v="3"/>
    <s v="TRK-017"/>
    <s v="M. Otieno"/>
    <n v="484"/>
    <n v="740.95"/>
    <n v="358619.8"/>
    <n v="271"/>
    <s v="2025-05-05"/>
    <d v="2025-05-01T00:00:00"/>
    <s v="2025-05-05"/>
    <s v="May 2025"/>
    <s v="On Time"/>
    <n v="13299.94"/>
    <n v="371919.74"/>
    <n v="0"/>
    <m/>
  </r>
  <r>
    <s v="SHP-00536"/>
    <s v="2025-01-15"/>
    <d v="2025-01-01T00:00:00"/>
    <s v="CoastBuild Ltd"/>
    <x v="1"/>
    <x v="0"/>
    <s v="TRK-028"/>
    <s v="K. Barasa"/>
    <n v="1226"/>
    <n v="279.77"/>
    <n v="342998.02"/>
    <n v="265"/>
    <s v="2025-01-16"/>
    <d v="2025-01-01T00:00:00"/>
    <s v="2025-01-17"/>
    <s v="January 2025"/>
    <s v="Late"/>
    <n v="15831.74"/>
    <n v="358829.76"/>
    <n v="1"/>
    <m/>
  </r>
  <r>
    <s v="SHP-00537"/>
    <s v="2025-01-09"/>
    <d v="2025-01-01T00:00:00"/>
    <s v="Metro Packaging Ltd"/>
    <x v="5"/>
    <x v="1"/>
    <s v="TRK-007"/>
    <s v="M. Otieno"/>
    <n v="1398"/>
    <n v="702.34"/>
    <n v="981871.32"/>
    <n v="281"/>
    <s v="2025-01-10"/>
    <d v="2025-01-01T00:00:00"/>
    <s v="2025-01-10"/>
    <s v="January 2025"/>
    <s v="On Time"/>
    <n v="9983.33"/>
    <n v="991854.64999999991"/>
    <n v="0"/>
    <m/>
  </r>
  <r>
    <s v="SHP-00538"/>
    <s v="2025-06-21"/>
    <d v="2025-06-01T00:00:00"/>
    <s v="CoastBuild Ltd"/>
    <x v="2"/>
    <x v="1"/>
    <s v="TRK-022"/>
    <s v="Not Found"/>
    <n v="443"/>
    <n v="63.51"/>
    <n v="28134.93"/>
    <n v="146"/>
    <s v="2025-06-22"/>
    <d v="2025-06-01T00:00:00"/>
    <s v="2025-06-25"/>
    <s v="June 2025"/>
    <s v="Late"/>
    <n v="5536.24"/>
    <n v="33671.17"/>
    <n v="3"/>
    <m/>
  </r>
  <r>
    <s v="SHP-00539"/>
    <s v="2025-01-06"/>
    <d v="2025-01-01T00:00:00"/>
    <s v="Eastern Industrial Supplies"/>
    <x v="5"/>
    <x v="2"/>
    <s v="TRK-008"/>
    <s v="B. Kiprono"/>
    <n v="2253"/>
    <n v="680.93"/>
    <n v="1534135.29"/>
    <n v="668"/>
    <s v="2025-01-08"/>
    <d v="2025-01-01T00:00:00"/>
    <s v="2025-01-10"/>
    <s v="January 2025"/>
    <s v="Late"/>
    <n v="23813.77"/>
    <n v="1557949.06"/>
    <n v="2"/>
    <m/>
  </r>
  <r>
    <s v="SHP-00540"/>
    <s v="2025-01-28"/>
    <d v="2025-01-01T00:00:00"/>
    <s v="Rift Valley Manufacturing"/>
    <x v="5"/>
    <x v="0"/>
    <s v="TRK-021"/>
    <s v="D. Said"/>
    <n v="1279"/>
    <n v="671.2"/>
    <n v="858464.8"/>
    <n v="418"/>
    <s v="2025-01-30"/>
    <d v="2025-01-01T00:00:00"/>
    <s v="2025-01-31"/>
    <s v="January 2025"/>
    <s v="Late"/>
    <n v="22931.59"/>
    <n v="881396.39"/>
    <n v="1"/>
    <m/>
  </r>
  <r>
    <s v="SHP-00541"/>
    <s v="2025-05-13"/>
    <d v="2025-05-01T00:00:00"/>
    <s v="Rift Valley Manufacturing"/>
    <x v="0"/>
    <x v="3"/>
    <s v="TRK-012"/>
    <s v="E. Achieng"/>
    <n v="2413"/>
    <n v="770.28"/>
    <n v="1858685.64"/>
    <n v="543"/>
    <s v="2025-05-15"/>
    <d v="2025-05-01T00:00:00"/>
    <s v="2025-05-16"/>
    <s v="May 2025"/>
    <s v="Late"/>
    <n v="26997.86"/>
    <n v="1885683.5"/>
    <n v="1"/>
    <m/>
  </r>
  <r>
    <s v="SHP-00542"/>
    <s v="2025-04-23"/>
    <d v="2025-04-01T00:00:00"/>
    <s v="UrbanWorks Contractors"/>
    <x v="3"/>
    <x v="3"/>
    <s v="TRK-027"/>
    <s v="B. Kiprono"/>
    <n v="195"/>
    <n v="642.04"/>
    <n v="125197.8"/>
    <n v="351"/>
    <s v="2025-04-25"/>
    <d v="2025-04-01T00:00:00"/>
    <s v="2025-04-28"/>
    <s v="April 2025"/>
    <s v="Late"/>
    <n v="18657.68"/>
    <n v="143855.48000000001"/>
    <n v="3"/>
    <m/>
  </r>
  <r>
    <s v="SHP-00543"/>
    <s v="2025-11-29"/>
    <d v="2025-11-01T00:00:00"/>
    <s v="Eastern Industrial Supplies"/>
    <x v="2"/>
    <x v="3"/>
    <s v="TRK-024"/>
    <s v="M. Otieno"/>
    <n v="938"/>
    <n v="61.84"/>
    <n v="58005.919999999998"/>
    <n v="638"/>
    <s v="2025-12-01"/>
    <d v="2025-12-01T00:00:00"/>
    <s v="2025-12-01"/>
    <s v="December 2025"/>
    <s v="On Time"/>
    <n v="25204.52"/>
    <n v="83210.44"/>
    <n v="0"/>
    <m/>
  </r>
  <r>
    <s v="SHP-00544"/>
    <s v="2025-04-17"/>
    <d v="2025-04-01T00:00:00"/>
    <s v="Eastern Industrial Supplies"/>
    <x v="5"/>
    <x v="0"/>
    <s v="TRK-017"/>
    <s v="M. Otieno"/>
    <n v="514"/>
    <n v="241.83"/>
    <n v="124300.62"/>
    <n v="418"/>
    <s v="2025-04-19"/>
    <d v="2025-04-01T00:00:00"/>
    <s v="2025-04-19"/>
    <s v="April 2025"/>
    <s v="On Time"/>
    <n v="16575.3"/>
    <n v="140875.91999999998"/>
    <n v="0"/>
    <m/>
  </r>
  <r>
    <s v="SHP-00545"/>
    <s v="2025-09-13"/>
    <d v="2025-09-01T00:00:00"/>
    <s v="Rift Valley Manufacturing"/>
    <x v="4"/>
    <x v="0"/>
    <s v="TRK-018"/>
    <s v="P. Maina"/>
    <n v="321"/>
    <n v="119.5"/>
    <n v="38359.5"/>
    <n v="167"/>
    <s v="2025-09-14"/>
    <d v="2025-09-01T00:00:00"/>
    <s v="2025-09-14"/>
    <s v="September 2025"/>
    <s v="On Time"/>
    <n v="10180.549999999999"/>
    <n v="48540.05"/>
    <n v="0"/>
    <m/>
  </r>
  <r>
    <s v="SHP-00546"/>
    <s v="2025-08-13"/>
    <d v="2025-08-01T00:00:00"/>
    <s v="Metro Packaging Ltd"/>
    <x v="1"/>
    <x v="0"/>
    <s v="TRK-019"/>
    <s v="A. Hassan"/>
    <n v="1293"/>
    <n v="748.36"/>
    <n v="967629.48"/>
    <n v="90"/>
    <s v="2025-08-14"/>
    <d v="2025-08-01T00:00:00"/>
    <s v="2025-08-18"/>
    <s v="August 2025"/>
    <s v="Late"/>
    <n v="4082.03"/>
    <n v="971711.51"/>
    <n v="4"/>
    <m/>
  </r>
  <r>
    <s v="SHP-00547"/>
    <s v="2025-03-19"/>
    <d v="2025-03-01T00:00:00"/>
    <s v="UrbanWorks Contractors"/>
    <x v="4"/>
    <x v="3"/>
    <s v="TRK-025"/>
    <s v="B. Kiprono"/>
    <n v="1639"/>
    <n v="879.59"/>
    <n v="1441648.01"/>
    <n v="351"/>
    <s v="2025-03-21"/>
    <d v="2025-03-01T00:00:00"/>
    <s v="2025-03-22"/>
    <s v="March 2025"/>
    <s v="Late"/>
    <n v="12802.8"/>
    <n v="1454450.81"/>
    <n v="1"/>
    <m/>
  </r>
  <r>
    <s v="SHP-00548"/>
    <s v="2025-04-14"/>
    <d v="2025-04-01T00:00:00"/>
    <s v="Highland Agro Processors"/>
    <x v="4"/>
    <x v="1"/>
    <s v="TRK-023"/>
    <s v="P. Maina"/>
    <n v="325"/>
    <n v="51.13"/>
    <n v="16617.25"/>
    <n v="238"/>
    <s v="2025-04-15"/>
    <d v="2025-04-01T00:00:00"/>
    <s v="2025-04-15"/>
    <s v="April 2025"/>
    <s v="On Time"/>
    <n v="9751.18"/>
    <n v="26368.43"/>
    <n v="0"/>
    <m/>
  </r>
  <r>
    <s v="SHP-00549"/>
    <s v="2025-08-20"/>
    <d v="2025-08-01T00:00:00"/>
    <s v="Rift Valley Manufacturing"/>
    <x v="1"/>
    <x v="0"/>
    <s v="TRK-018"/>
    <s v="P. Maina"/>
    <n v="1724"/>
    <n v="831.2"/>
    <n v="1432988.8"/>
    <n v="31"/>
    <s v="2025-08-21"/>
    <d v="2025-08-01T00:00:00"/>
    <s v="2025-08-24"/>
    <s v="August 2025"/>
    <s v="Late"/>
    <n v="1832.76"/>
    <n v="1434821.56"/>
    <n v="3"/>
    <m/>
  </r>
  <r>
    <s v="SHP-00550"/>
    <s v="2025-11-18"/>
    <d v="2025-11-01T00:00:00"/>
    <s v="Highland Agro Processors"/>
    <x v="4"/>
    <x v="0"/>
    <s v="TRK-018"/>
    <s v="B. Kiprono"/>
    <n v="2290"/>
    <n v="295.64999999999998"/>
    <n v="677038.5"/>
    <n v="102"/>
    <s v="2025-11-19"/>
    <d v="2025-11-01T00:00:00"/>
    <s v="2025-11-19"/>
    <s v="November 2025"/>
    <s v="On Time"/>
    <n v="6004.17"/>
    <n v="683042.67"/>
    <n v="0"/>
    <m/>
  </r>
  <r>
    <s v="SHP-00551"/>
    <s v="2025-12-09"/>
    <d v="2025-12-01T00:00:00"/>
    <s v="BlueWave Facilities"/>
    <x v="3"/>
    <x v="2"/>
    <s v="TRK-018"/>
    <s v="S. Chebet"/>
    <n v="139"/>
    <n v="586.97"/>
    <n v="81588.83"/>
    <n v="108"/>
    <s v="2025-12-10"/>
    <d v="2025-12-01T00:00:00"/>
    <s v="2025-12-12"/>
    <s v="December 2025"/>
    <s v="Late"/>
    <n v="6549.98"/>
    <n v="88138.81"/>
    <n v="2"/>
    <m/>
  </r>
  <r>
    <s v="SHP-00552"/>
    <s v="2025-08-10"/>
    <d v="2025-08-01T00:00:00"/>
    <s v="Highland Agro Processors"/>
    <x v="0"/>
    <x v="1"/>
    <s v="TRK-027"/>
    <s v="S. Chebet"/>
    <n v="235"/>
    <n v="352.18"/>
    <n v="82762.3"/>
    <n v="24"/>
    <s v="2025-08-11"/>
    <d v="2025-08-01T00:00:00"/>
    <s v="2025-08-15"/>
    <s v="August 2025"/>
    <s v="Late"/>
    <n v="858.18"/>
    <n v="83620.479999999996"/>
    <n v="4"/>
    <m/>
  </r>
  <r>
    <s v="SHP-00553"/>
    <s v="2025-09-18"/>
    <d v="2025-09-01T00:00:00"/>
    <s v="Metro Packaging Ltd"/>
    <x v="2"/>
    <x v="0"/>
    <s v="TRK-013"/>
    <s v="E. Achieng"/>
    <n v="94"/>
    <n v="358.76"/>
    <n v="33723.440000000002"/>
    <n v="114"/>
    <s v="2025-09-19"/>
    <d v="2025-09-01T00:00:00"/>
    <s v="2025-09-19"/>
    <s v="September 2025"/>
    <s v="On Time"/>
    <n v="6423.62"/>
    <n v="40147.060000000005"/>
    <n v="0"/>
    <m/>
  </r>
  <r>
    <s v="SHP-00554"/>
    <s v="2025-05-30"/>
    <d v="2025-05-01T00:00:00"/>
    <s v="Eastern Industrial Supplies"/>
    <x v="3"/>
    <x v="1"/>
    <s v="TRK-015"/>
    <s v="P. Maina"/>
    <n v="1408"/>
    <n v="367.67"/>
    <n v="517679.35999999999"/>
    <n v="33"/>
    <s v="2025-05-31"/>
    <d v="2025-05-01T00:00:00"/>
    <s v="2025-06-01"/>
    <s v="June 2025"/>
    <s v="Late"/>
    <n v="1546.49"/>
    <n v="519225.85"/>
    <n v="1"/>
    <m/>
  </r>
  <r>
    <s v="SHP-00555"/>
    <s v="2025-01-15"/>
    <d v="2025-01-01T00:00:00"/>
    <s v="CoastBuild Ltd"/>
    <x v="4"/>
    <x v="3"/>
    <s v="TRK-010"/>
    <s v="B. Kiprono"/>
    <n v="959"/>
    <n v="819.4"/>
    <n v="785804.6"/>
    <n v="665"/>
    <s v="2025-01-17"/>
    <d v="2025-01-01T00:00:00"/>
    <s v="2025-01-18"/>
    <s v="January 2025"/>
    <s v="Late"/>
    <n v="39218.26"/>
    <n v="825022.86"/>
    <n v="1"/>
    <m/>
  </r>
  <r>
    <s v="SHP-00556"/>
    <s v="2025-08-31"/>
    <d v="2025-08-01T00:00:00"/>
    <s v="CoastBuild Ltd"/>
    <x v="2"/>
    <x v="0"/>
    <s v="TRK-029"/>
    <s v="J. Mutua"/>
    <n v="783"/>
    <n v="646.66999999999996"/>
    <n v="506342.61"/>
    <n v="377"/>
    <s v="2025-09-02"/>
    <d v="2025-09-01T00:00:00"/>
    <s v="2025-09-06"/>
    <s v="September 2025"/>
    <s v="Late"/>
    <n v="23216.48"/>
    <n v="529559.09"/>
    <n v="4"/>
    <m/>
  </r>
  <r>
    <s v="SHP-00557"/>
    <s v="2025-01-13"/>
    <d v="2025-01-01T00:00:00"/>
    <s v="CoastBuild Ltd"/>
    <x v="3"/>
    <x v="0"/>
    <s v="TRK-007"/>
    <s v="S. Chebet"/>
    <n v="1306"/>
    <n v="535.65"/>
    <n v="699558.9"/>
    <n v="320"/>
    <s v="2025-01-14"/>
    <d v="2025-01-01T00:00:00"/>
    <s v="2025-01-17"/>
    <s v="January 2025"/>
    <s v="Late"/>
    <n v="11763.19"/>
    <n v="711322.09"/>
    <n v="3"/>
    <m/>
  </r>
  <r>
    <s v="SHP-00558"/>
    <s v="2025-05-25"/>
    <d v="2025-05-01T00:00:00"/>
    <s v="CoastBuild Ltd"/>
    <x v="4"/>
    <x v="2"/>
    <s v="TRK-030"/>
    <s v="E. Achieng"/>
    <n v="840"/>
    <n v="811.56"/>
    <n v="681710.4"/>
    <n v="316"/>
    <s v="2025-05-26"/>
    <d v="2025-05-01T00:00:00"/>
    <s v="2025-05-28"/>
    <s v="May 2025"/>
    <s v="Late"/>
    <n v="14603.03"/>
    <n v="696313.43"/>
    <n v="2"/>
    <m/>
  </r>
  <r>
    <s v="SHP-00559"/>
    <s v="2025-04-11"/>
    <d v="2025-04-01T00:00:00"/>
    <s v="Lake Region Water Services"/>
    <x v="5"/>
    <x v="3"/>
    <s v="TRK-015"/>
    <s v="S. Chebet"/>
    <n v="1038"/>
    <n v="736.64"/>
    <n v="764632.32"/>
    <n v="254"/>
    <s v="2025-04-12"/>
    <d v="2025-04-01T00:00:00"/>
    <s v="2025-04-14"/>
    <s v="April 2025"/>
    <s v="Late"/>
    <n v="14681.96"/>
    <n v="779314.27999999991"/>
    <n v="2"/>
    <m/>
  </r>
  <r>
    <s v="SHP-00560"/>
    <s v="2025-07-20"/>
    <d v="2025-07-01T00:00:00"/>
    <s v="Lake Region Water Services"/>
    <x v="1"/>
    <x v="2"/>
    <s v="TRK-012"/>
    <s v="B. Kiprono"/>
    <n v="834"/>
    <n v="679.32"/>
    <n v="566552.88"/>
    <n v="335"/>
    <s v="2025-07-21"/>
    <d v="2025-07-01T00:00:00"/>
    <s v="2025-07-21"/>
    <s v="July 2025"/>
    <s v="On Time"/>
    <n v="12224.52"/>
    <n v="578777.4"/>
    <n v="0"/>
    <m/>
  </r>
  <r>
    <s v="SHP-00561"/>
    <s v="2025-03-03"/>
    <d v="2025-03-01T00:00:00"/>
    <s v="Metro Packaging Ltd"/>
    <x v="1"/>
    <x v="2"/>
    <s v="TRK-026"/>
    <s v="J. Mutua"/>
    <n v="2372"/>
    <n v="816.12"/>
    <n v="1935836.64"/>
    <n v="688"/>
    <s v="2025-03-05"/>
    <d v="2025-03-01T00:00:00"/>
    <s v="2025-03-06"/>
    <s v="March 2025"/>
    <s v="Late"/>
    <n v="37119.660000000003"/>
    <n v="1972956.2999999998"/>
    <n v="1"/>
    <m/>
  </r>
  <r>
    <s v="SHP-00562"/>
    <s v="2025-12-09"/>
    <d v="2025-12-01T00:00:00"/>
    <s v="Rift Valley Manufacturing"/>
    <x v="2"/>
    <x v="1"/>
    <s v="TRK-019"/>
    <s v="L. Wekesa"/>
    <n v="2223"/>
    <n v="538.30999999999995"/>
    <n v="1196663.1299999999"/>
    <n v="269"/>
    <s v="2025-12-10"/>
    <d v="2025-12-01T00:00:00"/>
    <s v="2025-12-10"/>
    <s v="December 2025"/>
    <s v="On Time"/>
    <n v="16309.27"/>
    <n v="1212972.3999999999"/>
    <n v="0"/>
    <m/>
  </r>
  <r>
    <s v="SHP-00563"/>
    <s v="2025-07-21"/>
    <d v="2025-07-01T00:00:00"/>
    <s v="Rift Valley Manufacturing"/>
    <x v="4"/>
    <x v="2"/>
    <s v="TRK-026"/>
    <s v="D. Said"/>
    <n v="1453"/>
    <n v="363.86"/>
    <n v="528688.57999999996"/>
    <n v="77"/>
    <s v="2025-07-22"/>
    <d v="2025-07-01T00:00:00"/>
    <s v="2025-07-22"/>
    <s v="July 2025"/>
    <s v="On Time"/>
    <n v="4160.2299999999996"/>
    <n v="532848.80999999994"/>
    <n v="0"/>
    <m/>
  </r>
  <r>
    <s v="SHP-00564"/>
    <s v="2025-09-26"/>
    <d v="2025-09-01T00:00:00"/>
    <s v="Lake Region Water Services"/>
    <x v="0"/>
    <x v="3"/>
    <s v="TRK-020"/>
    <s v="J. Mutua"/>
    <n v="1751"/>
    <n v="262.07"/>
    <n v="458884.57"/>
    <n v="345"/>
    <s v="2025-09-27"/>
    <d v="2025-09-01T00:00:00"/>
    <s v="2025-09-27"/>
    <s v="September 2025"/>
    <s v="On Time"/>
    <n v="18597.89"/>
    <n v="477482.46"/>
    <n v="0"/>
    <m/>
  </r>
  <r>
    <s v="SHP-00565"/>
    <s v="2025-09-10"/>
    <d v="2025-09-01T00:00:00"/>
    <s v="CoastBuild Ltd"/>
    <x v="4"/>
    <x v="1"/>
    <s v="TRK-003"/>
    <s v="K. Barasa"/>
    <n v="2059"/>
    <n v="235.19"/>
    <n v="484256.21"/>
    <n v="311"/>
    <s v="2025-09-11"/>
    <d v="2025-09-01T00:00:00"/>
    <s v="2025-09-11"/>
    <s v="September 2025"/>
    <s v="On Time"/>
    <n v="17281.509999999998"/>
    <n v="501537.72000000003"/>
    <n v="0"/>
    <m/>
  </r>
  <r>
    <s v="SHP-00566"/>
    <s v="2025-03-15"/>
    <d v="2025-03-01T00:00:00"/>
    <s v="Highland Agro Processors"/>
    <x v="3"/>
    <x v="1"/>
    <s v="TRK-014"/>
    <s v="M. Otieno"/>
    <n v="1994"/>
    <n v="708.83"/>
    <n v="1413407.02"/>
    <n v="134"/>
    <s v="2025-03-16"/>
    <d v="2025-03-01T00:00:00"/>
    <s v="2025-03-16"/>
    <s v="March 2025"/>
    <s v="On Time"/>
    <n v="8277.2000000000007"/>
    <n v="1421684.22"/>
    <n v="0"/>
    <m/>
  </r>
  <r>
    <s v="SHP-00567"/>
    <s v="2025-11-27"/>
    <d v="2025-11-01T00:00:00"/>
    <s v="Metro Packaging Ltd"/>
    <x v="4"/>
    <x v="3"/>
    <s v="TRK-021"/>
    <s v="P. Maina"/>
    <n v="1653"/>
    <n v="844.6"/>
    <n v="1396123.8"/>
    <n v="349"/>
    <s v="2025-11-28"/>
    <d v="2025-11-01T00:00:00"/>
    <s v="2025-12-01"/>
    <s v="December 2025"/>
    <s v="Late"/>
    <n v="15681.32"/>
    <n v="1411805.12"/>
    <n v="3"/>
    <m/>
  </r>
  <r>
    <s v="SHP-00568"/>
    <s v="2025-06-04"/>
    <d v="2025-06-01T00:00:00"/>
    <s v="CoastBuild Ltd"/>
    <x v="3"/>
    <x v="3"/>
    <s v="TRK-011"/>
    <s v="Not Found"/>
    <n v="1600"/>
    <n v="482.51"/>
    <n v="772016"/>
    <n v="389"/>
    <s v="2025-06-06"/>
    <d v="2025-06-01T00:00:00"/>
    <s v="2025-06-10"/>
    <s v="June 2025"/>
    <s v="Late"/>
    <n v="17832.7"/>
    <n v="789848.7"/>
    <n v="4"/>
    <m/>
  </r>
  <r>
    <s v="SHP-00569"/>
    <s v="2025-05-08"/>
    <d v="2025-05-01T00:00:00"/>
    <s v="Lake Region Water Services"/>
    <x v="3"/>
    <x v="0"/>
    <s v="TRK-005"/>
    <s v="K. Barasa"/>
    <n v="1197"/>
    <n v="496.95"/>
    <n v="594849.15"/>
    <n v="205"/>
    <s v="2025-05-09"/>
    <d v="2025-05-01T00:00:00"/>
    <s v="2025-05-13"/>
    <s v="May 2025"/>
    <s v="Late"/>
    <n v="12560.03"/>
    <n v="607409.18000000005"/>
    <n v="4"/>
    <m/>
  </r>
  <r>
    <s v="SHP-00570"/>
    <s v="2025-05-20"/>
    <d v="2025-05-01T00:00:00"/>
    <s v="UrbanWorks Contractors"/>
    <x v="0"/>
    <x v="3"/>
    <s v="TRK-008"/>
    <s v="P. Maina"/>
    <n v="2493"/>
    <n v="617.67999999999995"/>
    <n v="1539876.24"/>
    <n v="412"/>
    <s v="2025-05-22"/>
    <d v="2025-05-01T00:00:00"/>
    <s v="2025-05-21"/>
    <s v="May 2025"/>
    <s v="On Time"/>
    <n v="23701.91"/>
    <n v="1563578.15"/>
    <n v="-1"/>
    <m/>
  </r>
  <r>
    <s v="SHP-00571"/>
    <s v="2025-09-29"/>
    <d v="2025-09-01T00:00:00"/>
    <s v="Eastern Industrial Supplies"/>
    <x v="0"/>
    <x v="0"/>
    <s v="TRK-005"/>
    <s v="S. Chebet"/>
    <n v="1268"/>
    <n v="620.6"/>
    <n v="786920.8"/>
    <n v="482"/>
    <s v="2025-10-01"/>
    <d v="2025-10-01T00:00:00"/>
    <s v="2025-09-30"/>
    <s v="September 2025"/>
    <s v="On Time"/>
    <n v="22385.200000000001"/>
    <n v="809306"/>
    <n v="-1"/>
    <m/>
  </r>
  <r>
    <s v="SHP-00572"/>
    <s v="2025-07-06"/>
    <d v="2025-07-01T00:00:00"/>
    <s v="Rift Valley Manufacturing"/>
    <x v="0"/>
    <x v="3"/>
    <s v="TRK-018"/>
    <s v="P. Maina"/>
    <n v="1050"/>
    <n v="237.2"/>
    <n v="249060"/>
    <n v="292"/>
    <s v="2025-07-07"/>
    <d v="2025-07-01T00:00:00"/>
    <s v="2025-07-07"/>
    <s v="July 2025"/>
    <s v="On Time"/>
    <n v="16765.71"/>
    <n v="265825.71000000002"/>
    <n v="0"/>
    <m/>
  </r>
  <r>
    <s v="SHP-00573"/>
    <s v="2025-03-19"/>
    <d v="2025-03-01T00:00:00"/>
    <s v="Eastern Industrial Supplies"/>
    <x v="5"/>
    <x v="1"/>
    <s v="TRK-017"/>
    <s v="P. Maina"/>
    <n v="323"/>
    <n v="538.89"/>
    <n v="174061.47"/>
    <n v="691"/>
    <s v="2025-03-21"/>
    <d v="2025-03-01T00:00:00"/>
    <s v="2025-03-22"/>
    <s v="March 2025"/>
    <s v="Late"/>
    <n v="36168.35"/>
    <n v="210229.82"/>
    <n v="1"/>
    <m/>
  </r>
  <r>
    <s v="SHP-00574"/>
    <s v="2025-01-12"/>
    <d v="2025-01-01T00:00:00"/>
    <s v="Lake Region Water Services"/>
    <x v="1"/>
    <x v="1"/>
    <s v="TRK-018"/>
    <s v="L. Wekesa"/>
    <n v="1097"/>
    <n v="480.6"/>
    <n v="527218.19999999995"/>
    <n v="152"/>
    <s v="2025-01-13"/>
    <d v="2025-01-01T00:00:00"/>
    <s v="2025-01-13"/>
    <s v="January 2025"/>
    <s v="On Time"/>
    <n v="8053.8"/>
    <n v="535272"/>
    <n v="0"/>
    <m/>
  </r>
  <r>
    <s v="SHP-00575"/>
    <s v="2025-01-03"/>
    <d v="2025-01-01T00:00:00"/>
    <s v="BlueWave Facilities"/>
    <x v="0"/>
    <x v="0"/>
    <s v="TRK-018"/>
    <s v="B. Kiprono"/>
    <n v="1115"/>
    <n v="711.34"/>
    <n v="793144.1"/>
    <n v="528"/>
    <s v="2025-01-05"/>
    <d v="2025-01-01T00:00:00"/>
    <s v="2025-01-05"/>
    <s v="January 2025"/>
    <s v="On Time"/>
    <n v="19125.59"/>
    <n v="812269.69"/>
    <n v="0"/>
    <m/>
  </r>
  <r>
    <s v="SHP-00576"/>
    <s v="2025-01-10"/>
    <d v="2025-01-01T00:00:00"/>
    <s v="Metro Packaging Ltd"/>
    <x v="1"/>
    <x v="3"/>
    <s v="TRK-009"/>
    <s v="P. Maina"/>
    <n v="1373"/>
    <n v="755.4"/>
    <n v="1037164.2"/>
    <n v="545"/>
    <s v="2025-01-12"/>
    <d v="2025-01-01T00:00:00"/>
    <s v="2025-01-12"/>
    <s v="January 2025"/>
    <s v="On Time"/>
    <n v="31781.17"/>
    <n v="1068945.3699999999"/>
    <n v="0"/>
    <m/>
  </r>
  <r>
    <s v="SHP-00577"/>
    <s v="2025-04-04"/>
    <d v="2025-04-01T00:00:00"/>
    <s v="Highland Agro Processors"/>
    <x v="4"/>
    <x v="3"/>
    <s v="TRK-004"/>
    <s v="P. Maina"/>
    <n v="189"/>
    <n v="386.34"/>
    <n v="73018.259999999995"/>
    <n v="577"/>
    <s v="2025-04-06"/>
    <d v="2025-04-01T00:00:00"/>
    <s v="2025-04-05"/>
    <s v="April 2025"/>
    <s v="On Time"/>
    <n v="24338.23"/>
    <n v="97356.489999999991"/>
    <n v="-1"/>
    <m/>
  </r>
  <r>
    <s v="SHP-00578"/>
    <s v="2025-12-03"/>
    <d v="2025-12-01T00:00:00"/>
    <s v="UrbanWorks Contractors"/>
    <x v="3"/>
    <x v="2"/>
    <s v="TRK-007"/>
    <s v="S. Chebet"/>
    <n v="1520"/>
    <n v="174.99"/>
    <n v="265984.8"/>
    <n v="567"/>
    <s v="2025-12-05"/>
    <d v="2025-12-01T00:00:00"/>
    <s v="2025-12-05"/>
    <s v="December 2025"/>
    <s v="On Time"/>
    <n v="23533.33"/>
    <n v="289518.13"/>
    <n v="0"/>
    <m/>
  </r>
  <r>
    <s v="SHP-00579"/>
    <s v="2025-01-26"/>
    <d v="2025-01-01T00:00:00"/>
    <s v="Highland Agro Processors"/>
    <x v="2"/>
    <x v="3"/>
    <s v="TRK-025"/>
    <s v="J. Mutua"/>
    <n v="2067"/>
    <n v="384.16"/>
    <n v="794058.72"/>
    <n v="404"/>
    <s v="2025-01-28"/>
    <d v="2025-01-01T00:00:00"/>
    <s v="2025-01-27"/>
    <s v="January 2025"/>
    <s v="On Time"/>
    <n v="18945.04"/>
    <n v="813003.76"/>
    <n v="-1"/>
    <m/>
  </r>
  <r>
    <s v="SHP-00580"/>
    <s v="2025-07-18"/>
    <d v="2025-07-01T00:00:00"/>
    <s v="Lake Region Water Services"/>
    <x v="3"/>
    <x v="1"/>
    <s v="TRK-020"/>
    <s v="A. Hassan"/>
    <n v="1294"/>
    <n v="436.46"/>
    <n v="564779.24"/>
    <n v="430"/>
    <s v="2025-07-20"/>
    <d v="2025-07-01T00:00:00"/>
    <s v="2025-07-23"/>
    <s v="July 2025"/>
    <s v="Late"/>
    <n v="21816.1"/>
    <n v="586595.34"/>
    <n v="3"/>
    <m/>
  </r>
  <r>
    <s v="SHP-00581"/>
    <s v="2025-01-02"/>
    <d v="2025-01-01T00:00:00"/>
    <s v="BlueWave Facilities"/>
    <x v="5"/>
    <x v="0"/>
    <s v="TRK-007"/>
    <s v="S. Chebet"/>
    <n v="1377"/>
    <n v="596.15"/>
    <n v="820898.55"/>
    <n v="18"/>
    <s v="2025-01-03"/>
    <d v="2025-01-01T00:00:00"/>
    <s v="2025-01-06"/>
    <s v="January 2025"/>
    <s v="Late"/>
    <n v="759.87"/>
    <n v="821658.42"/>
    <n v="3"/>
    <m/>
  </r>
  <r>
    <s v="SHP-00582"/>
    <s v="2025-03-13"/>
    <d v="2025-03-01T00:00:00"/>
    <s v="Lake Region Water Services"/>
    <x v="4"/>
    <x v="3"/>
    <s v="TRK-004"/>
    <s v="K. Barasa"/>
    <n v="2262"/>
    <n v="770.67"/>
    <n v="1743255.54"/>
    <n v="665"/>
    <s v="2025-03-15"/>
    <d v="2025-03-01T00:00:00"/>
    <s v="2025-03-14"/>
    <s v="March 2025"/>
    <s v="On Time"/>
    <n v="23777.5"/>
    <n v="1767033.04"/>
    <n v="-1"/>
    <m/>
  </r>
  <r>
    <s v="SHP-00583"/>
    <s v="2025-04-16"/>
    <d v="2025-04-01T00:00:00"/>
    <s v="Metro Packaging Ltd"/>
    <x v="2"/>
    <x v="0"/>
    <s v="TRK-028"/>
    <s v="J. Mutua"/>
    <n v="902"/>
    <n v="528.45000000000005"/>
    <n v="476661.9"/>
    <n v="606"/>
    <s v="2025-04-18"/>
    <d v="2025-04-01T00:00:00"/>
    <s v="2025-04-18"/>
    <s v="April 2025"/>
    <s v="On Time"/>
    <n v="25811.21"/>
    <n v="502473.11000000004"/>
    <n v="0"/>
    <m/>
  </r>
  <r>
    <s v="SHP-00584"/>
    <s v="2025-06-24"/>
    <d v="2025-06-01T00:00:00"/>
    <s v="CoastBuild Ltd"/>
    <x v="3"/>
    <x v="3"/>
    <s v="TRK-010"/>
    <s v="D. Said"/>
    <n v="1605"/>
    <n v="48.3"/>
    <n v="77521.5"/>
    <n v="605"/>
    <s v="2025-06-26"/>
    <d v="2025-06-01T00:00:00"/>
    <s v="2025-06-30"/>
    <s v="June 2025"/>
    <s v="Late"/>
    <n v="32469.31"/>
    <n v="109990.81"/>
    <n v="4"/>
    <m/>
  </r>
  <r>
    <s v="SHP-00585"/>
    <s v="2025-06-10"/>
    <d v="2025-06-01T00:00:00"/>
    <s v="BlueWave Facilities"/>
    <x v="5"/>
    <x v="2"/>
    <s v="TRK-007"/>
    <s v="E. Achieng"/>
    <n v="177"/>
    <n v="124.2"/>
    <n v="21983.4"/>
    <n v="571"/>
    <s v="2025-06-12"/>
    <d v="2025-06-01T00:00:00"/>
    <s v="2025-06-14"/>
    <s v="June 2025"/>
    <s v="Late"/>
    <n v="26577.4"/>
    <n v="48560.800000000003"/>
    <n v="2"/>
    <m/>
  </r>
  <r>
    <s v="SHP-00586"/>
    <s v="2025-06-13"/>
    <d v="2025-06-01T00:00:00"/>
    <s v="Metro Packaging Ltd"/>
    <x v="1"/>
    <x v="2"/>
    <s v="TRK-018"/>
    <s v="D. Said"/>
    <n v="541"/>
    <n v="791.96"/>
    <n v="428450.36"/>
    <n v="482"/>
    <s v="2025-06-15"/>
    <d v="2025-06-01T00:00:00"/>
    <s v="2025-06-18"/>
    <s v="June 2025"/>
    <s v="Late"/>
    <n v="20704.650000000001"/>
    <n v="449155.01"/>
    <n v="3"/>
    <m/>
  </r>
  <r>
    <s v="SHP-00587"/>
    <s v="2025-06-01"/>
    <d v="2025-06-01T00:00:00"/>
    <s v="Lake Region Water Services"/>
    <x v="4"/>
    <x v="3"/>
    <s v="TRK-013"/>
    <s v="B. Kiprono"/>
    <n v="1287"/>
    <n v="235.66"/>
    <n v="303294.42"/>
    <n v="195"/>
    <s v="2025-06-02"/>
    <d v="2025-06-01T00:00:00"/>
    <s v="2025-06-04"/>
    <s v="June 2025"/>
    <s v="Late"/>
    <n v="11282.42"/>
    <n v="314576.83999999997"/>
    <n v="2"/>
    <m/>
  </r>
  <r>
    <s v="SHP-00588"/>
    <s v="2025-09-06"/>
    <d v="2025-09-01T00:00:00"/>
    <s v="CoastBuild Ltd"/>
    <x v="3"/>
    <x v="0"/>
    <s v="TRK-002"/>
    <s v="J. Mutua"/>
    <n v="1375"/>
    <n v="249.38"/>
    <n v="342897.5"/>
    <n v="270"/>
    <s v="2025-09-07"/>
    <d v="2025-09-01T00:00:00"/>
    <s v="2025-09-07"/>
    <s v="September 2025"/>
    <s v="On Time"/>
    <n v="12456.61"/>
    <n v="355354.11"/>
    <n v="0"/>
    <m/>
  </r>
  <r>
    <s v="SHP-00589"/>
    <s v="2025-11-11"/>
    <d v="2025-11-01T00:00:00"/>
    <s v="Metro Packaging Ltd"/>
    <x v="4"/>
    <x v="2"/>
    <s v="TRK-002"/>
    <s v="D. Said"/>
    <n v="1605"/>
    <n v="673.71"/>
    <n v="1081304.55"/>
    <n v="54"/>
    <s v="2025-11-12"/>
    <d v="2025-11-01T00:00:00"/>
    <s v="2025-11-12"/>
    <s v="November 2025"/>
    <s v="On Time"/>
    <n v="0"/>
    <n v="1081304.55"/>
    <n v="0"/>
    <m/>
  </r>
  <r>
    <s v="SHP-00590"/>
    <s v="2025-12-20"/>
    <d v="2025-12-01T00:00:00"/>
    <s v="CoastBuild Ltd"/>
    <x v="5"/>
    <x v="1"/>
    <s v="TRK-022"/>
    <s v="J. Mutua"/>
    <n v="528"/>
    <n v="732.57"/>
    <n v="386796.96"/>
    <n v="636"/>
    <s v="2025-12-22"/>
    <d v="2025-12-01T00:00:00"/>
    <s v="2025-12-22"/>
    <s v="December 2025"/>
    <s v="On Time"/>
    <n v="34041.56"/>
    <n v="420838.52"/>
    <n v="0"/>
    <m/>
  </r>
  <r>
    <s v="SHP-00591"/>
    <s v="2025-07-10"/>
    <d v="2025-07-01T00:00:00"/>
    <s v="Highland Agro Processors"/>
    <x v="5"/>
    <x v="3"/>
    <s v="TRK-010"/>
    <s v="P. Maina"/>
    <n v="1964"/>
    <n v="335.21"/>
    <n v="658352.43999999994"/>
    <n v="222"/>
    <s v="2025-07-11"/>
    <d v="2025-07-01T00:00:00"/>
    <s v="2025-07-11"/>
    <s v="July 2025"/>
    <s v="On Time"/>
    <n v="11299.19"/>
    <n v="669651.62999999989"/>
    <n v="0"/>
    <m/>
  </r>
  <r>
    <s v="SHP-00592"/>
    <s v="2025-09-09"/>
    <d v="2025-09-01T00:00:00"/>
    <s v="Metro Packaging Ltd"/>
    <x v="0"/>
    <x v="3"/>
    <s v="TRK-029"/>
    <s v="S. Chebet"/>
    <n v="1769"/>
    <n v="259.33"/>
    <n v="458754.77"/>
    <n v="584"/>
    <s v="2025-09-11"/>
    <d v="2025-09-01T00:00:00"/>
    <s v="2025-09-12"/>
    <s v="September 2025"/>
    <s v="Late"/>
    <n v="30836.28"/>
    <n v="489591.05000000005"/>
    <n v="1"/>
    <m/>
  </r>
  <r>
    <s v="SHP-00593"/>
    <s v="2025-05-14"/>
    <d v="2025-05-01T00:00:00"/>
    <s v="BlueWave Facilities"/>
    <x v="2"/>
    <x v="3"/>
    <s v="TRK-006"/>
    <s v="L. Wekesa"/>
    <n v="2434"/>
    <n v="434.62"/>
    <n v="1057865.08"/>
    <n v="514"/>
    <s v="2025-05-16"/>
    <d v="2025-05-01T00:00:00"/>
    <s v="2025-05-16"/>
    <s v="May 2025"/>
    <s v="On Time"/>
    <n v="21502.02"/>
    <n v="1079367.1000000001"/>
    <n v="0"/>
    <m/>
  </r>
  <r>
    <s v="SHP-00594"/>
    <s v="2025-07-27"/>
    <d v="2025-07-01T00:00:00"/>
    <s v="BlueWave Facilities"/>
    <x v="2"/>
    <x v="3"/>
    <s v="TRK-002"/>
    <s v="L. Wekesa"/>
    <n v="2471"/>
    <n v="221.86"/>
    <n v="548216.06000000006"/>
    <n v="664"/>
    <s v="2025-07-29"/>
    <d v="2025-07-01T00:00:00"/>
    <s v="2025-08-01"/>
    <s v="August 2025"/>
    <s v="Late"/>
    <n v="26569.74"/>
    <n v="574785.80000000005"/>
    <n v="3"/>
    <m/>
  </r>
  <r>
    <s v="SHP-00595"/>
    <s v="2025-02-27"/>
    <d v="2025-02-01T00:00:00"/>
    <s v="Eastern Industrial Supplies"/>
    <x v="3"/>
    <x v="1"/>
    <s v="TRK-013"/>
    <s v="A. Hassan"/>
    <n v="2420"/>
    <n v="631.52"/>
    <n v="1528278.4"/>
    <n v="269"/>
    <s v="2025-02-28"/>
    <d v="2025-02-01T00:00:00"/>
    <s v="2025-03-01"/>
    <s v="March 2025"/>
    <s v="Late"/>
    <n v="11866.6"/>
    <n v="1540145"/>
    <n v="1"/>
    <m/>
  </r>
  <r>
    <s v="SHP-00596"/>
    <s v="2025-04-04"/>
    <d v="2025-04-01T00:00:00"/>
    <s v="CoastBuild Ltd"/>
    <x v="3"/>
    <x v="2"/>
    <s v="TRK-012"/>
    <s v="J. Mutua"/>
    <n v="689"/>
    <n v="659.54"/>
    <n v="454423.06"/>
    <n v="252"/>
    <s v="2025-04-05"/>
    <d v="2025-04-01T00:00:00"/>
    <s v="2025-04-09"/>
    <s v="April 2025"/>
    <s v="Late"/>
    <n v="10649.1"/>
    <n v="465072.16"/>
    <n v="4"/>
    <m/>
  </r>
  <r>
    <s v="SHP-00597"/>
    <s v="2025-09-19"/>
    <d v="2025-09-01T00:00:00"/>
    <s v="Metro Packaging Ltd"/>
    <x v="2"/>
    <x v="2"/>
    <s v="TRK-026"/>
    <s v="K. Barasa"/>
    <n v="221"/>
    <n v="557.89"/>
    <n v="123293.69"/>
    <n v="491"/>
    <s v="2025-09-21"/>
    <d v="2025-09-01T00:00:00"/>
    <s v="2025-09-22"/>
    <s v="September 2025"/>
    <s v="Late"/>
    <n v="20981.27"/>
    <n v="144274.96"/>
    <n v="1"/>
    <m/>
  </r>
  <r>
    <s v="SHP-00598"/>
    <s v="2025-06-15"/>
    <d v="2025-06-01T00:00:00"/>
    <s v="Eastern Industrial Supplies"/>
    <x v="0"/>
    <x v="3"/>
    <s v="TRK-018"/>
    <s v="J. Mutua"/>
    <n v="576"/>
    <n v="646.22"/>
    <n v="372222.71999999997"/>
    <n v="195"/>
    <s v="2025-06-16"/>
    <d v="2025-06-01T00:00:00"/>
    <s v="2025-06-17"/>
    <s v="June 2025"/>
    <s v="Late"/>
    <n v="9370.35"/>
    <n v="381593.06999999995"/>
    <n v="1"/>
    <m/>
  </r>
  <r>
    <s v="SHP-00599"/>
    <s v="2025-01-15"/>
    <d v="2025-01-01T00:00:00"/>
    <s v="Metro Packaging Ltd"/>
    <x v="1"/>
    <x v="2"/>
    <s v="TRK-029"/>
    <s v="P. Maina"/>
    <n v="690"/>
    <n v="722.22"/>
    <n v="498331.8"/>
    <n v="236"/>
    <s v="2025-01-16"/>
    <d v="2025-01-01T00:00:00"/>
    <s v="2025-01-19"/>
    <s v="January 2025"/>
    <s v="Late"/>
    <n v="12982.88"/>
    <n v="511314.68"/>
    <n v="3"/>
    <m/>
  </r>
  <r>
    <s v="SHP-00600"/>
    <s v="2025-10-02"/>
    <d v="2025-10-01T00:00:00"/>
    <s v="Lake Region Water Services"/>
    <x v="5"/>
    <x v="1"/>
    <s v="TRK-017"/>
    <s v="B. Kiprono"/>
    <n v="1552"/>
    <n v="78.28"/>
    <n v="121490.56"/>
    <n v="508"/>
    <s v="2025-10-04"/>
    <d v="2025-10-01T00:00:00"/>
    <s v="2025-10-06"/>
    <s v="October 2025"/>
    <s v="Late"/>
    <n v="24145.61"/>
    <n v="145636.16999999998"/>
    <n v="2"/>
    <m/>
  </r>
  <r>
    <s v="SHP-00601"/>
    <s v="2025-04-24"/>
    <d v="2025-04-01T00:00:00"/>
    <s v="Metro Packaging Ltd"/>
    <x v="0"/>
    <x v="0"/>
    <s v="TRK-019"/>
    <s v="A. Hassan"/>
    <n v="92"/>
    <n v="202.55"/>
    <n v="18634.599999999999"/>
    <n v="609"/>
    <s v="2025-04-26"/>
    <d v="2025-04-01T00:00:00"/>
    <s v="2025-04-25"/>
    <s v="April 2025"/>
    <s v="On Time"/>
    <n v="22027.5"/>
    <n v="40662.1"/>
    <n v="-1"/>
    <m/>
  </r>
  <r>
    <s v="SHP-00602"/>
    <s v="2025-12-31"/>
    <d v="2025-12-01T00:00:00"/>
    <s v="UrbanWorks Contractors"/>
    <x v="3"/>
    <x v="2"/>
    <s v="TRK-015"/>
    <s v="E. Achieng"/>
    <n v="690"/>
    <n v="116.39"/>
    <n v="80309.100000000006"/>
    <n v="339"/>
    <s v="2026-01-01"/>
    <d v="2026-01-01T00:00:00"/>
    <s v="2026-01-03"/>
    <s v="January 2026"/>
    <s v="Late"/>
    <n v="18978.939999999999"/>
    <n v="99288.040000000008"/>
    <n v="2"/>
    <m/>
  </r>
  <r>
    <s v="SHP-00603"/>
    <s v="2025-01-14"/>
    <d v="2025-01-01T00:00:00"/>
    <s v="Lake Region Water Services"/>
    <x v="1"/>
    <x v="0"/>
    <s v="TRK-019"/>
    <s v="E. Achieng"/>
    <n v="2428"/>
    <n v="855.89"/>
    <n v="2078100.92"/>
    <n v="104"/>
    <s v="2025-01-15"/>
    <d v="2025-01-01T00:00:00"/>
    <s v="2025-01-15"/>
    <s v="January 2025"/>
    <s v="On Time"/>
    <n v="5629.41"/>
    <n v="2083730.3299999998"/>
    <n v="0"/>
    <m/>
  </r>
  <r>
    <s v="SHP-00604"/>
    <s v="2025-02-01"/>
    <d v="2025-02-01T00:00:00"/>
    <s v="Metro Packaging Ltd"/>
    <x v="1"/>
    <x v="2"/>
    <s v="TRK-023"/>
    <s v="E. Achieng"/>
    <n v="196"/>
    <n v="352.55"/>
    <n v="69099.8"/>
    <n v="573"/>
    <s v="2025-02-03"/>
    <d v="2025-02-01T00:00:00"/>
    <s v="2025-02-05"/>
    <s v="February 2025"/>
    <s v="Late"/>
    <n v="30251.89"/>
    <n v="99351.69"/>
    <n v="2"/>
    <m/>
  </r>
  <r>
    <s v="SHP-00605"/>
    <s v="2025-01-29"/>
    <d v="2025-01-01T00:00:00"/>
    <s v="Lake Region Water Services"/>
    <x v="0"/>
    <x v="0"/>
    <s v="TRK-021"/>
    <s v="B. Kiprono"/>
    <n v="1362"/>
    <n v="823.71"/>
    <n v="1121893.02"/>
    <n v="313"/>
    <s v="2025-01-30"/>
    <d v="2025-01-01T00:00:00"/>
    <s v="2025-01-30"/>
    <s v="January 2025"/>
    <s v="On Time"/>
    <n v="16497.86"/>
    <n v="1138390.8800000001"/>
    <n v="0"/>
    <m/>
  </r>
  <r>
    <s v="SHP-00606"/>
    <s v="2025-06-19"/>
    <d v="2025-06-01T00:00:00"/>
    <s v="Lake Region Water Services"/>
    <x v="3"/>
    <x v="3"/>
    <s v="TRK-018"/>
    <s v="E. Achieng"/>
    <n v="1481"/>
    <n v="108.31"/>
    <n v="160407.10999999999"/>
    <n v="555"/>
    <s v="2025-06-21"/>
    <d v="2025-06-01T00:00:00"/>
    <s v="2025-06-21"/>
    <s v="June 2025"/>
    <s v="On Time"/>
    <n v="28770.09"/>
    <n v="189177.19999999998"/>
    <n v="0"/>
    <m/>
  </r>
  <r>
    <s v="SHP-00607"/>
    <s v="2025-10-18"/>
    <d v="2025-10-01T00:00:00"/>
    <s v="Rift Valley Manufacturing"/>
    <x v="1"/>
    <x v="2"/>
    <s v="TRK-027"/>
    <s v="A. Hassan"/>
    <n v="2366"/>
    <n v="611.6"/>
    <n v="1447045.6"/>
    <n v="367"/>
    <s v="2025-10-20"/>
    <d v="2025-10-01T00:00:00"/>
    <s v="2025-10-21"/>
    <s v="October 2025"/>
    <s v="Late"/>
    <n v="21058.36"/>
    <n v="1468103.9600000002"/>
    <n v="1"/>
    <m/>
  </r>
  <r>
    <s v="SHP-00608"/>
    <s v="2025-01-07"/>
    <d v="2025-01-01T00:00:00"/>
    <s v="CoastBuild Ltd"/>
    <x v="3"/>
    <x v="1"/>
    <s v="TRK-014"/>
    <s v="J. Mutua"/>
    <n v="1297"/>
    <n v="354.66"/>
    <n v="459994.02"/>
    <n v="680"/>
    <s v="2025-01-09"/>
    <d v="2025-01-01T00:00:00"/>
    <s v="2025-01-09"/>
    <s v="January 2025"/>
    <s v="On Time"/>
    <n v="39835.14"/>
    <n v="499829.16000000003"/>
    <n v="0"/>
    <m/>
  </r>
  <r>
    <s v="SHP-00609"/>
    <s v="2025-12-03"/>
    <d v="2025-12-01T00:00:00"/>
    <s v="BlueWave Facilities"/>
    <x v="4"/>
    <x v="2"/>
    <s v="TRK-005"/>
    <s v="L. Wekesa"/>
    <n v="2257"/>
    <n v="883.23"/>
    <n v="1993450.11"/>
    <n v="522"/>
    <s v="2025-12-05"/>
    <d v="2025-12-01T00:00:00"/>
    <s v="2025-12-09"/>
    <s v="December 2025"/>
    <s v="Late"/>
    <n v="24304.59"/>
    <n v="2017754.7000000002"/>
    <n v="4"/>
    <m/>
  </r>
  <r>
    <s v="SHP-00610"/>
    <s v="2025-07-28"/>
    <d v="2025-07-01T00:00:00"/>
    <s v="Rift Valley Manufacturing"/>
    <x v="1"/>
    <x v="0"/>
    <s v="TRK-001"/>
    <s v="B. Kiprono"/>
    <n v="1647"/>
    <n v="382.11"/>
    <n v="629335.17000000004"/>
    <n v="617"/>
    <s v="2025-07-30"/>
    <d v="2025-07-01T00:00:00"/>
    <s v="2025-08-02"/>
    <s v="August 2025"/>
    <s v="Late"/>
    <n v="24823.040000000001"/>
    <n v="654158.21000000008"/>
    <n v="3"/>
    <m/>
  </r>
  <r>
    <s v="SHP-00611"/>
    <s v="2025-04-15"/>
    <d v="2025-04-01T00:00:00"/>
    <s v="Eastern Industrial Supplies"/>
    <x v="2"/>
    <x v="0"/>
    <s v="TRK-020"/>
    <s v="L. Wekesa"/>
    <n v="503"/>
    <n v="421.52"/>
    <n v="212024.56"/>
    <n v="169"/>
    <s v="2025-04-16"/>
    <d v="2025-04-01T00:00:00"/>
    <s v="2025-04-16"/>
    <s v="April 2025"/>
    <s v="On Time"/>
    <n v="8457.9599999999991"/>
    <n v="220482.52"/>
    <n v="0"/>
    <m/>
  </r>
  <r>
    <s v="SHP-00612"/>
    <s v="2025-10-13"/>
    <d v="2025-10-01T00:00:00"/>
    <s v="Metro Packaging Ltd"/>
    <x v="4"/>
    <x v="3"/>
    <s v="TRK-012"/>
    <s v="M. Otieno"/>
    <n v="221"/>
    <n v="190.9"/>
    <n v="42188.9"/>
    <n v="196"/>
    <s v="2025-10-14"/>
    <d v="2025-10-01T00:00:00"/>
    <s v="2025-10-14"/>
    <s v="October 2025"/>
    <s v="On Time"/>
    <n v="8071.06"/>
    <n v="50259.96"/>
    <n v="0"/>
    <m/>
  </r>
  <r>
    <s v="SHP-00613"/>
    <s v="2025-01-16"/>
    <d v="2025-01-01T00:00:00"/>
    <s v="BlueWave Facilities"/>
    <x v="1"/>
    <x v="1"/>
    <s v="TRK-023"/>
    <s v="S. Chebet"/>
    <n v="576"/>
    <n v="577.54"/>
    <n v="332663.03999999998"/>
    <n v="700"/>
    <s v="2025-01-19"/>
    <d v="2025-01-01T00:00:00"/>
    <s v="2025-01-21"/>
    <s v="January 2025"/>
    <s v="Late"/>
    <n v="34208.379999999997"/>
    <n v="366871.42"/>
    <n v="2"/>
    <m/>
  </r>
  <r>
    <s v="SHP-00614"/>
    <s v="2025-07-05"/>
    <d v="2025-07-01T00:00:00"/>
    <s v="Lake Region Water Services"/>
    <x v="0"/>
    <x v="1"/>
    <s v="TRK-016"/>
    <s v="A. Hassan"/>
    <n v="1513"/>
    <n v="259.52999999999997"/>
    <n v="392668.89"/>
    <n v="534"/>
    <s v="2025-07-07"/>
    <d v="2025-07-01T00:00:00"/>
    <s v="2025-07-07"/>
    <s v="July 2025"/>
    <s v="On Time"/>
    <n v="31728.57"/>
    <n v="424397.46"/>
    <n v="0"/>
    <m/>
  </r>
  <r>
    <s v="SHP-00615"/>
    <s v="2025-12-20"/>
    <d v="2025-12-01T00:00:00"/>
    <s v="Lake Region Water Services"/>
    <x v="1"/>
    <x v="0"/>
    <s v="TRK-002"/>
    <s v="P. Maina"/>
    <n v="1656"/>
    <n v="569.91999999999996"/>
    <n v="943787.52000000002"/>
    <n v="214"/>
    <s v="2025-12-21"/>
    <d v="2025-12-01T00:00:00"/>
    <s v="2025-12-24"/>
    <s v="December 2025"/>
    <s v="Late"/>
    <n v="11406.7"/>
    <n v="955194.22"/>
    <n v="3"/>
    <m/>
  </r>
  <r>
    <s v="SHP-00616"/>
    <s v="2025-05-18"/>
    <d v="2025-05-01T00:00:00"/>
    <s v="CoastBuild Ltd"/>
    <x v="3"/>
    <x v="1"/>
    <s v="TRK-008"/>
    <s v="L. Wekesa"/>
    <n v="932"/>
    <n v="264.18"/>
    <n v="246215.76"/>
    <n v="310"/>
    <s v="2025-05-19"/>
    <d v="2025-05-01T00:00:00"/>
    <s v="2025-05-19"/>
    <s v="May 2025"/>
    <s v="On Time"/>
    <n v="13021.5"/>
    <n v="259237.26"/>
    <n v="0"/>
    <m/>
  </r>
  <r>
    <s v="SHP-00617"/>
    <s v="2025-04-13"/>
    <d v="2025-04-01T00:00:00"/>
    <s v="Metro Packaging Ltd"/>
    <x v="5"/>
    <x v="0"/>
    <s v="TRK-030"/>
    <s v="D. Said"/>
    <n v="1743"/>
    <n v="652.17999999999995"/>
    <n v="1136749.74"/>
    <n v="359"/>
    <s v="2025-04-15"/>
    <d v="2025-04-01T00:00:00"/>
    <s v="2025-04-16"/>
    <s v="April 2025"/>
    <s v="Late"/>
    <n v="20789.09"/>
    <n v="1157538.83"/>
    <n v="1"/>
    <m/>
  </r>
  <r>
    <s v="SHP-00618"/>
    <s v="2025-10-25"/>
    <d v="2025-10-01T00:00:00"/>
    <s v="BlueWave Facilities"/>
    <x v="4"/>
    <x v="2"/>
    <s v="TRK-028"/>
    <s v="D. Said"/>
    <n v="263"/>
    <n v="81.62"/>
    <n v="21466.06"/>
    <n v="286"/>
    <s v="2025-10-26"/>
    <d v="2025-10-01T00:00:00"/>
    <s v="2025-10-27"/>
    <s v="October 2025"/>
    <s v="Late"/>
    <n v="10118.950000000001"/>
    <n v="31585.010000000002"/>
    <n v="1"/>
    <m/>
  </r>
  <r>
    <s v="SHP-00619"/>
    <s v="2025-04-01"/>
    <d v="2025-04-01T00:00:00"/>
    <s v="Metro Packaging Ltd"/>
    <x v="0"/>
    <x v="1"/>
    <s v="TRK-025"/>
    <s v="K. Barasa"/>
    <n v="1961"/>
    <n v="814.1"/>
    <n v="1596450.1"/>
    <n v="589"/>
    <s v="2025-04-03"/>
    <d v="2025-04-01T00:00:00"/>
    <s v="2025-04-07"/>
    <s v="April 2025"/>
    <s v="Late"/>
    <n v="27676.22"/>
    <n v="1624126.32"/>
    <n v="4"/>
    <m/>
  </r>
  <r>
    <s v="SHP-00620"/>
    <s v="2025-09-08"/>
    <d v="2025-09-01T00:00:00"/>
    <s v="UrbanWorks Contractors"/>
    <x v="4"/>
    <x v="2"/>
    <s v="TRK-013"/>
    <s v="B. Kiprono"/>
    <n v="1026"/>
    <n v="811.24"/>
    <n v="832332.24"/>
    <n v="334"/>
    <s v="2025-09-09"/>
    <d v="2025-09-01T00:00:00"/>
    <s v="2025-09-12"/>
    <s v="September 2025"/>
    <s v="Late"/>
    <n v="13511.54"/>
    <n v="845843.78"/>
    <n v="3"/>
    <m/>
  </r>
  <r>
    <s v="SHP-00621"/>
    <s v="2025-10-25"/>
    <d v="2025-10-01T00:00:00"/>
    <s v="CoastBuild Ltd"/>
    <x v="2"/>
    <x v="3"/>
    <s v="TRK-015"/>
    <s v="D. Said"/>
    <n v="2366"/>
    <n v="854.81"/>
    <n v="2022480.46"/>
    <n v="611"/>
    <s v="2025-10-27"/>
    <d v="2025-10-01T00:00:00"/>
    <s v="2025-10-28"/>
    <s v="October 2025"/>
    <s v="Late"/>
    <n v="36960.26"/>
    <n v="2059440.72"/>
    <n v="1"/>
    <m/>
  </r>
  <r>
    <s v="SHP-00622"/>
    <s v="2025-04-08"/>
    <d v="2025-04-01T00:00:00"/>
    <s v="CoastBuild Ltd"/>
    <x v="1"/>
    <x v="1"/>
    <s v="TRK-024"/>
    <s v="K. Barasa"/>
    <n v="280"/>
    <n v="783.69"/>
    <n v="219433.2"/>
    <n v="384"/>
    <s v="2025-04-10"/>
    <d v="2025-04-01T00:00:00"/>
    <s v="2025-04-10"/>
    <s v="April 2025"/>
    <s v="On Time"/>
    <n v="18407.669999999998"/>
    <n v="237840.87"/>
    <n v="0"/>
    <m/>
  </r>
  <r>
    <s v="SHP-00623"/>
    <s v="2025-03-14"/>
    <d v="2025-03-01T00:00:00"/>
    <s v="UrbanWorks Contractors"/>
    <x v="2"/>
    <x v="3"/>
    <s v="TRK-007"/>
    <s v="J. Mutua"/>
    <n v="619"/>
    <n v="859.02"/>
    <n v="531733.38"/>
    <n v="717"/>
    <s v="2025-03-17"/>
    <d v="2025-03-01T00:00:00"/>
    <s v="2025-03-17"/>
    <s v="March 2025"/>
    <s v="On Time"/>
    <n v="25597.9"/>
    <n v="557331.28"/>
    <n v="0"/>
    <m/>
  </r>
  <r>
    <s v="SHP-00624"/>
    <s v="2025-10-20"/>
    <d v="2025-10-01T00:00:00"/>
    <s v="BlueWave Facilities"/>
    <x v="0"/>
    <x v="2"/>
    <s v="TRK-025"/>
    <s v="J. Mutua"/>
    <n v="1951"/>
    <n v="645.53"/>
    <n v="1259429.03"/>
    <n v="305"/>
    <s v="2025-10-21"/>
    <d v="2025-10-01T00:00:00"/>
    <s v="2025-10-24"/>
    <s v="October 2025"/>
    <s v="Late"/>
    <n v="15516.38"/>
    <n v="1274945.4099999999"/>
    <n v="3"/>
    <m/>
  </r>
  <r>
    <s v="SHP-00625"/>
    <s v="2025-04-24"/>
    <d v="2025-04-01T00:00:00"/>
    <s v="BlueWave Facilities"/>
    <x v="1"/>
    <x v="1"/>
    <s v="TRK-010"/>
    <s v="B. Kiprono"/>
    <n v="2417"/>
    <n v="660.35"/>
    <n v="1596065.95"/>
    <n v="75"/>
    <s v="2025-04-25"/>
    <d v="2025-04-01T00:00:00"/>
    <s v="2025-04-24"/>
    <s v="April 2025"/>
    <s v="On Time"/>
    <n v="3112.91"/>
    <n v="1599178.8599999999"/>
    <n v="-1"/>
    <m/>
  </r>
  <r>
    <s v="SHP-00626"/>
    <s v="2025-07-07"/>
    <d v="2025-07-01T00:00:00"/>
    <s v="CoastBuild Ltd"/>
    <x v="4"/>
    <x v="0"/>
    <s v="TRK-015"/>
    <s v="D. Said"/>
    <n v="1922"/>
    <n v="651.94000000000005"/>
    <n v="1253028.68"/>
    <n v="224"/>
    <s v="2025-07-08"/>
    <d v="2025-07-01T00:00:00"/>
    <s v="2025-07-08"/>
    <s v="July 2025"/>
    <s v="On Time"/>
    <n v="9434.42"/>
    <n v="1262463.0999999999"/>
    <n v="0"/>
    <m/>
  </r>
  <r>
    <s v="SHP-00627"/>
    <s v="2025-04-12"/>
    <d v="2025-04-01T00:00:00"/>
    <s v="Rift Valley Manufacturing"/>
    <x v="4"/>
    <x v="3"/>
    <s v="TRK-006"/>
    <s v="B. Kiprono"/>
    <n v="2372"/>
    <n v="398.27"/>
    <n v="944696.44"/>
    <n v="324"/>
    <s v="2025-04-13"/>
    <d v="2025-04-01T00:00:00"/>
    <s v="2025-04-13"/>
    <s v="April 2025"/>
    <s v="On Time"/>
    <n v="17721.919999999998"/>
    <n v="962418.36"/>
    <n v="0"/>
    <m/>
  </r>
  <r>
    <s v="SHP-00628"/>
    <s v="2025-05-02"/>
    <d v="2025-05-01T00:00:00"/>
    <s v="Lake Region Water Services"/>
    <x v="0"/>
    <x v="1"/>
    <s v="TRK-011"/>
    <s v="D. Said"/>
    <n v="2408"/>
    <n v="550.94000000000005"/>
    <n v="1326663.52"/>
    <n v="26"/>
    <s v="2025-05-03"/>
    <d v="2025-05-01T00:00:00"/>
    <s v="2025-05-04"/>
    <s v="May 2025"/>
    <s v="Late"/>
    <n v="1134.17"/>
    <n v="1327797.69"/>
    <n v="1"/>
    <m/>
  </r>
  <r>
    <s v="SHP-00629"/>
    <s v="2025-06-16"/>
    <d v="2025-06-01T00:00:00"/>
    <s v="CoastBuild Ltd"/>
    <x v="1"/>
    <x v="1"/>
    <s v="TRK-019"/>
    <s v="L. Wekesa"/>
    <n v="52"/>
    <n v="785.51"/>
    <n v="40846.519999999997"/>
    <n v="562"/>
    <s v="2025-06-18"/>
    <d v="2025-06-01T00:00:00"/>
    <s v="2025-06-17"/>
    <s v="June 2025"/>
    <s v="On Time"/>
    <n v="32372.31"/>
    <n v="73218.83"/>
    <n v="-1"/>
    <m/>
  </r>
  <r>
    <s v="SHP-00630"/>
    <s v="2025-07-27"/>
    <d v="2025-07-01T00:00:00"/>
    <s v="BlueWave Facilities"/>
    <x v="5"/>
    <x v="2"/>
    <s v="TRK-011"/>
    <s v="A. Hassan"/>
    <n v="467"/>
    <n v="396.08"/>
    <n v="184969.36"/>
    <n v="434"/>
    <s v="2025-07-29"/>
    <d v="2025-07-01T00:00:00"/>
    <s v="2025-08-02"/>
    <s v="August 2025"/>
    <s v="Late"/>
    <n v="17642.75"/>
    <n v="202612.11"/>
    <n v="4"/>
    <m/>
  </r>
  <r>
    <s v="SHP-00631"/>
    <s v="2025-09-06"/>
    <d v="2025-09-01T00:00:00"/>
    <s v="Rift Valley Manufacturing"/>
    <x v="5"/>
    <x v="3"/>
    <s v="TRK-023"/>
    <s v="D. Said"/>
    <n v="1803"/>
    <n v="881.19"/>
    <n v="1588785.57"/>
    <n v="224"/>
    <s v="2025-09-07"/>
    <d v="2025-09-01T00:00:00"/>
    <s v="2025-09-07"/>
    <s v="September 2025"/>
    <s v="On Time"/>
    <n v="12384.09"/>
    <n v="1601169.6600000001"/>
    <n v="0"/>
    <m/>
  </r>
  <r>
    <s v="SHP-00632"/>
    <s v="2025-12-14"/>
    <d v="2025-12-01T00:00:00"/>
    <s v="Highland Agro Processors"/>
    <x v="5"/>
    <x v="1"/>
    <s v="TRK-024"/>
    <s v="E. Achieng"/>
    <n v="2277"/>
    <n v="646.11"/>
    <n v="1471192.47"/>
    <n v="556"/>
    <s v="2025-12-16"/>
    <d v="2025-12-01T00:00:00"/>
    <s v="2025-12-17"/>
    <s v="December 2025"/>
    <s v="Late"/>
    <n v="24033.07"/>
    <n v="1495225.54"/>
    <n v="1"/>
    <m/>
  </r>
  <r>
    <s v="SHP-00633"/>
    <s v="2025-11-22"/>
    <d v="2025-11-01T00:00:00"/>
    <s v="Lake Region Water Services"/>
    <x v="0"/>
    <x v="1"/>
    <s v="TRK-002"/>
    <s v="A. Hassan"/>
    <n v="1789"/>
    <n v="799.07"/>
    <n v="1429536.23"/>
    <n v="84"/>
    <s v="2025-11-23"/>
    <d v="2025-11-01T00:00:00"/>
    <s v="2025-11-24"/>
    <s v="November 2025"/>
    <s v="Late"/>
    <n v="4654.47"/>
    <n v="1434190.7"/>
    <n v="1"/>
    <m/>
  </r>
  <r>
    <s v="SHP-00634"/>
    <s v="2025-06-10"/>
    <d v="2025-06-01T00:00:00"/>
    <s v="Highland Agro Processors"/>
    <x v="2"/>
    <x v="0"/>
    <s v="TRK-006"/>
    <s v="A. Hassan"/>
    <n v="2352"/>
    <n v="178.89"/>
    <n v="420749.28"/>
    <n v="40"/>
    <s v="2025-06-11"/>
    <d v="2025-06-01T00:00:00"/>
    <s v="2025-06-11"/>
    <s v="June 2025"/>
    <s v="On Time"/>
    <n v="2458.86"/>
    <n v="423208.14"/>
    <n v="0"/>
    <m/>
  </r>
  <r>
    <s v="SHP-00635"/>
    <s v="2025-01-11"/>
    <d v="2025-01-01T00:00:00"/>
    <s v="Lake Region Water Services"/>
    <x v="4"/>
    <x v="3"/>
    <s v="TRK-014"/>
    <s v="J. Mutua"/>
    <n v="1089"/>
    <n v="501.24"/>
    <n v="545850.36"/>
    <n v="701"/>
    <s v="2025-01-14"/>
    <d v="2025-01-01T00:00:00"/>
    <s v="2025-01-18"/>
    <s v="January 2025"/>
    <s v="Late"/>
    <n v="33784.379999999997"/>
    <n v="579634.74"/>
    <n v="4"/>
    <m/>
  </r>
  <r>
    <s v="SHP-00636"/>
    <s v="2025-10-02"/>
    <d v="2025-10-01T00:00:00"/>
    <s v="Eastern Industrial Supplies"/>
    <x v="4"/>
    <x v="1"/>
    <s v="TRK-010"/>
    <s v="A. Hassan"/>
    <n v="71"/>
    <n v="252.36"/>
    <n v="17917.560000000001"/>
    <n v="380"/>
    <s v="2025-10-04"/>
    <d v="2025-10-01T00:00:00"/>
    <s v="2025-10-04"/>
    <s v="October 2025"/>
    <s v="On Time"/>
    <n v="19612.61"/>
    <n v="37530.17"/>
    <n v="0"/>
    <m/>
  </r>
  <r>
    <s v="SHP-00637"/>
    <s v="2025-04-24"/>
    <d v="2025-04-01T00:00:00"/>
    <s v="Rift Valley Manufacturing"/>
    <x v="1"/>
    <x v="0"/>
    <s v="TRK-001"/>
    <s v="B. Kiprono"/>
    <n v="238"/>
    <n v="538.71"/>
    <n v="128212.98"/>
    <n v="560"/>
    <s v="2025-04-26"/>
    <d v="2025-04-01T00:00:00"/>
    <s v="2025-04-30"/>
    <s v="April 2025"/>
    <s v="Late"/>
    <n v="22215.56"/>
    <n v="150428.54"/>
    <n v="4"/>
    <m/>
  </r>
  <r>
    <s v="SHP-00638"/>
    <s v="2025-07-30"/>
    <d v="2025-07-01T00:00:00"/>
    <s v="Eastern Industrial Supplies"/>
    <x v="5"/>
    <x v="1"/>
    <s v="TRK-016"/>
    <s v="D. Said"/>
    <n v="1184"/>
    <n v="132.25"/>
    <n v="156584"/>
    <n v="116"/>
    <s v="2025-07-31"/>
    <d v="2025-07-01T00:00:00"/>
    <s v="2025-07-31"/>
    <s v="July 2025"/>
    <s v="On Time"/>
    <n v="7161.38"/>
    <n v="163745.38"/>
    <n v="0"/>
    <m/>
  </r>
  <r>
    <s v="SHP-00639"/>
    <s v="2025-06-10"/>
    <d v="2025-06-01T00:00:00"/>
    <s v="CoastBuild Ltd"/>
    <x v="2"/>
    <x v="1"/>
    <s v="TRK-008"/>
    <s v="L. Wekesa"/>
    <n v="159"/>
    <n v="779.42"/>
    <n v="123927.78"/>
    <n v="328"/>
    <s v="2025-06-11"/>
    <d v="2025-06-01T00:00:00"/>
    <s v="2025-06-11"/>
    <s v="June 2025"/>
    <s v="On Time"/>
    <n v="19729.849999999999"/>
    <n v="143657.63"/>
    <n v="0"/>
    <m/>
  </r>
  <r>
    <s v="SHP-00640"/>
    <s v="2025-10-15"/>
    <d v="2025-10-01T00:00:00"/>
    <s v="BlueWave Facilities"/>
    <x v="0"/>
    <x v="1"/>
    <s v="TRK-015"/>
    <s v="M. Otieno"/>
    <n v="537"/>
    <n v="198.63"/>
    <n v="106664.31"/>
    <n v="334"/>
    <s v="2025-10-16"/>
    <d v="2025-10-01T00:00:00"/>
    <s v="2025-10-18"/>
    <s v="October 2025"/>
    <s v="Late"/>
    <n v="11925.61"/>
    <n v="118589.92"/>
    <n v="2"/>
    <m/>
  </r>
  <r>
    <s v="SHP-00641"/>
    <s v="2025-10-06"/>
    <d v="2025-10-01T00:00:00"/>
    <s v="CoastBuild Ltd"/>
    <x v="1"/>
    <x v="2"/>
    <s v="TRK-020"/>
    <s v="E. Achieng"/>
    <n v="687"/>
    <n v="763.11"/>
    <n v="524256.57"/>
    <n v="150"/>
    <s v="2025-10-07"/>
    <d v="2025-10-01T00:00:00"/>
    <s v="2025-10-07"/>
    <s v="October 2025"/>
    <s v="On Time"/>
    <n v="6303.7"/>
    <n v="530560.27"/>
    <n v="0"/>
    <m/>
  </r>
  <r>
    <s v="SHP-00642"/>
    <s v="2025-11-28"/>
    <d v="2025-11-01T00:00:00"/>
    <s v="Metro Packaging Ltd"/>
    <x v="5"/>
    <x v="0"/>
    <s v="TRK-005"/>
    <s v="K. Barasa"/>
    <n v="2370"/>
    <n v="667.23"/>
    <n v="1581335.1"/>
    <n v="670"/>
    <s v="2025-11-30"/>
    <d v="2025-11-01T00:00:00"/>
    <s v="2025-12-01"/>
    <s v="December 2025"/>
    <s v="Late"/>
    <n v="29480.53"/>
    <n v="1610815.6300000001"/>
    <n v="1"/>
    <m/>
  </r>
  <r>
    <s v="SHP-00643"/>
    <s v="2025-03-28"/>
    <d v="2025-03-01T00:00:00"/>
    <s v="Highland Agro Processors"/>
    <x v="5"/>
    <x v="0"/>
    <s v="TRK-028"/>
    <s v="K. Barasa"/>
    <n v="1023"/>
    <n v="665.22"/>
    <n v="680520.06"/>
    <n v="276"/>
    <s v="2025-03-29"/>
    <d v="2025-03-01T00:00:00"/>
    <s v="2025-03-31"/>
    <s v="March 2025"/>
    <s v="Late"/>
    <n v="11115.93"/>
    <n v="691635.99000000011"/>
    <n v="2"/>
    <m/>
  </r>
  <r>
    <s v="SHP-00644"/>
    <s v="2025-12-09"/>
    <d v="2025-12-01T00:00:00"/>
    <s v="Eastern Industrial Supplies"/>
    <x v="3"/>
    <x v="3"/>
    <s v="TRK-002"/>
    <s v="M. Otieno"/>
    <n v="2364"/>
    <n v="349.53"/>
    <n v="826288.92"/>
    <n v="306"/>
    <s v="2025-12-10"/>
    <d v="2025-12-01T00:00:00"/>
    <s v="2025-12-11"/>
    <s v="December 2025"/>
    <s v="Late"/>
    <n v="14346.27"/>
    <n v="840635.19000000006"/>
    <n v="1"/>
    <m/>
  </r>
  <r>
    <s v="SHP-00645"/>
    <s v="2025-12-05"/>
    <d v="2025-12-01T00:00:00"/>
    <s v="UrbanWorks Contractors"/>
    <x v="1"/>
    <x v="0"/>
    <s v="TRK-022"/>
    <s v="J. Mutua"/>
    <n v="1642"/>
    <n v="816.92"/>
    <n v="1341382.6399999999"/>
    <n v="26"/>
    <s v="2025-12-06"/>
    <d v="2025-12-01T00:00:00"/>
    <s v="2025-12-06"/>
    <s v="December 2025"/>
    <s v="On Time"/>
    <n v="1204.42"/>
    <n v="1342587.0599999998"/>
    <n v="0"/>
    <m/>
  </r>
  <r>
    <s v="SHP-00646"/>
    <s v="2025-04-21"/>
    <d v="2025-04-01T00:00:00"/>
    <s v="Lake Region Water Services"/>
    <x v="0"/>
    <x v="2"/>
    <s v="TRK-030"/>
    <s v="K. Barasa"/>
    <n v="1407"/>
    <n v="82.78"/>
    <n v="116471.46"/>
    <n v="323"/>
    <s v="2025-04-22"/>
    <d v="2025-04-01T00:00:00"/>
    <s v="2025-04-22"/>
    <s v="April 2025"/>
    <s v="On Time"/>
    <n v="13566.29"/>
    <n v="130037.75"/>
    <n v="0"/>
    <m/>
  </r>
  <r>
    <s v="SHP-00647"/>
    <s v="2025-05-06"/>
    <d v="2025-05-01T00:00:00"/>
    <s v="Rift Valley Manufacturing"/>
    <x v="3"/>
    <x v="2"/>
    <s v="TRK-012"/>
    <s v="P. Maina"/>
    <n v="744"/>
    <n v="334"/>
    <n v="248496"/>
    <n v="547"/>
    <s v="2025-05-08"/>
    <d v="2025-05-01T00:00:00"/>
    <s v="2025-05-08"/>
    <s v="May 2025"/>
    <s v="On Time"/>
    <n v="22193.68"/>
    <n v="270689.68"/>
    <n v="0"/>
    <m/>
  </r>
  <r>
    <s v="SHP-00648"/>
    <s v="2025-02-20"/>
    <d v="2025-02-01T00:00:00"/>
    <s v="Rift Valley Manufacturing"/>
    <x v="0"/>
    <x v="3"/>
    <s v="TRK-010"/>
    <s v="D. Said"/>
    <n v="2075"/>
    <n v="124.28"/>
    <n v="257881"/>
    <n v="437"/>
    <s v="2025-02-22"/>
    <d v="2025-02-01T00:00:00"/>
    <s v="2025-02-23"/>
    <s v="February 2025"/>
    <s v="Late"/>
    <n v="25744.79"/>
    <n v="283625.78999999998"/>
    <n v="1"/>
    <m/>
  </r>
  <r>
    <s v="SHP-00649"/>
    <s v="2025-03-24"/>
    <d v="2025-03-01T00:00:00"/>
    <s v="Lake Region Water Services"/>
    <x v="5"/>
    <x v="2"/>
    <s v="TRK-011"/>
    <s v="E. Achieng"/>
    <n v="1579"/>
    <n v="877.46"/>
    <n v="1385509.34"/>
    <n v="192"/>
    <s v="2025-03-25"/>
    <d v="2025-03-01T00:00:00"/>
    <s v="2025-03-25"/>
    <s v="March 2025"/>
    <s v="On Time"/>
    <n v="8507.31"/>
    <n v="1394016.6500000001"/>
    <n v="0"/>
    <m/>
  </r>
  <r>
    <s v="SHP-00650"/>
    <s v="2025-09-06"/>
    <d v="2025-09-01T00:00:00"/>
    <s v="UrbanWorks Contractors"/>
    <x v="2"/>
    <x v="0"/>
    <s v="TRK-023"/>
    <s v="L. Wekesa"/>
    <n v="1009"/>
    <n v="517.80999999999995"/>
    <n v="522470.29"/>
    <n v="153"/>
    <s v="2025-09-07"/>
    <d v="2025-09-01T00:00:00"/>
    <s v="2025-09-07"/>
    <s v="September 2025"/>
    <s v="On Time"/>
    <n v="8131.13"/>
    <n v="530601.41999999993"/>
    <n v="0"/>
    <m/>
  </r>
  <r>
    <s v="SHP-00651"/>
    <s v="2025-10-15"/>
    <d v="2025-10-01T00:00:00"/>
    <s v="CoastBuild Ltd"/>
    <x v="5"/>
    <x v="3"/>
    <s v="TRK-016"/>
    <s v="B. Kiprono"/>
    <n v="1736"/>
    <n v="879.58"/>
    <n v="1526950.88"/>
    <n v="649"/>
    <s v="2025-10-17"/>
    <d v="2025-10-01T00:00:00"/>
    <s v="2025-10-21"/>
    <s v="October 2025"/>
    <s v="Late"/>
    <n v="0"/>
    <n v="1526950.88"/>
    <n v="4"/>
    <m/>
  </r>
  <r>
    <s v="SHP-00652"/>
    <s v="2025-03-27"/>
    <d v="2025-03-01T00:00:00"/>
    <s v="Eastern Industrial Supplies"/>
    <x v="0"/>
    <x v="2"/>
    <s v="TRK-009"/>
    <s v="E. Achieng"/>
    <n v="1501"/>
    <n v="506.4"/>
    <n v="760106.4"/>
    <n v="151"/>
    <s v="2025-03-28"/>
    <d v="2025-03-01T00:00:00"/>
    <s v="2025-03-30"/>
    <s v="March 2025"/>
    <s v="Late"/>
    <n v="7615.69"/>
    <n v="767722.09"/>
    <n v="2"/>
    <m/>
  </r>
  <r>
    <s v="SHP-00653"/>
    <s v="2025-10-01"/>
    <d v="2025-10-01T00:00:00"/>
    <s v="Highland Agro Processors"/>
    <x v="1"/>
    <x v="1"/>
    <s v="TRK-017"/>
    <s v="D. Said"/>
    <n v="1372"/>
    <n v="380.09"/>
    <n v="521483.48"/>
    <n v="607"/>
    <s v="2025-10-03"/>
    <d v="2025-10-01T00:00:00"/>
    <s v="2025-10-04"/>
    <s v="October 2025"/>
    <s v="Late"/>
    <n v="21801.23"/>
    <n v="543284.71"/>
    <n v="1"/>
    <m/>
  </r>
  <r>
    <s v="SHP-00654"/>
    <s v="2025-07-15"/>
    <d v="2025-07-01T00:00:00"/>
    <s v="BlueWave Facilities"/>
    <x v="1"/>
    <x v="0"/>
    <s v="TRK-023"/>
    <s v="J. Mutua"/>
    <n v="1028"/>
    <n v="838.96"/>
    <n v="862450.88"/>
    <n v="699"/>
    <s v="2025-07-17"/>
    <d v="2025-07-01T00:00:00"/>
    <s v="2025-07-18"/>
    <s v="July 2025"/>
    <s v="Late"/>
    <n v="39595.01"/>
    <n v="902045.89"/>
    <n v="1"/>
    <m/>
  </r>
  <r>
    <s v="SHP-00655"/>
    <s v="2025-03-11"/>
    <d v="2025-03-01T00:00:00"/>
    <s v="Metro Packaging Ltd"/>
    <x v="5"/>
    <x v="3"/>
    <s v="TRK-001"/>
    <s v="D. Said"/>
    <n v="1688"/>
    <n v="771.8"/>
    <n v="1302798.3999999999"/>
    <n v="47"/>
    <s v="2025-03-12"/>
    <d v="2025-03-01T00:00:00"/>
    <s v="2025-03-16"/>
    <s v="March 2025"/>
    <s v="Late"/>
    <n v="2303.8000000000002"/>
    <n v="1305102.2"/>
    <n v="4"/>
    <m/>
  </r>
  <r>
    <s v="SHP-00656"/>
    <s v="2025-09-22"/>
    <d v="2025-09-01T00:00:00"/>
    <s v="Rift Valley Manufacturing"/>
    <x v="4"/>
    <x v="0"/>
    <s v="TRK-026"/>
    <s v="B. Kiprono"/>
    <n v="1581"/>
    <n v="226.96"/>
    <n v="358823.76"/>
    <n v="337"/>
    <s v="2025-09-23"/>
    <d v="2025-09-01T00:00:00"/>
    <s v="2025-09-22"/>
    <s v="September 2025"/>
    <s v="On Time"/>
    <n v="20720.240000000002"/>
    <n v="379544"/>
    <n v="-1"/>
    <m/>
  </r>
  <r>
    <s v="SHP-00657"/>
    <s v="2025-11-06"/>
    <d v="2025-11-01T00:00:00"/>
    <s v="UrbanWorks Contractors"/>
    <x v="0"/>
    <x v="3"/>
    <s v="TRK-011"/>
    <s v="S. Chebet"/>
    <n v="685"/>
    <n v="552.11"/>
    <n v="378195.35"/>
    <n v="654"/>
    <s v="2025-11-08"/>
    <d v="2025-11-01T00:00:00"/>
    <s v="2025-11-08"/>
    <s v="November 2025"/>
    <s v="On Time"/>
    <n v="28806.26"/>
    <n v="407001.61"/>
    <n v="0"/>
    <m/>
  </r>
  <r>
    <s v="SHP-00658"/>
    <s v="2025-11-04"/>
    <d v="2025-11-01T00:00:00"/>
    <s v="Metro Packaging Ltd"/>
    <x v="5"/>
    <x v="0"/>
    <s v="TRK-023"/>
    <s v="J. Mutua"/>
    <n v="1612"/>
    <n v="866.6"/>
    <n v="1396959.2"/>
    <n v="514"/>
    <s v="2025-11-06"/>
    <d v="2025-11-01T00:00:00"/>
    <s v="2025-11-08"/>
    <s v="November 2025"/>
    <s v="Late"/>
    <n v="26415.84"/>
    <n v="1423375.04"/>
    <n v="2"/>
    <m/>
  </r>
  <r>
    <s v="SHP-00659"/>
    <s v="2025-03-26"/>
    <d v="2025-03-01T00:00:00"/>
    <s v="Eastern Industrial Supplies"/>
    <x v="5"/>
    <x v="2"/>
    <s v="TRK-010"/>
    <s v="E. Achieng"/>
    <n v="631"/>
    <n v="98.8"/>
    <n v="62342.8"/>
    <n v="528"/>
    <s v="2025-03-28"/>
    <d v="2025-03-01T00:00:00"/>
    <s v="2025-03-28"/>
    <s v="March 2025"/>
    <s v="On Time"/>
    <n v="30055.41"/>
    <n v="92398.21"/>
    <n v="0"/>
    <m/>
  </r>
  <r>
    <s v="SHP-00660"/>
    <s v="2025-12-13"/>
    <d v="2025-12-01T00:00:00"/>
    <s v="Highland Agro Processors"/>
    <x v="5"/>
    <x v="3"/>
    <s v="TRK-022"/>
    <s v="S. Chebet"/>
    <n v="811"/>
    <n v="714.99"/>
    <n v="579856.89"/>
    <n v="253"/>
    <s v="2025-12-14"/>
    <d v="2025-12-01T00:00:00"/>
    <s v="2025-12-14"/>
    <s v="December 2025"/>
    <s v="On Time"/>
    <n v="9794.6299999999992"/>
    <n v="589651.52"/>
    <n v="0"/>
    <m/>
  </r>
  <r>
    <s v="SHP-00661"/>
    <s v="2025-10-22"/>
    <d v="2025-10-01T00:00:00"/>
    <s v="Highland Agro Processors"/>
    <x v="0"/>
    <x v="3"/>
    <s v="TRK-027"/>
    <s v="A. Hassan"/>
    <n v="1761"/>
    <n v="184.23"/>
    <n v="324429.03000000003"/>
    <n v="30"/>
    <s v="2025-10-23"/>
    <d v="2025-10-01T00:00:00"/>
    <s v="2025-10-23"/>
    <s v="October 2025"/>
    <s v="On Time"/>
    <n v="1219.1400000000001"/>
    <n v="325648.17000000004"/>
    <n v="0"/>
    <m/>
  </r>
  <r>
    <s v="SHP-00662"/>
    <s v="2025-08-12"/>
    <d v="2025-08-01T00:00:00"/>
    <s v="Metro Packaging Ltd"/>
    <x v="3"/>
    <x v="2"/>
    <s v="TRK-030"/>
    <s v="D. Said"/>
    <n v="2314"/>
    <n v="564.72"/>
    <n v="1306762.08"/>
    <n v="660"/>
    <s v="2025-08-14"/>
    <d v="2025-08-01T00:00:00"/>
    <s v="2025-08-18"/>
    <s v="August 2025"/>
    <s v="Late"/>
    <n v="32367.279999999999"/>
    <n v="1339129.3600000001"/>
    <n v="4"/>
    <m/>
  </r>
  <r>
    <s v="SHP-00663"/>
    <s v="2025-07-29"/>
    <d v="2025-07-01T00:00:00"/>
    <s v="BlueWave Facilities"/>
    <x v="5"/>
    <x v="0"/>
    <s v="TRK-016"/>
    <s v="A. Hassan"/>
    <n v="1688"/>
    <n v="363.81"/>
    <n v="614111.28"/>
    <n v="642"/>
    <s v="2025-07-31"/>
    <d v="2025-07-01T00:00:00"/>
    <s v="2025-08-04"/>
    <s v="August 2025"/>
    <s v="Late"/>
    <n v="28789.06"/>
    <n v="642900.34000000008"/>
    <n v="4"/>
    <m/>
  </r>
  <r>
    <s v="SHP-00664"/>
    <s v="2025-01-11"/>
    <d v="2025-01-01T00:00:00"/>
    <s v="BlueWave Facilities"/>
    <x v="2"/>
    <x v="2"/>
    <s v="TRK-015"/>
    <s v="P. Maina"/>
    <n v="2363"/>
    <n v="188.41"/>
    <n v="445212.83"/>
    <n v="355"/>
    <s v="2025-01-13"/>
    <d v="2025-01-01T00:00:00"/>
    <s v="2025-01-13"/>
    <s v="January 2025"/>
    <s v="On Time"/>
    <n v="12926.32"/>
    <n v="458139.15"/>
    <n v="0"/>
    <m/>
  </r>
  <r>
    <s v="SHP-00665"/>
    <s v="2025-07-09"/>
    <d v="2025-07-01T00:00:00"/>
    <s v="CoastBuild Ltd"/>
    <x v="2"/>
    <x v="2"/>
    <s v="TRK-019"/>
    <s v="S. Chebet"/>
    <n v="1017"/>
    <n v="163.32"/>
    <n v="166096.44"/>
    <n v="582"/>
    <s v="2025-07-11"/>
    <d v="2025-07-01T00:00:00"/>
    <s v="2025-07-13"/>
    <s v="July 2025"/>
    <s v="Late"/>
    <n v="23520.57"/>
    <n v="189617.01"/>
    <n v="2"/>
    <m/>
  </r>
  <r>
    <s v="SHP-00666"/>
    <s v="2025-07-15"/>
    <d v="2025-07-01T00:00:00"/>
    <s v="CoastBuild Ltd"/>
    <x v="1"/>
    <x v="2"/>
    <s v="TRK-026"/>
    <s v="S. Chebet"/>
    <n v="1929"/>
    <n v="258.32"/>
    <n v="498299.28"/>
    <n v="483"/>
    <s v="2025-07-17"/>
    <d v="2025-07-01T00:00:00"/>
    <s v="2025-07-17"/>
    <s v="July 2025"/>
    <s v="On Time"/>
    <n v="17993.82"/>
    <n v="516293.10000000003"/>
    <n v="0"/>
    <m/>
  </r>
  <r>
    <s v="SHP-00667"/>
    <s v="2025-10-01"/>
    <d v="2025-10-01T00:00:00"/>
    <s v="Rift Valley Manufacturing"/>
    <x v="1"/>
    <x v="2"/>
    <s v="TRK-027"/>
    <s v="K. Barasa"/>
    <n v="2078"/>
    <n v="848.4"/>
    <n v="1762975.2"/>
    <n v="669"/>
    <s v="2025-10-03"/>
    <d v="2025-10-01T00:00:00"/>
    <s v="2025-10-07"/>
    <s v="October 2025"/>
    <s v="Late"/>
    <n v="26930.21"/>
    <n v="1789905.41"/>
    <n v="4"/>
    <m/>
  </r>
  <r>
    <s v="SHP-00668"/>
    <s v="2025-08-30"/>
    <d v="2025-08-01T00:00:00"/>
    <s v="Highland Agro Processors"/>
    <x v="0"/>
    <x v="0"/>
    <s v="TRK-019"/>
    <s v="B. Kiprono"/>
    <n v="1842"/>
    <n v="343.66"/>
    <n v="633021.72"/>
    <n v="622"/>
    <s v="2025-09-01"/>
    <d v="2025-09-01T00:00:00"/>
    <s v="2025-09-05"/>
    <s v="September 2025"/>
    <s v="Late"/>
    <n v="33964.75"/>
    <n v="666986.47"/>
    <n v="4"/>
    <m/>
  </r>
  <r>
    <s v="SHP-00669"/>
    <s v="2025-11-23"/>
    <d v="2025-11-01T00:00:00"/>
    <s v="UrbanWorks Contractors"/>
    <x v="1"/>
    <x v="3"/>
    <s v="TRK-028"/>
    <s v="J. Mutua"/>
    <n v="704"/>
    <n v="362.61"/>
    <n v="255277.44"/>
    <n v="612"/>
    <s v="2025-11-25"/>
    <d v="2025-11-01T00:00:00"/>
    <s v="2025-11-29"/>
    <s v="November 2025"/>
    <s v="Late"/>
    <n v="26731.48"/>
    <n v="282008.92"/>
    <n v="4"/>
    <m/>
  </r>
  <r>
    <s v="SHP-00670"/>
    <s v="2025-07-10"/>
    <d v="2025-07-01T00:00:00"/>
    <s v="Highland Agro Processors"/>
    <x v="4"/>
    <x v="3"/>
    <s v="TRK-009"/>
    <s v="P. Maina"/>
    <n v="1208"/>
    <n v="552.19000000000005"/>
    <n v="667045.52"/>
    <n v="323"/>
    <s v="2025-07-11"/>
    <d v="2025-07-01T00:00:00"/>
    <s v="2025-07-10"/>
    <s v="July 2025"/>
    <s v="On Time"/>
    <n v="12767.29"/>
    <n v="679812.81"/>
    <n v="-1"/>
    <m/>
  </r>
  <r>
    <s v="SHP-00671"/>
    <s v="2025-02-22"/>
    <d v="2025-02-01T00:00:00"/>
    <s v="Rift Valley Manufacturing"/>
    <x v="0"/>
    <x v="0"/>
    <s v="TRK-012"/>
    <s v="D. Said"/>
    <n v="1033"/>
    <n v="827.27"/>
    <n v="854569.91"/>
    <n v="62"/>
    <s v="2025-02-23"/>
    <d v="2025-02-01T00:00:00"/>
    <s v="2025-02-25"/>
    <s v="February 2025"/>
    <s v="Late"/>
    <n v="3758.84"/>
    <n v="858328.75"/>
    <n v="2"/>
    <m/>
  </r>
  <r>
    <s v="SHP-00672"/>
    <s v="2025-02-09"/>
    <d v="2025-02-01T00:00:00"/>
    <s v="Eastern Industrial Supplies"/>
    <x v="1"/>
    <x v="2"/>
    <s v="TRK-006"/>
    <s v="M. Otieno"/>
    <n v="1175"/>
    <n v="52.36"/>
    <n v="61523"/>
    <n v="333"/>
    <s v="2025-02-10"/>
    <d v="2025-02-01T00:00:00"/>
    <s v="2025-02-12"/>
    <s v="February 2025"/>
    <s v="Late"/>
    <n v="14151.95"/>
    <n v="75674.95"/>
    <n v="2"/>
    <m/>
  </r>
  <r>
    <s v="SHP-00673"/>
    <s v="2025-12-09"/>
    <d v="2025-12-01T00:00:00"/>
    <s v="Highland Agro Processors"/>
    <x v="5"/>
    <x v="0"/>
    <s v="TRK-030"/>
    <s v="M. Otieno"/>
    <n v="55"/>
    <n v="339.54"/>
    <n v="18674.7"/>
    <n v="715"/>
    <s v="2025-12-12"/>
    <d v="2025-12-01T00:00:00"/>
    <s v="2025-12-12"/>
    <s v="December 2025"/>
    <s v="On Time"/>
    <n v="33982.65"/>
    <n v="52657.350000000006"/>
    <n v="0"/>
    <m/>
  </r>
  <r>
    <s v="SHP-00674"/>
    <s v="2025-10-05"/>
    <d v="2025-10-01T00:00:00"/>
    <s v="BlueWave Facilities"/>
    <x v="2"/>
    <x v="3"/>
    <s v="TRK-026"/>
    <s v="D. Said"/>
    <n v="1894"/>
    <n v="147.12"/>
    <n v="278645.28000000003"/>
    <n v="334"/>
    <s v="2025-10-06"/>
    <d v="2025-10-01T00:00:00"/>
    <s v="2025-10-06"/>
    <s v="October 2025"/>
    <s v="On Time"/>
    <n v="20440.490000000002"/>
    <n v="299085.77"/>
    <n v="0"/>
    <m/>
  </r>
  <r>
    <s v="SHP-00675"/>
    <s v="2025-10-29"/>
    <d v="2025-10-01T00:00:00"/>
    <s v="Lake Region Water Services"/>
    <x v="1"/>
    <x v="2"/>
    <s v="TRK-030"/>
    <s v="D. Said"/>
    <n v="2242"/>
    <n v="315.32"/>
    <n v="706947.44"/>
    <n v="243"/>
    <s v="2025-10-30"/>
    <d v="2025-10-01T00:00:00"/>
    <s v="2025-10-30"/>
    <s v="October 2025"/>
    <s v="On Time"/>
    <n v="12095.52"/>
    <n v="719042.96"/>
    <n v="0"/>
    <m/>
  </r>
  <r>
    <s v="SHP-00676"/>
    <s v="2025-05-12"/>
    <d v="2025-05-01T00:00:00"/>
    <s v="Eastern Industrial Supplies"/>
    <x v="3"/>
    <x v="0"/>
    <s v="TRK-025"/>
    <s v="M. Otieno"/>
    <n v="2301"/>
    <n v="789.14"/>
    <n v="1815811.14"/>
    <n v="539"/>
    <s v="2025-05-14"/>
    <d v="2025-05-01T00:00:00"/>
    <s v="2025-05-13"/>
    <s v="May 2025"/>
    <s v="On Time"/>
    <n v="26784.21"/>
    <n v="1842595.3499999999"/>
    <n v="-1"/>
    <m/>
  </r>
  <r>
    <s v="SHP-00677"/>
    <s v="2025-12-06"/>
    <d v="2025-12-01T00:00:00"/>
    <s v="Lake Region Water Services"/>
    <x v="1"/>
    <x v="3"/>
    <s v="TRK-015"/>
    <s v="P. Maina"/>
    <n v="205"/>
    <n v="847.51"/>
    <n v="173739.55"/>
    <n v="357"/>
    <s v="2025-12-08"/>
    <d v="2025-12-01T00:00:00"/>
    <s v="2025-12-10"/>
    <s v="December 2025"/>
    <s v="Late"/>
    <n v="17970.150000000001"/>
    <n v="191709.69999999998"/>
    <n v="2"/>
    <m/>
  </r>
  <r>
    <s v="SHP-00678"/>
    <s v="2025-08-27"/>
    <d v="2025-08-01T00:00:00"/>
    <s v="Rift Valley Manufacturing"/>
    <x v="5"/>
    <x v="2"/>
    <s v="TRK-030"/>
    <s v="K. Barasa"/>
    <n v="2014"/>
    <n v="451.68"/>
    <n v="909683.52"/>
    <n v="225"/>
    <s v="2025-08-28"/>
    <d v="2025-08-01T00:00:00"/>
    <s v="2025-08-27"/>
    <s v="August 2025"/>
    <s v="On Time"/>
    <n v="11426.37"/>
    <n v="921109.89"/>
    <n v="-1"/>
    <m/>
  </r>
  <r>
    <s v="SHP-00679"/>
    <s v="2025-03-04"/>
    <d v="2025-03-01T00:00:00"/>
    <s v="Rift Valley Manufacturing"/>
    <x v="3"/>
    <x v="1"/>
    <s v="TRK-029"/>
    <s v="K. Barasa"/>
    <n v="571"/>
    <n v="630.62"/>
    <n v="360084.02"/>
    <n v="225"/>
    <s v="2025-03-05"/>
    <d v="2025-03-01T00:00:00"/>
    <s v="2025-03-05"/>
    <s v="March 2025"/>
    <s v="On Time"/>
    <n v="12331.14"/>
    <n v="372415.16000000003"/>
    <n v="0"/>
    <m/>
  </r>
  <r>
    <s v="SHP-00680"/>
    <s v="2025-06-24"/>
    <d v="2025-06-01T00:00:00"/>
    <s v="Rift Valley Manufacturing"/>
    <x v="2"/>
    <x v="2"/>
    <s v="TRK-001"/>
    <s v="B. Kiprono"/>
    <n v="451"/>
    <n v="529.38"/>
    <n v="238750.38"/>
    <n v="250"/>
    <s v="2025-06-25"/>
    <d v="2025-06-01T00:00:00"/>
    <s v="2025-06-28"/>
    <s v="June 2025"/>
    <s v="Late"/>
    <n v="12196.94"/>
    <n v="250947.32"/>
    <n v="3"/>
    <m/>
  </r>
  <r>
    <s v="SHP-00681"/>
    <s v="2025-04-22"/>
    <d v="2025-04-01T00:00:00"/>
    <s v="Eastern Industrial Supplies"/>
    <x v="4"/>
    <x v="0"/>
    <s v="TRK-011"/>
    <s v="L. Wekesa"/>
    <n v="1586"/>
    <n v="165.45"/>
    <n v="262403.7"/>
    <n v="147"/>
    <s v="2025-04-23"/>
    <d v="2025-04-01T00:00:00"/>
    <s v="2025-04-27"/>
    <s v="April 2025"/>
    <s v="Late"/>
    <n v="8648.2099999999991"/>
    <n v="271051.91000000003"/>
    <n v="4"/>
    <m/>
  </r>
  <r>
    <s v="SHP-00682"/>
    <s v="2025-09-24"/>
    <d v="2025-09-01T00:00:00"/>
    <s v="Metro Packaging Ltd"/>
    <x v="3"/>
    <x v="2"/>
    <s v="TRK-018"/>
    <s v="S. Chebet"/>
    <n v="2029"/>
    <n v="215.67"/>
    <n v="437594.43"/>
    <n v="383"/>
    <s v="2025-09-26"/>
    <d v="2025-09-01T00:00:00"/>
    <s v="2025-09-28"/>
    <s v="September 2025"/>
    <s v="Late"/>
    <n v="14599.6"/>
    <n v="452194.02999999997"/>
    <n v="2"/>
    <m/>
  </r>
  <r>
    <s v="SHP-00683"/>
    <s v="2025-06-01"/>
    <d v="2025-06-01T00:00:00"/>
    <s v="BlueWave Facilities"/>
    <x v="4"/>
    <x v="3"/>
    <s v="TRK-009"/>
    <s v="A. Hassan"/>
    <n v="2244"/>
    <n v="182.38"/>
    <n v="409260.72"/>
    <n v="581"/>
    <s v="2025-06-03"/>
    <d v="2025-06-01T00:00:00"/>
    <s v="2025-06-03"/>
    <s v="June 2025"/>
    <s v="On Time"/>
    <n v="26184.55"/>
    <n v="435445.26999999996"/>
    <n v="0"/>
    <m/>
  </r>
  <r>
    <s v="SHP-00684"/>
    <s v="2025-05-19"/>
    <d v="2025-05-01T00:00:00"/>
    <s v="Lake Region Water Services"/>
    <x v="3"/>
    <x v="3"/>
    <s v="TRK-001"/>
    <s v="B. Kiprono"/>
    <n v="1407"/>
    <n v="884.09"/>
    <n v="1243914.6299999999"/>
    <n v="625"/>
    <s v="2025-05-21"/>
    <d v="2025-05-01T00:00:00"/>
    <s v="2025-05-21"/>
    <s v="May 2025"/>
    <s v="On Time"/>
    <n v="23850.21"/>
    <n v="1267764.8399999999"/>
    <n v="0"/>
    <m/>
  </r>
  <r>
    <s v="SHP-00685"/>
    <s v="2025-05-02"/>
    <d v="2025-05-01T00:00:00"/>
    <s v="Rift Valley Manufacturing"/>
    <x v="1"/>
    <x v="2"/>
    <s v="TRK-018"/>
    <s v="S. Chebet"/>
    <n v="1084"/>
    <n v="514.17999999999995"/>
    <n v="557371.12"/>
    <n v="207"/>
    <s v="2025-05-03"/>
    <d v="2025-05-01T00:00:00"/>
    <s v="2025-05-05"/>
    <s v="May 2025"/>
    <s v="Late"/>
    <n v="10466.77"/>
    <n v="567837.89"/>
    <n v="2"/>
    <m/>
  </r>
  <r>
    <s v="SHP-00686"/>
    <s v="2025-03-22"/>
    <d v="2025-03-01T00:00:00"/>
    <s v="Eastern Industrial Supplies"/>
    <x v="1"/>
    <x v="2"/>
    <s v="TRK-019"/>
    <s v="L. Wekesa"/>
    <n v="1822"/>
    <n v="760.13"/>
    <n v="1384956.86"/>
    <n v="313"/>
    <s v="2025-03-23"/>
    <d v="2025-03-01T00:00:00"/>
    <s v="2025-03-23"/>
    <s v="March 2025"/>
    <s v="On Time"/>
    <n v="15741.25"/>
    <n v="1400698.11"/>
    <n v="0"/>
    <m/>
  </r>
  <r>
    <s v="SHP-00687"/>
    <s v="2025-04-08"/>
    <d v="2025-04-01T00:00:00"/>
    <s v="Lake Region Water Services"/>
    <x v="5"/>
    <x v="2"/>
    <s v="TRK-020"/>
    <s v="S. Chebet"/>
    <n v="315"/>
    <n v="312.3"/>
    <n v="98374.5"/>
    <n v="434"/>
    <s v="2025-04-10"/>
    <d v="2025-04-01T00:00:00"/>
    <s v="2025-04-14"/>
    <s v="April 2025"/>
    <s v="Late"/>
    <n v="22018.44"/>
    <n v="120392.94"/>
    <n v="4"/>
    <m/>
  </r>
  <r>
    <s v="SHP-00688"/>
    <s v="2025-07-26"/>
    <d v="2025-07-01T00:00:00"/>
    <s v="BlueWave Facilities"/>
    <x v="5"/>
    <x v="0"/>
    <s v="TRK-001"/>
    <s v="D. Said"/>
    <n v="1102"/>
    <n v="528.88"/>
    <n v="582825.76"/>
    <n v="71"/>
    <s v="2025-07-27"/>
    <d v="2025-07-01T00:00:00"/>
    <s v="2025-07-27"/>
    <s v="July 2025"/>
    <s v="On Time"/>
    <n v="3829.59"/>
    <n v="586655.35"/>
    <n v="0"/>
    <m/>
  </r>
  <r>
    <s v="SHP-00689"/>
    <s v="2025-06-02"/>
    <d v="2025-06-01T00:00:00"/>
    <s v="CoastBuild Ltd"/>
    <x v="5"/>
    <x v="1"/>
    <s v="TRK-002"/>
    <s v="M. Otieno"/>
    <n v="199"/>
    <n v="506.77"/>
    <n v="100847.23"/>
    <n v="484"/>
    <s v="2025-06-04"/>
    <d v="2025-06-01T00:00:00"/>
    <s v="2025-06-08"/>
    <s v="June 2025"/>
    <s v="Late"/>
    <n v="27338.92"/>
    <n v="128186.15"/>
    <n v="4"/>
    <m/>
  </r>
  <r>
    <s v="SHP-00690"/>
    <s v="2025-06-07"/>
    <d v="2025-06-01T00:00:00"/>
    <s v="UrbanWorks Contractors"/>
    <x v="0"/>
    <x v="0"/>
    <s v="TRK-023"/>
    <s v="B. Kiprono"/>
    <n v="1284"/>
    <n v="189.88"/>
    <n v="243805.92"/>
    <n v="492"/>
    <s v="2025-06-09"/>
    <d v="2025-06-01T00:00:00"/>
    <s v="2025-06-13"/>
    <s v="June 2025"/>
    <s v="Late"/>
    <n v="28183.42"/>
    <n v="271989.34000000003"/>
    <n v="4"/>
    <m/>
  </r>
  <r>
    <s v="SHP-00691"/>
    <s v="2025-04-19"/>
    <d v="2025-04-01T00:00:00"/>
    <s v="BlueWave Facilities"/>
    <x v="2"/>
    <x v="2"/>
    <s v="TRK-010"/>
    <s v="S. Chebet"/>
    <n v="513"/>
    <n v="654.25"/>
    <n v="335630.25"/>
    <n v="624"/>
    <s v="2025-04-21"/>
    <d v="2025-04-01T00:00:00"/>
    <s v="2025-04-23"/>
    <s v="April 2025"/>
    <s v="Late"/>
    <n v="30266.73"/>
    <n v="365896.98"/>
    <n v="2"/>
    <m/>
  </r>
  <r>
    <s v="SHP-00692"/>
    <s v="2025-05-11"/>
    <d v="2025-05-01T00:00:00"/>
    <s v="Metro Packaging Ltd"/>
    <x v="4"/>
    <x v="3"/>
    <s v="TRK-030"/>
    <s v="D. Said"/>
    <n v="1611"/>
    <n v="296.7"/>
    <n v="477983.7"/>
    <n v="226"/>
    <s v="2025-05-12"/>
    <d v="2025-05-01T00:00:00"/>
    <s v="2025-05-16"/>
    <s v="May 2025"/>
    <s v="Late"/>
    <n v="13138.33"/>
    <n v="491122.03"/>
    <n v="4"/>
    <m/>
  </r>
  <r>
    <s v="SHP-00693"/>
    <s v="2025-03-07"/>
    <d v="2025-03-01T00:00:00"/>
    <s v="Lake Region Water Services"/>
    <x v="5"/>
    <x v="1"/>
    <s v="TRK-004"/>
    <s v="D. Said"/>
    <n v="868"/>
    <n v="124.97"/>
    <n v="108473.96"/>
    <n v="177"/>
    <s v="2025-03-08"/>
    <d v="2025-03-01T00:00:00"/>
    <s v="2025-03-10"/>
    <s v="March 2025"/>
    <s v="Late"/>
    <n v="10814.83"/>
    <n v="119288.79000000001"/>
    <n v="2"/>
    <m/>
  </r>
  <r>
    <s v="SHP-00694"/>
    <s v="2025-02-23"/>
    <d v="2025-02-01T00:00:00"/>
    <s v="Eastern Industrial Supplies"/>
    <x v="4"/>
    <x v="1"/>
    <s v="TRK-016"/>
    <s v="L. Wekesa"/>
    <n v="889"/>
    <n v="516.51"/>
    <n v="459177.39"/>
    <n v="385"/>
    <s v="2025-02-25"/>
    <d v="2025-02-01T00:00:00"/>
    <s v="2025-03-01"/>
    <s v="March 2025"/>
    <s v="Late"/>
    <n v="19632.97"/>
    <n v="478810.36"/>
    <n v="4"/>
    <m/>
  </r>
  <r>
    <s v="SHP-00695"/>
    <s v="2025-03-06"/>
    <d v="2025-03-01T00:00:00"/>
    <s v="Metro Packaging Ltd"/>
    <x v="1"/>
    <x v="2"/>
    <s v="TRK-030"/>
    <s v="S. Chebet"/>
    <n v="69"/>
    <n v="66.510000000000005"/>
    <n v="4589.1899999999996"/>
    <n v="333"/>
    <s v="2025-03-07"/>
    <d v="2025-03-01T00:00:00"/>
    <s v="2025-03-10"/>
    <s v="March 2025"/>
    <s v="Late"/>
    <n v="18704.09"/>
    <n v="23293.279999999999"/>
    <n v="3"/>
    <m/>
  </r>
  <r>
    <s v="SHP-00696"/>
    <s v="2025-04-13"/>
    <d v="2025-04-01T00:00:00"/>
    <s v="UrbanWorks Contractors"/>
    <x v="1"/>
    <x v="2"/>
    <s v="TRK-026"/>
    <s v="S. Chebet"/>
    <n v="1080"/>
    <n v="727.81"/>
    <n v="786034.8"/>
    <n v="303"/>
    <s v="2025-04-14"/>
    <d v="2025-04-01T00:00:00"/>
    <s v="2025-04-17"/>
    <s v="April 2025"/>
    <s v="Late"/>
    <n v="13123.05"/>
    <n v="799157.85000000009"/>
    <n v="3"/>
    <m/>
  </r>
  <r>
    <s v="SHP-00697"/>
    <s v="2025-01-04"/>
    <d v="2025-01-01T00:00:00"/>
    <s v="BlueWave Facilities"/>
    <x v="0"/>
    <x v="3"/>
    <s v="TRK-003"/>
    <s v="D. Said"/>
    <n v="837"/>
    <n v="397.91"/>
    <n v="333050.67"/>
    <n v="665"/>
    <s v="2025-01-06"/>
    <d v="2025-01-01T00:00:00"/>
    <s v="2025-01-06"/>
    <s v="January 2025"/>
    <s v="On Time"/>
    <n v="35485.26"/>
    <n v="368535.93"/>
    <n v="0"/>
    <m/>
  </r>
  <r>
    <s v="SHP-00698"/>
    <s v="2025-04-19"/>
    <d v="2025-04-01T00:00:00"/>
    <s v="Rift Valley Manufacturing"/>
    <x v="3"/>
    <x v="1"/>
    <s v="TRK-015"/>
    <s v="A. Hassan"/>
    <n v="320"/>
    <n v="722.38"/>
    <n v="231161.60000000001"/>
    <n v="710"/>
    <s v="2025-04-22"/>
    <d v="2025-04-01T00:00:00"/>
    <s v="2025-04-22"/>
    <s v="April 2025"/>
    <s v="On Time"/>
    <n v="43523.44"/>
    <n v="274685.04000000004"/>
    <n v="0"/>
    <m/>
  </r>
  <r>
    <s v="SHP-00699"/>
    <s v="2025-07-03"/>
    <d v="2025-07-01T00:00:00"/>
    <s v="Eastern Industrial Supplies"/>
    <x v="3"/>
    <x v="0"/>
    <s v="TRK-017"/>
    <s v="M. Otieno"/>
    <n v="534"/>
    <n v="112.49"/>
    <n v="60069.66"/>
    <n v="237"/>
    <s v="2025-07-04"/>
    <d v="2025-07-01T00:00:00"/>
    <s v="2025-07-06"/>
    <s v="July 2025"/>
    <s v="Late"/>
    <n v="11823.61"/>
    <n v="71893.27"/>
    <n v="2"/>
    <m/>
  </r>
  <r>
    <s v="SHP-00700"/>
    <s v="2025-01-13"/>
    <d v="2025-01-01T00:00:00"/>
    <s v="UrbanWorks Contractors"/>
    <x v="4"/>
    <x v="3"/>
    <s v="TRK-011"/>
    <s v="E. Achieng"/>
    <n v="2303"/>
    <n v="605.47"/>
    <n v="1394397.41"/>
    <n v="405"/>
    <s v="2025-01-15"/>
    <d v="2025-01-01T00:00:00"/>
    <s v="2025-01-17"/>
    <s v="January 2025"/>
    <s v="Late"/>
    <n v="19682.71"/>
    <n v="1414080.1199999999"/>
    <n v="2"/>
    <m/>
  </r>
  <r>
    <s v="SHP-00701"/>
    <s v="2025-01-09"/>
    <d v="2025-01-01T00:00:00"/>
    <s v="Rift Valley Manufacturing"/>
    <x v="3"/>
    <x v="1"/>
    <s v="TRK-013"/>
    <s v="B. Kiprono"/>
    <n v="1005"/>
    <n v="475.18"/>
    <n v="477555.9"/>
    <n v="499"/>
    <s v="2025-01-11"/>
    <d v="2025-01-01T00:00:00"/>
    <s v="2025-01-11"/>
    <s v="January 2025"/>
    <s v="On Time"/>
    <n v="28268.62"/>
    <n v="505824.52"/>
    <n v="0"/>
    <m/>
  </r>
  <r>
    <s v="SHP-00702"/>
    <s v="2025-10-23"/>
    <d v="2025-10-01T00:00:00"/>
    <s v="UrbanWorks Contractors"/>
    <x v="1"/>
    <x v="0"/>
    <s v="TRK-018"/>
    <s v="A. Hassan"/>
    <n v="1070"/>
    <n v="66.849999999999994"/>
    <n v="71529.5"/>
    <n v="124"/>
    <s v="2025-10-24"/>
    <d v="2025-10-01T00:00:00"/>
    <s v="2025-10-27"/>
    <s v="October 2025"/>
    <s v="Late"/>
    <n v="5844.23"/>
    <n v="77373.73"/>
    <n v="3"/>
    <m/>
  </r>
  <r>
    <s v="SHP-00703"/>
    <s v="2025-01-22"/>
    <d v="2025-01-01T00:00:00"/>
    <s v="BlueWave Facilities"/>
    <x v="0"/>
    <x v="3"/>
    <s v="TRK-011"/>
    <s v="L. Wekesa"/>
    <n v="737"/>
    <n v="738.15"/>
    <n v="544016.55000000005"/>
    <n v="88"/>
    <s v="2025-01-23"/>
    <d v="2025-01-01T00:00:00"/>
    <s v="2025-01-26"/>
    <s v="January 2025"/>
    <s v="Late"/>
    <n v="4388.3500000000004"/>
    <n v="548404.9"/>
    <n v="3"/>
    <m/>
  </r>
  <r>
    <s v="SHP-00704"/>
    <s v="2025-05-18"/>
    <d v="2025-05-01T00:00:00"/>
    <s v="UrbanWorks Contractors"/>
    <x v="0"/>
    <x v="2"/>
    <s v="TRK-018"/>
    <s v="L. Wekesa"/>
    <n v="1946"/>
    <n v="761.64"/>
    <n v="1482151.44"/>
    <n v="377"/>
    <s v="2025-05-20"/>
    <d v="2025-05-01T00:00:00"/>
    <s v="2025-05-23"/>
    <s v="May 2025"/>
    <s v="Late"/>
    <n v="20409.53"/>
    <n v="1502560.97"/>
    <n v="3"/>
    <m/>
  </r>
  <r>
    <s v="SHP-00705"/>
    <s v="2025-05-05"/>
    <d v="2025-05-01T00:00:00"/>
    <s v="Lake Region Water Services"/>
    <x v="4"/>
    <x v="3"/>
    <s v="TRK-024"/>
    <s v="B. Kiprono"/>
    <n v="557"/>
    <n v="841.61"/>
    <n v="468776.77"/>
    <n v="647"/>
    <s v="2025-05-07"/>
    <d v="2025-05-01T00:00:00"/>
    <s v="2025-05-08"/>
    <s v="May 2025"/>
    <s v="Late"/>
    <n v="31846.76"/>
    <n v="500623.53"/>
    <n v="1"/>
    <m/>
  </r>
  <r>
    <s v="SHP-00706"/>
    <s v="2025-01-05"/>
    <d v="2025-01-01T00:00:00"/>
    <s v="BlueWave Facilities"/>
    <x v="5"/>
    <x v="1"/>
    <s v="TRK-011"/>
    <s v="E. Achieng"/>
    <n v="440"/>
    <n v="826.75"/>
    <n v="363770"/>
    <n v="50"/>
    <s v="2025-01-06"/>
    <d v="2025-01-01T00:00:00"/>
    <s v="2025-01-05"/>
    <s v="January 2025"/>
    <s v="On Time"/>
    <n v="2799.8"/>
    <n v="366569.8"/>
    <n v="-1"/>
    <m/>
  </r>
  <r>
    <s v="SHP-00707"/>
    <s v="2025-10-17"/>
    <d v="2025-10-01T00:00:00"/>
    <s v="Rift Valley Manufacturing"/>
    <x v="0"/>
    <x v="0"/>
    <s v="TRK-010"/>
    <s v="P. Maina"/>
    <n v="446"/>
    <n v="556.91999999999996"/>
    <n v="248386.32"/>
    <n v="298"/>
    <s v="2025-10-18"/>
    <d v="2025-10-01T00:00:00"/>
    <s v="2025-10-19"/>
    <s v="October 2025"/>
    <s v="Late"/>
    <n v="12363.12"/>
    <n v="260749.44"/>
    <n v="1"/>
    <m/>
  </r>
  <r>
    <s v="SHP-00708"/>
    <s v="2025-03-31"/>
    <d v="2025-03-01T00:00:00"/>
    <s v="Rift Valley Manufacturing"/>
    <x v="2"/>
    <x v="3"/>
    <s v="TRK-022"/>
    <s v="B. Kiprono"/>
    <n v="2369"/>
    <n v="780.45"/>
    <n v="1848886.05"/>
    <n v="247"/>
    <s v="2025-04-01"/>
    <d v="2025-04-01T00:00:00"/>
    <s v="2025-04-02"/>
    <s v="April 2025"/>
    <s v="Late"/>
    <n v="15047.4"/>
    <n v="1863933.45"/>
    <n v="1"/>
    <m/>
  </r>
  <r>
    <s v="SHP-00709"/>
    <s v="2025-07-28"/>
    <d v="2025-07-01T00:00:00"/>
    <s v="UrbanWorks Contractors"/>
    <x v="3"/>
    <x v="1"/>
    <s v="TRK-021"/>
    <s v="K. Barasa"/>
    <n v="1015"/>
    <n v="525.70000000000005"/>
    <n v="533585.5"/>
    <n v="452"/>
    <s v="2025-07-30"/>
    <d v="2025-07-01T00:00:00"/>
    <s v="2025-07-31"/>
    <s v="July 2025"/>
    <s v="Late"/>
    <n v="17109.63"/>
    <n v="550695.13"/>
    <n v="1"/>
    <m/>
  </r>
  <r>
    <s v="SHP-00710"/>
    <s v="2025-06-23"/>
    <d v="2025-06-01T00:00:00"/>
    <s v="Rift Valley Manufacturing"/>
    <x v="1"/>
    <x v="0"/>
    <s v="TRK-029"/>
    <s v="B. Kiprono"/>
    <n v="1563"/>
    <n v="357.66"/>
    <n v="559022.57999999996"/>
    <n v="534"/>
    <s v="2025-06-25"/>
    <d v="2025-06-01T00:00:00"/>
    <s v="2025-06-25"/>
    <s v="June 2025"/>
    <s v="On Time"/>
    <n v="30714.61"/>
    <n v="589737.18999999994"/>
    <n v="0"/>
    <m/>
  </r>
  <r>
    <s v="SHP-00711"/>
    <s v="2025-01-14"/>
    <d v="2025-01-01T00:00:00"/>
    <s v="CoastBuild Ltd"/>
    <x v="1"/>
    <x v="0"/>
    <s v="TRK-015"/>
    <s v="E. Achieng"/>
    <n v="2061"/>
    <n v="639.1"/>
    <n v="1317185.1000000001"/>
    <n v="685"/>
    <s v="2025-01-16"/>
    <d v="2025-01-01T00:00:00"/>
    <s v="2025-01-18"/>
    <s v="January 2025"/>
    <s v="Late"/>
    <n v="24678.18"/>
    <n v="1341863.28"/>
    <n v="2"/>
    <m/>
  </r>
  <r>
    <s v="SHP-00712"/>
    <s v="2025-11-30"/>
    <d v="2025-11-01T00:00:00"/>
    <s v="Eastern Industrial Supplies"/>
    <x v="0"/>
    <x v="1"/>
    <s v="TRK-007"/>
    <s v="L. Wekesa"/>
    <n v="532"/>
    <n v="842.1"/>
    <n v="447997.2"/>
    <n v="28"/>
    <s v="2025-12-01"/>
    <d v="2025-12-01T00:00:00"/>
    <s v="2025-11-30"/>
    <s v="November 2025"/>
    <s v="On Time"/>
    <n v="1697.38"/>
    <n v="449694.58"/>
    <n v="-1"/>
    <m/>
  </r>
  <r>
    <s v="SHP-00713"/>
    <s v="2025-09-29"/>
    <d v="2025-09-01T00:00:00"/>
    <s v="Highland Agro Processors"/>
    <x v="3"/>
    <x v="2"/>
    <s v="TRK-030"/>
    <s v="P. Maina"/>
    <n v="324"/>
    <n v="264.79000000000002"/>
    <n v="85791.96"/>
    <n v="64"/>
    <s v="2025-09-30"/>
    <d v="2025-09-01T00:00:00"/>
    <s v="2025-09-30"/>
    <s v="September 2025"/>
    <s v="On Time"/>
    <n v="3923.38"/>
    <n v="89715.340000000011"/>
    <n v="0"/>
    <m/>
  </r>
  <r>
    <s v="SHP-00714"/>
    <s v="2025-11-05"/>
    <d v="2025-11-01T00:00:00"/>
    <s v="Highland Agro Processors"/>
    <x v="5"/>
    <x v="3"/>
    <s v="TRK-020"/>
    <s v="E. Achieng"/>
    <n v="888"/>
    <n v="476.18"/>
    <n v="422847.84"/>
    <n v="621"/>
    <s v="2025-11-07"/>
    <d v="2025-11-01T00:00:00"/>
    <s v="2025-11-09"/>
    <s v="November 2025"/>
    <s v="Late"/>
    <n v="32828.65"/>
    <n v="455676.49000000005"/>
    <n v="2"/>
    <m/>
  </r>
  <r>
    <s v="SHP-00715"/>
    <s v="2025-05-03"/>
    <d v="2025-05-01T00:00:00"/>
    <s v="UrbanWorks Contractors"/>
    <x v="1"/>
    <x v="2"/>
    <s v="TRK-002"/>
    <s v="S. Chebet"/>
    <n v="1541"/>
    <n v="600.45000000000005"/>
    <n v="925293.45"/>
    <n v="194"/>
    <s v="2025-05-04"/>
    <d v="2025-05-01T00:00:00"/>
    <s v="2025-05-07"/>
    <s v="May 2025"/>
    <s v="Late"/>
    <n v="7552.64"/>
    <n v="932846.09"/>
    <n v="3"/>
    <m/>
  </r>
  <r>
    <s v="SHP-00716"/>
    <s v="2025-05-08"/>
    <d v="2025-05-01T00:00:00"/>
    <s v="CoastBuild Ltd"/>
    <x v="5"/>
    <x v="2"/>
    <s v="TRK-004"/>
    <s v="J. Mutua"/>
    <n v="1710"/>
    <n v="675.15"/>
    <n v="1154506.5"/>
    <n v="347"/>
    <s v="2025-05-09"/>
    <d v="2025-05-01T00:00:00"/>
    <s v="2025-05-09"/>
    <s v="May 2025"/>
    <s v="On Time"/>
    <n v="14429.46"/>
    <n v="1168935.96"/>
    <n v="0"/>
    <m/>
  </r>
  <r>
    <s v="SHP-00717"/>
    <s v="2025-12-15"/>
    <d v="2025-12-01T00:00:00"/>
    <s v="CoastBuild Ltd"/>
    <x v="1"/>
    <x v="1"/>
    <s v="TRK-023"/>
    <s v="B. Kiprono"/>
    <n v="2175"/>
    <n v="256.2"/>
    <n v="557235"/>
    <n v="404"/>
    <s v="2025-12-17"/>
    <d v="2025-12-01T00:00:00"/>
    <s v="2025-12-21"/>
    <s v="December 2025"/>
    <s v="Late"/>
    <n v="19105.71"/>
    <n v="576340.71"/>
    <n v="4"/>
    <m/>
  </r>
  <r>
    <s v="SHP-00718"/>
    <s v="2025-10-30"/>
    <d v="2025-10-01T00:00:00"/>
    <s v="UrbanWorks Contractors"/>
    <x v="4"/>
    <x v="2"/>
    <s v="TRK-023"/>
    <s v="P. Maina"/>
    <n v="1751"/>
    <n v="723.9"/>
    <n v="1267548.8999999999"/>
    <n v="262"/>
    <s v="2025-10-31"/>
    <d v="2025-10-01T00:00:00"/>
    <s v="2025-11-03"/>
    <s v="November 2025"/>
    <s v="Late"/>
    <n v="12001.06"/>
    <n v="1279549.96"/>
    <n v="3"/>
    <m/>
  </r>
  <r>
    <s v="SHP-00719"/>
    <s v="2025-06-11"/>
    <d v="2025-06-01T00:00:00"/>
    <s v="UrbanWorks Contractors"/>
    <x v="0"/>
    <x v="1"/>
    <s v="TRK-018"/>
    <s v="L. Wekesa"/>
    <n v="2380"/>
    <n v="493.51"/>
    <n v="1174553.8"/>
    <n v="494"/>
    <s v="2025-06-13"/>
    <d v="2025-06-01T00:00:00"/>
    <s v="2025-06-14"/>
    <s v="June 2025"/>
    <s v="Late"/>
    <n v="19381.599999999999"/>
    <n v="1193935.4000000001"/>
    <n v="1"/>
    <m/>
  </r>
  <r>
    <s v="SHP-00720"/>
    <s v="2025-06-16"/>
    <d v="2025-06-01T00:00:00"/>
    <s v="Lake Region Water Services"/>
    <x v="0"/>
    <x v="0"/>
    <s v="TRK-007"/>
    <s v="E. Achieng"/>
    <n v="1481"/>
    <n v="354.17"/>
    <n v="524525.77"/>
    <n v="231"/>
    <s v="2025-06-17"/>
    <d v="2025-06-01T00:00:00"/>
    <s v="2025-06-20"/>
    <s v="June 2025"/>
    <s v="Late"/>
    <n v="10342.33"/>
    <n v="534868.1"/>
    <n v="3"/>
    <m/>
  </r>
  <r>
    <s v="SHP-00721"/>
    <s v="2025-06-26"/>
    <d v="2025-06-01T00:00:00"/>
    <s v="UrbanWorks Contractors"/>
    <x v="3"/>
    <x v="1"/>
    <s v="TRK-005"/>
    <s v="J. Mutua"/>
    <n v="393"/>
    <n v="419.42"/>
    <n v="164832.06"/>
    <n v="432"/>
    <s v="2025-06-28"/>
    <d v="2025-06-01T00:00:00"/>
    <s v="2025-06-29"/>
    <s v="June 2025"/>
    <s v="Late"/>
    <n v="15627.66"/>
    <n v="180459.72"/>
    <n v="1"/>
    <m/>
  </r>
  <r>
    <s v="SHP-00722"/>
    <s v="2025-05-21"/>
    <d v="2025-05-01T00:00:00"/>
    <s v="Lake Region Water Services"/>
    <x v="1"/>
    <x v="3"/>
    <s v="TRK-003"/>
    <s v="K. Barasa"/>
    <n v="2186"/>
    <n v="435.32"/>
    <n v="951609.52"/>
    <n v="170"/>
    <s v="2025-05-22"/>
    <d v="2025-05-01T00:00:00"/>
    <s v="2025-05-24"/>
    <s v="May 2025"/>
    <s v="Late"/>
    <n v="8930.92"/>
    <n v="960540.44000000006"/>
    <n v="2"/>
    <m/>
  </r>
  <r>
    <s v="SHP-00723"/>
    <s v="2025-08-29"/>
    <d v="2025-08-01T00:00:00"/>
    <s v="Lake Region Water Services"/>
    <x v="4"/>
    <x v="1"/>
    <s v="TRK-022"/>
    <s v="P. Maina"/>
    <n v="1096"/>
    <n v="395.97"/>
    <n v="433983.12"/>
    <n v="624"/>
    <s v="2025-08-31"/>
    <d v="2025-08-01T00:00:00"/>
    <s v="2025-08-31"/>
    <s v="August 2025"/>
    <s v="On Time"/>
    <n v="38484.04"/>
    <n v="472467.16"/>
    <n v="0"/>
    <m/>
  </r>
  <r>
    <s v="SHP-00724"/>
    <s v="2025-06-18"/>
    <d v="2025-06-01T00:00:00"/>
    <s v="Lake Region Water Services"/>
    <x v="5"/>
    <x v="0"/>
    <s v="TRK-021"/>
    <s v="P. Maina"/>
    <n v="1673"/>
    <n v="403.19"/>
    <n v="674536.87"/>
    <n v="696"/>
    <s v="2025-06-20"/>
    <d v="2025-06-01T00:00:00"/>
    <s v="2025-06-20"/>
    <s v="June 2025"/>
    <s v="On Time"/>
    <n v="27411.26"/>
    <n v="701948.13"/>
    <n v="0"/>
    <m/>
  </r>
  <r>
    <s v="SHP-00725"/>
    <s v="2025-04-02"/>
    <d v="2025-04-01T00:00:00"/>
    <s v="BlueWave Facilities"/>
    <x v="4"/>
    <x v="1"/>
    <s v="TRK-020"/>
    <s v="A. Hassan"/>
    <n v="428"/>
    <n v="668.52"/>
    <n v="286126.56"/>
    <n v="510"/>
    <s v="2025-04-04"/>
    <d v="2025-04-01T00:00:00"/>
    <s v="2025-04-03"/>
    <s v="April 2025"/>
    <s v="On Time"/>
    <n v="26578.07"/>
    <n v="312704.63"/>
    <n v="-1"/>
    <m/>
  </r>
  <r>
    <s v="SHP-00726"/>
    <s v="2025-10-05"/>
    <d v="2025-10-01T00:00:00"/>
    <s v="BlueWave Facilities"/>
    <x v="2"/>
    <x v="1"/>
    <s v="TRK-018"/>
    <s v="D. Said"/>
    <n v="1449"/>
    <n v="631.53"/>
    <n v="915086.97"/>
    <n v="604"/>
    <s v="2025-10-07"/>
    <d v="2025-10-01T00:00:00"/>
    <s v="2025-10-11"/>
    <s v="October 2025"/>
    <s v="Late"/>
    <n v="30941.93"/>
    <n v="946028.9"/>
    <n v="4"/>
    <m/>
  </r>
  <r>
    <s v="SHP-00727"/>
    <s v="2025-02-17"/>
    <d v="2025-02-01T00:00:00"/>
    <s v="UrbanWorks Contractors"/>
    <x v="3"/>
    <x v="0"/>
    <s v="TRK-006"/>
    <s v="P. Maina"/>
    <n v="530"/>
    <n v="626.01"/>
    <n v="331785.3"/>
    <n v="499"/>
    <s v="2025-02-19"/>
    <d v="2025-02-01T00:00:00"/>
    <s v="2025-02-19"/>
    <s v="February 2025"/>
    <s v="On Time"/>
    <n v="29665.95"/>
    <n v="361451.25"/>
    <n v="0"/>
    <m/>
  </r>
  <r>
    <s v="SHP-00728"/>
    <s v="2025-04-04"/>
    <d v="2025-04-01T00:00:00"/>
    <s v="CoastBuild Ltd"/>
    <x v="2"/>
    <x v="1"/>
    <s v="TRK-028"/>
    <s v="L. Wekesa"/>
    <n v="1057"/>
    <n v="784.29"/>
    <n v="828994.53"/>
    <n v="180"/>
    <s v="2025-04-05"/>
    <d v="2025-04-01T00:00:00"/>
    <s v="2025-04-04"/>
    <s v="April 2025"/>
    <s v="On Time"/>
    <n v="9396.33"/>
    <n v="838390.86"/>
    <n v="-1"/>
    <m/>
  </r>
  <r>
    <s v="SHP-00729"/>
    <s v="2025-06-18"/>
    <d v="2025-06-01T00:00:00"/>
    <s v="Eastern Industrial Supplies"/>
    <x v="0"/>
    <x v="2"/>
    <s v="TRK-002"/>
    <s v="K. Barasa"/>
    <n v="314"/>
    <n v="454.33"/>
    <n v="142659.62"/>
    <n v="472"/>
    <s v="2025-06-20"/>
    <d v="2025-06-01T00:00:00"/>
    <s v="2025-06-21"/>
    <s v="June 2025"/>
    <s v="Late"/>
    <n v="16704.330000000002"/>
    <n v="159363.95000000001"/>
    <n v="1"/>
    <m/>
  </r>
  <r>
    <s v="SHP-00730"/>
    <s v="2025-02-17"/>
    <d v="2025-02-01T00:00:00"/>
    <s v="BlueWave Facilities"/>
    <x v="4"/>
    <x v="2"/>
    <s v="TRK-004"/>
    <s v="B. Kiprono"/>
    <n v="747"/>
    <n v="891.12"/>
    <n v="665666.64"/>
    <n v="168"/>
    <s v="2025-02-18"/>
    <d v="2025-02-01T00:00:00"/>
    <s v="2025-02-18"/>
    <s v="February 2025"/>
    <s v="On Time"/>
    <n v="7600.89"/>
    <n v="673267.53"/>
    <n v="0"/>
    <m/>
  </r>
  <r>
    <s v="SHP-00731"/>
    <s v="2025-08-20"/>
    <d v="2025-08-01T00:00:00"/>
    <s v="BlueWave Facilities"/>
    <x v="4"/>
    <x v="3"/>
    <s v="TRK-005"/>
    <s v="E. Achieng"/>
    <n v="1728"/>
    <n v="256.82"/>
    <n v="443784.96000000002"/>
    <n v="308"/>
    <s v="2025-08-21"/>
    <d v="2025-08-01T00:00:00"/>
    <s v="2025-08-21"/>
    <s v="August 2025"/>
    <s v="On Time"/>
    <n v="18669.990000000002"/>
    <n v="462454.95"/>
    <n v="0"/>
    <m/>
  </r>
  <r>
    <s v="SHP-00732"/>
    <s v="2025-11-12"/>
    <d v="2025-11-01T00:00:00"/>
    <s v="Eastern Industrial Supplies"/>
    <x v="0"/>
    <x v="3"/>
    <s v="TRK-017"/>
    <s v="B. Kiprono"/>
    <n v="2451"/>
    <n v="147.32"/>
    <n v="361081.32"/>
    <n v="167"/>
    <s v="2025-11-13"/>
    <d v="2025-11-01T00:00:00"/>
    <s v="2025-11-13"/>
    <s v="November 2025"/>
    <s v="On Time"/>
    <n v="8058.83"/>
    <n v="369140.15"/>
    <n v="0"/>
    <m/>
  </r>
  <r>
    <s v="SHP-00733"/>
    <s v="2025-01-14"/>
    <d v="2025-01-01T00:00:00"/>
    <s v="Rift Valley Manufacturing"/>
    <x v="1"/>
    <x v="1"/>
    <s v="TRK-021"/>
    <s v="M. Otieno"/>
    <n v="1431"/>
    <n v="408.93"/>
    <n v="585178.82999999996"/>
    <n v="239"/>
    <s v="2025-01-15"/>
    <d v="2025-01-01T00:00:00"/>
    <s v="2025-01-19"/>
    <s v="January 2025"/>
    <s v="Late"/>
    <n v="14325.49"/>
    <n v="599504.31999999995"/>
    <n v="4"/>
    <m/>
  </r>
  <r>
    <s v="SHP-00734"/>
    <s v="2025-11-08"/>
    <d v="2025-11-01T00:00:00"/>
    <s v="Eastern Industrial Supplies"/>
    <x v="2"/>
    <x v="3"/>
    <s v="TRK-029"/>
    <s v="S. Chebet"/>
    <n v="236"/>
    <n v="606.35"/>
    <n v="143098.6"/>
    <n v="312"/>
    <s v="2025-11-09"/>
    <d v="2025-11-01T00:00:00"/>
    <s v="2025-11-10"/>
    <s v="November 2025"/>
    <s v="Late"/>
    <n v="18411.060000000001"/>
    <n v="161509.66"/>
    <n v="1"/>
    <m/>
  </r>
  <r>
    <s v="SHP-00735"/>
    <s v="2025-01-31"/>
    <d v="2025-01-01T00:00:00"/>
    <s v="CoastBuild Ltd"/>
    <x v="0"/>
    <x v="1"/>
    <s v="TRK-017"/>
    <s v="D. Said"/>
    <n v="214"/>
    <n v="343.91"/>
    <n v="73596.740000000005"/>
    <n v="442"/>
    <s v="2025-02-02"/>
    <d v="2025-02-01T00:00:00"/>
    <s v="2025-02-02"/>
    <s v="February 2025"/>
    <s v="On Time"/>
    <n v="24169.55"/>
    <n v="97766.290000000008"/>
    <n v="0"/>
    <m/>
  </r>
  <r>
    <s v="SHP-00736"/>
    <s v="2025-01-13"/>
    <d v="2025-01-01T00:00:00"/>
    <s v="Highland Agro Processors"/>
    <x v="0"/>
    <x v="2"/>
    <s v="TRK-026"/>
    <s v="J. Mutua"/>
    <n v="1955"/>
    <n v="619.79"/>
    <n v="1211689.45"/>
    <n v="589"/>
    <s v="2025-01-15"/>
    <d v="2025-01-01T00:00:00"/>
    <s v="2025-01-15"/>
    <s v="January 2025"/>
    <s v="On Time"/>
    <n v="30287.55"/>
    <n v="1241977"/>
    <n v="0"/>
    <m/>
  </r>
  <r>
    <s v="SHP-00737"/>
    <s v="2025-08-14"/>
    <d v="2025-08-01T00:00:00"/>
    <s v="Eastern Industrial Supplies"/>
    <x v="1"/>
    <x v="3"/>
    <s v="TRK-023"/>
    <s v="B. Kiprono"/>
    <n v="1954"/>
    <n v="785.02"/>
    <n v="1533929.08"/>
    <n v="331"/>
    <s v="2025-08-15"/>
    <d v="2025-08-01T00:00:00"/>
    <s v="2025-08-18"/>
    <s v="August 2025"/>
    <s v="Late"/>
    <n v="13877.77"/>
    <n v="1547806.85"/>
    <n v="3"/>
    <m/>
  </r>
  <r>
    <s v="SHP-00738"/>
    <s v="2025-03-02"/>
    <d v="2025-03-01T00:00:00"/>
    <s v="Eastern Industrial Supplies"/>
    <x v="4"/>
    <x v="2"/>
    <s v="TRK-002"/>
    <s v="D. Said"/>
    <n v="128"/>
    <n v="750.56"/>
    <n v="96071.679999999993"/>
    <n v="567"/>
    <s v="2025-03-04"/>
    <d v="2025-03-01T00:00:00"/>
    <s v="2025-03-03"/>
    <s v="March 2025"/>
    <s v="On Time"/>
    <n v="20385.830000000002"/>
    <n v="116457.51"/>
    <n v="-1"/>
    <m/>
  </r>
  <r>
    <s v="SHP-00739"/>
    <s v="2025-02-08"/>
    <d v="2025-02-01T00:00:00"/>
    <s v="Lake Region Water Services"/>
    <x v="2"/>
    <x v="3"/>
    <s v="TRK-022"/>
    <s v="J. Mutua"/>
    <n v="1992"/>
    <n v="463.7"/>
    <n v="923690.4"/>
    <n v="168"/>
    <s v="2025-02-09"/>
    <d v="2025-02-01T00:00:00"/>
    <s v="2025-02-09"/>
    <s v="February 2025"/>
    <s v="On Time"/>
    <n v="0"/>
    <n v="923690.4"/>
    <n v="0"/>
    <m/>
  </r>
  <r>
    <s v="SHP-00740"/>
    <s v="2025-06-04"/>
    <d v="2025-06-01T00:00:00"/>
    <s v="CoastBuild Ltd"/>
    <x v="3"/>
    <x v="1"/>
    <s v="TRK-003"/>
    <s v="A. Hassan"/>
    <n v="727"/>
    <n v="514.83000000000004"/>
    <n v="374281.41"/>
    <n v="365"/>
    <s v="2025-06-06"/>
    <d v="2025-06-01T00:00:00"/>
    <s v="2025-06-06"/>
    <s v="June 2025"/>
    <s v="On Time"/>
    <n v="16914.39"/>
    <n v="391195.8"/>
    <n v="0"/>
    <m/>
  </r>
  <r>
    <s v="SHP-00741"/>
    <s v="2025-08-01"/>
    <d v="2025-08-01T00:00:00"/>
    <s v="Rift Valley Manufacturing"/>
    <x v="3"/>
    <x v="2"/>
    <s v="TRK-005"/>
    <s v="B. Kiprono"/>
    <n v="365"/>
    <n v="78.23"/>
    <n v="28553.95"/>
    <n v="440"/>
    <s v="2025-08-03"/>
    <d v="2025-08-01T00:00:00"/>
    <s v="2025-08-05"/>
    <s v="August 2025"/>
    <s v="Late"/>
    <n v="16959.310000000001"/>
    <n v="45513.26"/>
    <n v="2"/>
    <m/>
  </r>
  <r>
    <s v="SHP-00742"/>
    <s v="2025-05-22"/>
    <d v="2025-05-01T00:00:00"/>
    <s v="Eastern Industrial Supplies"/>
    <x v="3"/>
    <x v="2"/>
    <s v="TRK-001"/>
    <s v="M. Otieno"/>
    <n v="1978"/>
    <n v="656.9"/>
    <n v="1299348.2"/>
    <n v="286"/>
    <s v="2025-05-23"/>
    <d v="2025-05-01T00:00:00"/>
    <s v="2025-05-23"/>
    <s v="May 2025"/>
    <s v="On Time"/>
    <n v="10443.370000000001"/>
    <n v="1309791.57"/>
    <n v="0"/>
    <m/>
  </r>
  <r>
    <s v="SHP-00743"/>
    <s v="2025-02-03"/>
    <d v="2025-02-01T00:00:00"/>
    <s v="Lake Region Water Services"/>
    <x v="2"/>
    <x v="0"/>
    <s v="TRK-022"/>
    <s v="D. Said"/>
    <n v="1352"/>
    <n v="78.88"/>
    <n v="106645.75999999999"/>
    <n v="339"/>
    <s v="2025-02-04"/>
    <d v="2025-02-01T00:00:00"/>
    <s v="2025-02-06"/>
    <s v="February 2025"/>
    <s v="Late"/>
    <n v="18736.18"/>
    <n v="125381.94"/>
    <n v="2"/>
    <m/>
  </r>
  <r>
    <s v="SHP-00744"/>
    <s v="2025-09-04"/>
    <d v="2025-09-01T00:00:00"/>
    <s v="Highland Agro Processors"/>
    <x v="1"/>
    <x v="2"/>
    <s v="TRK-026"/>
    <s v="L. Wekesa"/>
    <n v="1292"/>
    <n v="836.19"/>
    <n v="1080357.48"/>
    <n v="631"/>
    <s v="2025-09-06"/>
    <d v="2025-09-01T00:00:00"/>
    <s v="2025-09-06"/>
    <s v="September 2025"/>
    <s v="On Time"/>
    <n v="28273.49"/>
    <n v="1108630.97"/>
    <n v="0"/>
    <m/>
  </r>
  <r>
    <s v="SHP-00745"/>
    <s v="2025-02-10"/>
    <d v="2025-02-01T00:00:00"/>
    <s v="BlueWave Facilities"/>
    <x v="1"/>
    <x v="3"/>
    <s v="TRK-011"/>
    <s v="M. Otieno"/>
    <n v="597"/>
    <n v="499.01"/>
    <n v="297908.96999999997"/>
    <n v="431"/>
    <s v="2025-02-12"/>
    <d v="2025-02-01T00:00:00"/>
    <s v="2025-02-15"/>
    <s v="February 2025"/>
    <s v="Late"/>
    <n v="18273.78"/>
    <n v="316182.75"/>
    <n v="3"/>
    <m/>
  </r>
  <r>
    <s v="SHP-00746"/>
    <s v="2025-10-03"/>
    <d v="2025-10-01T00:00:00"/>
    <s v="Lake Region Water Services"/>
    <x v="2"/>
    <x v="0"/>
    <s v="TRK-027"/>
    <s v="D. Said"/>
    <n v="1367"/>
    <n v="331.56"/>
    <n v="453242.52"/>
    <n v="41"/>
    <s v="2025-10-04"/>
    <d v="2025-10-01T00:00:00"/>
    <s v="2025-10-03"/>
    <s v="October 2025"/>
    <s v="On Time"/>
    <n v="2165.6799999999998"/>
    <n v="455408.2"/>
    <n v="-1"/>
    <m/>
  </r>
  <r>
    <s v="SHP-00747"/>
    <s v="2025-09-01"/>
    <d v="2025-09-01T00:00:00"/>
    <s v="UrbanWorks Contractors"/>
    <x v="0"/>
    <x v="0"/>
    <s v="TRK-022"/>
    <s v="D. Said"/>
    <n v="467"/>
    <n v="664.43"/>
    <n v="310288.81"/>
    <n v="619"/>
    <s v="2025-09-03"/>
    <d v="2025-09-01T00:00:00"/>
    <s v="2025-09-05"/>
    <s v="September 2025"/>
    <s v="Late"/>
    <n v="35981.24"/>
    <n v="346270.05"/>
    <n v="2"/>
    <m/>
  </r>
  <r>
    <s v="SHP-00748"/>
    <s v="2025-01-02"/>
    <d v="2025-01-01T00:00:00"/>
    <s v="Lake Region Water Services"/>
    <x v="1"/>
    <x v="2"/>
    <s v="TRK-002"/>
    <s v="J. Mutua"/>
    <n v="1958"/>
    <n v="511.3"/>
    <n v="1001125.4"/>
    <n v="381"/>
    <s v="2025-01-04"/>
    <d v="2025-01-01T00:00:00"/>
    <s v="2025-01-07"/>
    <s v="January 2025"/>
    <s v="Late"/>
    <n v="21863.46"/>
    <n v="1022988.86"/>
    <n v="3"/>
    <m/>
  </r>
  <r>
    <s v="SHP-00749"/>
    <s v="2025-04-30"/>
    <d v="2025-04-01T00:00:00"/>
    <s v="Rift Valley Manufacturing"/>
    <x v="5"/>
    <x v="0"/>
    <s v="TRK-015"/>
    <s v="P. Maina"/>
    <n v="386"/>
    <n v="248.52"/>
    <n v="95928.72"/>
    <n v="158"/>
    <s v="2025-05-01"/>
    <d v="2025-05-01T00:00:00"/>
    <s v="2025-05-01"/>
    <s v="May 2025"/>
    <s v="On Time"/>
    <n v="6353.48"/>
    <n v="102282.2"/>
    <n v="0"/>
    <m/>
  </r>
  <r>
    <s v="SHP-00750"/>
    <s v="2025-11-29"/>
    <d v="2025-11-01T00:00:00"/>
    <s v="BlueWave Facilities"/>
    <x v="3"/>
    <x v="1"/>
    <s v="TRK-024"/>
    <s v="E. Achieng"/>
    <n v="1509"/>
    <n v="131.88"/>
    <n v="199006.92"/>
    <n v="588"/>
    <s v="2025-12-01"/>
    <d v="2025-12-01T00:00:00"/>
    <s v="2025-12-01"/>
    <s v="December 2025"/>
    <s v="On Time"/>
    <n v="27271.14"/>
    <n v="226278.06"/>
    <n v="0"/>
    <m/>
  </r>
  <r>
    <s v="SHP-00751"/>
    <s v="2025-02-09"/>
    <d v="2025-02-01T00:00:00"/>
    <s v="Metro Packaging Ltd"/>
    <x v="0"/>
    <x v="1"/>
    <s v="TRK-016"/>
    <s v="J. Mutua"/>
    <n v="2005"/>
    <n v="886.76"/>
    <n v="1777953.8"/>
    <n v="85"/>
    <s v="2025-02-10"/>
    <d v="2025-02-01T00:00:00"/>
    <s v="2025-02-09"/>
    <s v="February 2025"/>
    <s v="On Time"/>
    <n v="5197.71"/>
    <n v="1783151.51"/>
    <n v="-1"/>
    <m/>
  </r>
  <r>
    <s v="SHP-00752"/>
    <s v="2025-07-22"/>
    <d v="2025-07-01T00:00:00"/>
    <s v="Lake Region Water Services"/>
    <x v="2"/>
    <x v="1"/>
    <s v="TRK-001"/>
    <s v="J. Mutua"/>
    <n v="1714"/>
    <n v="688.36"/>
    <n v="1179849.04"/>
    <n v="72"/>
    <s v="2025-07-23"/>
    <d v="2025-07-01T00:00:00"/>
    <s v="2025-07-23"/>
    <s v="July 2025"/>
    <s v="On Time"/>
    <n v="4071.47"/>
    <n v="1183920.51"/>
    <n v="0"/>
    <m/>
  </r>
  <r>
    <s v="SHP-00753"/>
    <s v="2025-04-21"/>
    <d v="2025-04-01T00:00:00"/>
    <s v="BlueWave Facilities"/>
    <x v="0"/>
    <x v="2"/>
    <s v="TRK-017"/>
    <s v="K. Barasa"/>
    <n v="2173"/>
    <n v="247.92"/>
    <n v="538730.16"/>
    <n v="224"/>
    <s v="2025-04-22"/>
    <d v="2025-04-01T00:00:00"/>
    <s v="2025-04-26"/>
    <s v="April 2025"/>
    <s v="Late"/>
    <n v="9365.33"/>
    <n v="548095.49"/>
    <n v="4"/>
    <m/>
  </r>
  <r>
    <s v="SHP-00754"/>
    <s v="2025-06-24"/>
    <d v="2025-06-01T00:00:00"/>
    <s v="Rift Valley Manufacturing"/>
    <x v="2"/>
    <x v="2"/>
    <s v="TRK-028"/>
    <s v="P. Maina"/>
    <n v="1830"/>
    <n v="242.6"/>
    <n v="443958"/>
    <n v="180"/>
    <s v="2025-06-25"/>
    <d v="2025-06-01T00:00:00"/>
    <s v="2025-06-25"/>
    <s v="June 2025"/>
    <s v="On Time"/>
    <n v="10279.530000000001"/>
    <n v="454237.53"/>
    <n v="0"/>
    <m/>
  </r>
  <r>
    <s v="SHP-00755"/>
    <s v="2025-10-21"/>
    <d v="2025-10-01T00:00:00"/>
    <s v="Eastern Industrial Supplies"/>
    <x v="3"/>
    <x v="2"/>
    <s v="TRK-009"/>
    <s v="M. Otieno"/>
    <n v="2220"/>
    <n v="776.08"/>
    <n v="1722897.6"/>
    <n v="139"/>
    <s v="2025-10-22"/>
    <d v="2025-10-01T00:00:00"/>
    <s v="2025-10-23"/>
    <s v="October 2025"/>
    <s v="Late"/>
    <n v="7089.13"/>
    <n v="1729986.73"/>
    <n v="1"/>
    <m/>
  </r>
  <r>
    <s v="SHP-00756"/>
    <s v="2025-06-23"/>
    <d v="2025-06-01T00:00:00"/>
    <s v="Eastern Industrial Supplies"/>
    <x v="4"/>
    <x v="1"/>
    <s v="TRK-015"/>
    <s v="L. Wekesa"/>
    <n v="1220"/>
    <n v="558.22"/>
    <n v="681028.4"/>
    <n v="247"/>
    <s v="2025-06-24"/>
    <d v="2025-06-01T00:00:00"/>
    <s v="2025-06-24"/>
    <s v="June 2025"/>
    <s v="On Time"/>
    <n v="10513.02"/>
    <n v="691541.42"/>
    <n v="0"/>
    <m/>
  </r>
  <r>
    <s v="SHP-00757"/>
    <s v="2025-09-27"/>
    <d v="2025-09-01T00:00:00"/>
    <s v="Metro Packaging Ltd"/>
    <x v="2"/>
    <x v="2"/>
    <s v="TRK-022"/>
    <s v="A. Hassan"/>
    <n v="363"/>
    <n v="226.68"/>
    <n v="82284.84"/>
    <n v="292"/>
    <s v="2025-09-28"/>
    <d v="2025-09-01T00:00:00"/>
    <s v="2025-09-27"/>
    <s v="September 2025"/>
    <s v="On Time"/>
    <n v="16436.73"/>
    <n v="98721.569999999992"/>
    <n v="-1"/>
    <m/>
  </r>
  <r>
    <s v="SHP-00758"/>
    <s v="2025-04-06"/>
    <d v="2025-04-01T00:00:00"/>
    <s v="Highland Agro Processors"/>
    <x v="2"/>
    <x v="3"/>
    <s v="TRK-022"/>
    <s v="K. Barasa"/>
    <n v="2279"/>
    <n v="797.77"/>
    <n v="1818117.83"/>
    <n v="717"/>
    <s v="2025-04-09"/>
    <d v="2025-04-01T00:00:00"/>
    <s v="2025-04-10"/>
    <s v="April 2025"/>
    <s v="Late"/>
    <n v="43729.73"/>
    <n v="1861847.56"/>
    <n v="1"/>
    <m/>
  </r>
  <r>
    <s v="SHP-00759"/>
    <s v="2025-08-05"/>
    <d v="2025-08-01T00:00:00"/>
    <s v="Rift Valley Manufacturing"/>
    <x v="5"/>
    <x v="1"/>
    <s v="TRK-004"/>
    <s v="E. Achieng"/>
    <n v="2375"/>
    <n v="312.82"/>
    <n v="742947.5"/>
    <n v="383"/>
    <s v="2025-08-07"/>
    <d v="2025-08-01T00:00:00"/>
    <s v="2025-08-10"/>
    <s v="August 2025"/>
    <s v="Late"/>
    <n v="22673.439999999999"/>
    <n v="765620.94"/>
    <n v="3"/>
    <m/>
  </r>
  <r>
    <s v="SHP-00760"/>
    <s v="2025-01-22"/>
    <d v="2025-01-01T00:00:00"/>
    <s v="Rift Valley Manufacturing"/>
    <x v="4"/>
    <x v="1"/>
    <s v="TRK-012"/>
    <s v="L. Wekesa"/>
    <n v="991"/>
    <n v="387.05"/>
    <n v="383566.55"/>
    <n v="550"/>
    <s v="2025-01-24"/>
    <d v="2025-01-01T00:00:00"/>
    <s v="2025-01-28"/>
    <s v="January 2025"/>
    <s v="Late"/>
    <n v="32256.3"/>
    <n v="415822.85"/>
    <n v="4"/>
    <m/>
  </r>
  <r>
    <s v="SHP-00761"/>
    <s v="2025-01-18"/>
    <d v="2025-01-01T00:00:00"/>
    <s v="Eastern Industrial Supplies"/>
    <x v="3"/>
    <x v="0"/>
    <s v="TRK-002"/>
    <s v="K. Barasa"/>
    <n v="1818"/>
    <n v="863.14"/>
    <n v="1569188.52"/>
    <n v="370"/>
    <s v="2025-01-20"/>
    <d v="2025-01-01T00:00:00"/>
    <s v="2025-01-19"/>
    <s v="January 2025"/>
    <s v="On Time"/>
    <n v="18500.66"/>
    <n v="1587689.18"/>
    <n v="-1"/>
    <m/>
  </r>
  <r>
    <s v="SHP-00762"/>
    <s v="2025-07-20"/>
    <d v="2025-07-01T00:00:00"/>
    <s v="Rift Valley Manufacturing"/>
    <x v="5"/>
    <x v="0"/>
    <s v="TRK-020"/>
    <s v="M. Otieno"/>
    <n v="271"/>
    <n v="530.64"/>
    <n v="143803.44"/>
    <n v="613"/>
    <s v="2025-07-22"/>
    <d v="2025-07-01T00:00:00"/>
    <s v="2025-07-24"/>
    <s v="July 2025"/>
    <s v="Late"/>
    <n v="33557.06"/>
    <n v="177360.5"/>
    <n v="2"/>
    <m/>
  </r>
  <r>
    <s v="SHP-00763"/>
    <s v="2025-12-09"/>
    <d v="2025-12-01T00:00:00"/>
    <s v="Rift Valley Manufacturing"/>
    <x v="5"/>
    <x v="0"/>
    <s v="TRK-013"/>
    <s v="B. Kiprono"/>
    <n v="476"/>
    <n v="638.74"/>
    <n v="304040.24"/>
    <n v="28"/>
    <s v="2025-12-10"/>
    <d v="2025-12-01T00:00:00"/>
    <s v="2025-12-10"/>
    <s v="December 2025"/>
    <s v="On Time"/>
    <n v="1432.9"/>
    <n v="305473.14"/>
    <n v="0"/>
    <m/>
  </r>
  <r>
    <s v="SHP-00764"/>
    <s v="2025-05-01"/>
    <d v="2025-05-01T00:00:00"/>
    <s v="Lake Region Water Services"/>
    <x v="5"/>
    <x v="0"/>
    <s v="TRK-009"/>
    <s v="J. Mutua"/>
    <n v="1958"/>
    <n v="555.34"/>
    <n v="1087355.72"/>
    <n v="496"/>
    <s v="2025-05-03"/>
    <d v="2025-05-01T00:00:00"/>
    <s v="2025-05-06"/>
    <s v="May 2025"/>
    <s v="Late"/>
    <n v="30437.59"/>
    <n v="1117793.31"/>
    <n v="3"/>
    <m/>
  </r>
  <r>
    <s v="SHP-00765"/>
    <s v="2025-04-10"/>
    <d v="2025-04-01T00:00:00"/>
    <s v="BlueWave Facilities"/>
    <x v="4"/>
    <x v="3"/>
    <s v="TRK-021"/>
    <s v="D. Said"/>
    <n v="1008"/>
    <n v="173.2"/>
    <n v="174585.60000000001"/>
    <n v="195"/>
    <s v="2025-04-11"/>
    <d v="2025-04-01T00:00:00"/>
    <s v="2025-04-12"/>
    <s v="April 2025"/>
    <s v="Late"/>
    <n v="7795"/>
    <n v="182380.6"/>
    <n v="1"/>
    <m/>
  </r>
  <r>
    <s v="SHP-00766"/>
    <s v="2025-04-19"/>
    <d v="2025-04-01T00:00:00"/>
    <s v="Eastern Industrial Supplies"/>
    <x v="0"/>
    <x v="2"/>
    <s v="TRK-009"/>
    <s v="A. Hassan"/>
    <n v="2212"/>
    <n v="863.02"/>
    <n v="1909000.24"/>
    <n v="694"/>
    <s v="2025-04-21"/>
    <d v="2025-04-01T00:00:00"/>
    <s v="2025-04-21"/>
    <s v="April 2025"/>
    <s v="On Time"/>
    <n v="31549.5"/>
    <n v="1940549.74"/>
    <n v="0"/>
    <m/>
  </r>
  <r>
    <s v="SHP-00767"/>
    <s v="2025-12-20"/>
    <d v="2025-12-01T00:00:00"/>
    <s v="Rift Valley Manufacturing"/>
    <x v="3"/>
    <x v="3"/>
    <s v="TRK-013"/>
    <s v="P. Maina"/>
    <n v="2141"/>
    <n v="554.54999999999995"/>
    <n v="1187291.55"/>
    <n v="32"/>
    <s v="2025-12-21"/>
    <d v="2025-12-01T00:00:00"/>
    <s v="2025-12-20"/>
    <s v="December 2025"/>
    <s v="On Time"/>
    <n v="1470.97"/>
    <n v="1188762.52"/>
    <n v="-1"/>
    <m/>
  </r>
  <r>
    <s v="SHP-00768"/>
    <s v="2025-06-21"/>
    <d v="2025-06-01T00:00:00"/>
    <s v="Highland Agro Processors"/>
    <x v="5"/>
    <x v="2"/>
    <s v="TRK-027"/>
    <s v="J. Mutua"/>
    <n v="1039"/>
    <n v="599.34"/>
    <n v="622714.26"/>
    <n v="553"/>
    <s v="2025-06-23"/>
    <d v="2025-06-01T00:00:00"/>
    <s v="2025-06-22"/>
    <s v="June 2025"/>
    <s v="On Time"/>
    <n v="30911.58"/>
    <n v="653625.84"/>
    <n v="-1"/>
    <m/>
  </r>
  <r>
    <s v="SHP-00769"/>
    <s v="2025-05-22"/>
    <d v="2025-05-01T00:00:00"/>
    <s v="Lake Region Water Services"/>
    <x v="0"/>
    <x v="3"/>
    <s v="TRK-016"/>
    <s v="L. Wekesa"/>
    <n v="105"/>
    <n v="305.17"/>
    <n v="32042.85"/>
    <n v="704"/>
    <s v="2025-05-25"/>
    <d v="2025-05-01T00:00:00"/>
    <s v="2025-05-25"/>
    <s v="May 2025"/>
    <s v="On Time"/>
    <n v="33968.83"/>
    <n v="66011.679999999993"/>
    <n v="0"/>
    <m/>
  </r>
  <r>
    <s v="SHP-00770"/>
    <s v="2025-02-23"/>
    <d v="2025-02-01T00:00:00"/>
    <s v="UrbanWorks Contractors"/>
    <x v="1"/>
    <x v="1"/>
    <s v="TRK-004"/>
    <s v="A. Hassan"/>
    <n v="1819"/>
    <n v="846.43"/>
    <n v="1539656.17"/>
    <n v="580"/>
    <s v="2025-02-25"/>
    <d v="2025-02-01T00:00:00"/>
    <s v="2025-02-25"/>
    <s v="February 2025"/>
    <s v="On Time"/>
    <n v="22695.38"/>
    <n v="1562351.5499999998"/>
    <n v="0"/>
    <m/>
  </r>
  <r>
    <s v="SHP-00771"/>
    <s v="2025-09-16"/>
    <d v="2025-09-01T00:00:00"/>
    <s v="UrbanWorks Contractors"/>
    <x v="1"/>
    <x v="3"/>
    <s v="TRK-030"/>
    <s v="D. Said"/>
    <n v="167"/>
    <n v="556.73"/>
    <n v="92973.91"/>
    <n v="599"/>
    <s v="2025-09-18"/>
    <d v="2025-09-01T00:00:00"/>
    <s v="2025-09-21"/>
    <s v="September 2025"/>
    <s v="Late"/>
    <n v="32389.41"/>
    <n v="125363.32"/>
    <n v="3"/>
    <m/>
  </r>
  <r>
    <s v="SHP-00772"/>
    <s v="2025-09-14"/>
    <d v="2025-09-01T00:00:00"/>
    <s v="Eastern Industrial Supplies"/>
    <x v="5"/>
    <x v="3"/>
    <s v="TRK-003"/>
    <s v="M. Otieno"/>
    <n v="1893"/>
    <n v="254.24"/>
    <n v="481276.32"/>
    <n v="154"/>
    <s v="2025-09-15"/>
    <d v="2025-09-01T00:00:00"/>
    <s v="2025-09-15"/>
    <s v="September 2025"/>
    <s v="On Time"/>
    <n v="6649"/>
    <n v="487925.32"/>
    <n v="0"/>
    <m/>
  </r>
  <r>
    <s v="SHP-00773"/>
    <s v="2025-12-15"/>
    <d v="2025-12-01T00:00:00"/>
    <s v="Eastern Industrial Supplies"/>
    <x v="0"/>
    <x v="3"/>
    <s v="TRK-029"/>
    <s v="D. Said"/>
    <n v="832"/>
    <n v="194.66"/>
    <n v="161957.12"/>
    <n v="74"/>
    <s v="2025-12-16"/>
    <d v="2025-12-01T00:00:00"/>
    <s v="2025-12-19"/>
    <s v="December 2025"/>
    <s v="Late"/>
    <n v="3278.27"/>
    <n v="165235.38999999998"/>
    <n v="3"/>
    <m/>
  </r>
  <r>
    <s v="SHP-00774"/>
    <s v="2025-05-03"/>
    <d v="2025-05-01T00:00:00"/>
    <s v="Lake Region Water Services"/>
    <x v="4"/>
    <x v="3"/>
    <s v="TRK-030"/>
    <s v="K. Barasa"/>
    <n v="2372"/>
    <n v="249.28"/>
    <n v="591292.16000000003"/>
    <n v="657"/>
    <s v="2025-05-05"/>
    <d v="2025-05-01T00:00:00"/>
    <s v="2025-05-05"/>
    <s v="May 2025"/>
    <s v="On Time"/>
    <n v="27157.02"/>
    <n v="618449.18000000005"/>
    <n v="0"/>
    <m/>
  </r>
  <r>
    <s v="SHP-00775"/>
    <s v="2025-11-07"/>
    <d v="2025-11-01T00:00:00"/>
    <s v="UrbanWorks Contractors"/>
    <x v="3"/>
    <x v="0"/>
    <s v="TRK-023"/>
    <s v="S. Chebet"/>
    <n v="953"/>
    <n v="473.12"/>
    <n v="450883.36"/>
    <n v="203"/>
    <s v="2025-11-08"/>
    <d v="2025-11-01T00:00:00"/>
    <s v="2025-11-08"/>
    <s v="November 2025"/>
    <s v="On Time"/>
    <n v="8551.67"/>
    <n v="459435.02999999997"/>
    <n v="0"/>
    <m/>
  </r>
  <r>
    <s v="SHP-00776"/>
    <s v="2025-09-15"/>
    <d v="2025-09-01T00:00:00"/>
    <s v="UrbanWorks Contractors"/>
    <x v="2"/>
    <x v="3"/>
    <s v="TRK-017"/>
    <s v="D. Said"/>
    <n v="1362"/>
    <n v="232.64"/>
    <n v="316855.67999999999"/>
    <n v="153"/>
    <s v="2025-09-16"/>
    <d v="2025-09-01T00:00:00"/>
    <s v="2025-09-16"/>
    <s v="September 2025"/>
    <s v="On Time"/>
    <n v="8441.7999999999993"/>
    <n v="325297.48"/>
    <n v="0"/>
    <m/>
  </r>
  <r>
    <s v="SHP-00777"/>
    <s v="2025-04-11"/>
    <d v="2025-04-01T00:00:00"/>
    <s v="BlueWave Facilities"/>
    <x v="0"/>
    <x v="1"/>
    <s v="TRK-028"/>
    <s v="M. Otieno"/>
    <n v="67"/>
    <n v="339.54"/>
    <n v="22749.18"/>
    <n v="495"/>
    <s v="2025-04-13"/>
    <d v="2025-04-01T00:00:00"/>
    <s v="2025-04-15"/>
    <s v="April 2025"/>
    <s v="Late"/>
    <n v="30192.92"/>
    <n v="52942.1"/>
    <n v="2"/>
    <m/>
  </r>
  <r>
    <s v="SHP-00778"/>
    <s v="2025-10-29"/>
    <d v="2025-10-01T00:00:00"/>
    <s v="Metro Packaging Ltd"/>
    <x v="5"/>
    <x v="1"/>
    <s v="TRK-023"/>
    <s v="D. Said"/>
    <n v="981"/>
    <n v="344.76"/>
    <n v="338209.56"/>
    <n v="630"/>
    <s v="2025-10-31"/>
    <d v="2025-10-01T00:00:00"/>
    <s v="2025-10-31"/>
    <s v="October 2025"/>
    <s v="On Time"/>
    <n v="38405.81"/>
    <n v="376615.37"/>
    <n v="0"/>
    <m/>
  </r>
  <r>
    <s v="SHP-00779"/>
    <s v="2025-08-17"/>
    <d v="2025-08-01T00:00:00"/>
    <s v="Rift Valley Manufacturing"/>
    <x v="2"/>
    <x v="2"/>
    <s v="TRK-011"/>
    <s v="J. Mutua"/>
    <n v="2034"/>
    <n v="864.52"/>
    <n v="1758433.68"/>
    <n v="678"/>
    <s v="2025-08-19"/>
    <d v="2025-08-01T00:00:00"/>
    <s v="2025-08-19"/>
    <s v="August 2025"/>
    <s v="On Time"/>
    <n v="40820.65"/>
    <n v="1799254.3299999998"/>
    <n v="0"/>
    <m/>
  </r>
  <r>
    <s v="SHP-00780"/>
    <s v="2025-08-30"/>
    <d v="2025-08-01T00:00:00"/>
    <s v="UrbanWorks Contractors"/>
    <x v="5"/>
    <x v="3"/>
    <s v="TRK-012"/>
    <s v="E. Achieng"/>
    <n v="389"/>
    <n v="145.19"/>
    <n v="56478.91"/>
    <n v="229"/>
    <s v="2025-08-31"/>
    <d v="2025-08-01T00:00:00"/>
    <s v="2025-09-03"/>
    <s v="September 2025"/>
    <s v="Late"/>
    <n v="12314.51"/>
    <n v="68793.42"/>
    <n v="3"/>
    <m/>
  </r>
  <r>
    <s v="SHP-00781"/>
    <s v="2025-12-11"/>
    <d v="2025-12-01T00:00:00"/>
    <s v="Highland Agro Processors"/>
    <x v="5"/>
    <x v="1"/>
    <s v="TRK-025"/>
    <s v="J. Mutua"/>
    <n v="180"/>
    <n v="663.41"/>
    <n v="119413.8"/>
    <n v="287"/>
    <s v="2025-12-12"/>
    <d v="2025-12-01T00:00:00"/>
    <s v="2025-12-12"/>
    <s v="December 2025"/>
    <s v="On Time"/>
    <n v="13928.39"/>
    <n v="133342.19"/>
    <n v="0"/>
    <m/>
  </r>
  <r>
    <s v="SHP-00782"/>
    <s v="2025-06-23"/>
    <d v="2025-06-01T00:00:00"/>
    <s v="Metro Packaging Ltd"/>
    <x v="1"/>
    <x v="3"/>
    <s v="TRK-013"/>
    <s v="L. Wekesa"/>
    <n v="857"/>
    <n v="874.14"/>
    <n v="749137.98"/>
    <n v="493"/>
    <s v="2025-06-25"/>
    <d v="2025-06-01T00:00:00"/>
    <s v="2025-06-27"/>
    <s v="June 2025"/>
    <s v="Late"/>
    <n v="25914.41"/>
    <n v="775052.39"/>
    <n v="2"/>
    <m/>
  </r>
  <r>
    <s v="SHP-00783"/>
    <s v="2025-07-26"/>
    <d v="2025-07-01T00:00:00"/>
    <s v="Eastern Industrial Supplies"/>
    <x v="4"/>
    <x v="1"/>
    <s v="TRK-029"/>
    <s v="M. Otieno"/>
    <n v="55"/>
    <n v="573.79999999999995"/>
    <n v="31559"/>
    <n v="305"/>
    <s v="2025-07-27"/>
    <d v="2025-07-01T00:00:00"/>
    <s v="2025-07-29"/>
    <s v="July 2025"/>
    <s v="Late"/>
    <n v="15265.08"/>
    <n v="46824.08"/>
    <n v="2"/>
    <m/>
  </r>
  <r>
    <s v="SHP-00784"/>
    <s v="2025-08-25"/>
    <d v="2025-08-01T00:00:00"/>
    <s v="Highland Agro Processors"/>
    <x v="0"/>
    <x v="3"/>
    <s v="TRK-029"/>
    <s v="D. Said"/>
    <n v="953"/>
    <n v="188.14"/>
    <n v="179297.42"/>
    <n v="677"/>
    <s v="2025-08-27"/>
    <d v="2025-08-01T00:00:00"/>
    <s v="2025-08-31"/>
    <s v="August 2025"/>
    <s v="Late"/>
    <n v="33462.32"/>
    <n v="212759.74000000002"/>
    <n v="4"/>
    <m/>
  </r>
  <r>
    <s v="SHP-00785"/>
    <s v="2025-06-23"/>
    <d v="2025-06-01T00:00:00"/>
    <s v="Metro Packaging Ltd"/>
    <x v="1"/>
    <x v="3"/>
    <s v="TRK-007"/>
    <s v="K. Barasa"/>
    <n v="2172"/>
    <n v="378.6"/>
    <n v="822319.2"/>
    <n v="694"/>
    <s v="2025-06-25"/>
    <d v="2025-06-01T00:00:00"/>
    <s v="2025-06-25"/>
    <s v="June 2025"/>
    <s v="On Time"/>
    <n v="25754.86"/>
    <n v="848074.05999999994"/>
    <n v="0"/>
    <m/>
  </r>
  <r>
    <s v="SHP-00786"/>
    <s v="2025-01-31"/>
    <d v="2025-01-01T00:00:00"/>
    <s v="Metro Packaging Ltd"/>
    <x v="0"/>
    <x v="1"/>
    <s v="TRK-003"/>
    <s v="E. Achieng"/>
    <n v="127"/>
    <n v="830.63"/>
    <n v="105490.01"/>
    <n v="523"/>
    <s v="2025-02-02"/>
    <d v="2025-02-01T00:00:00"/>
    <s v="2025-02-03"/>
    <s v="February 2025"/>
    <s v="Late"/>
    <n v="26347.67"/>
    <n v="131837.68"/>
    <n v="1"/>
    <m/>
  </r>
  <r>
    <s v="SHP-00787"/>
    <s v="2025-04-29"/>
    <d v="2025-04-01T00:00:00"/>
    <s v="Eastern Industrial Supplies"/>
    <x v="0"/>
    <x v="1"/>
    <s v="TRK-001"/>
    <s v="K. Barasa"/>
    <n v="1615"/>
    <n v="751.73"/>
    <n v="1214043.95"/>
    <n v="366"/>
    <s v="2025-05-01"/>
    <d v="2025-05-01T00:00:00"/>
    <s v="2025-05-01"/>
    <s v="May 2025"/>
    <s v="On Time"/>
    <n v="22462.36"/>
    <n v="1236506.31"/>
    <n v="0"/>
    <m/>
  </r>
  <r>
    <s v="SHP-00788"/>
    <s v="2025-01-26"/>
    <d v="2025-01-01T00:00:00"/>
    <s v="Highland Agro Processors"/>
    <x v="5"/>
    <x v="2"/>
    <s v="TRK-026"/>
    <s v="K. Barasa"/>
    <n v="128"/>
    <n v="375.52"/>
    <n v="48066.559999999998"/>
    <n v="127"/>
    <s v="2025-01-27"/>
    <d v="2025-01-01T00:00:00"/>
    <s v="2025-01-27"/>
    <s v="January 2025"/>
    <s v="On Time"/>
    <n v="5698.06"/>
    <n v="53764.619999999995"/>
    <n v="0"/>
    <m/>
  </r>
  <r>
    <s v="SHP-00789"/>
    <s v="2025-01-15"/>
    <d v="2025-01-01T00:00:00"/>
    <s v="UrbanWorks Contractors"/>
    <x v="5"/>
    <x v="0"/>
    <s v="TRK-026"/>
    <s v="E. Achieng"/>
    <n v="1099"/>
    <n v="843.05"/>
    <n v="926511.95"/>
    <n v="100"/>
    <s v="2025-01-16"/>
    <d v="2025-01-01T00:00:00"/>
    <s v="2025-01-20"/>
    <s v="January 2025"/>
    <s v="Late"/>
    <n v="5234.1499999999996"/>
    <n v="931746.1"/>
    <n v="4"/>
    <m/>
  </r>
  <r>
    <s v="SHP-00790"/>
    <s v="2025-09-23"/>
    <d v="2025-09-01T00:00:00"/>
    <s v="BlueWave Facilities"/>
    <x v="4"/>
    <x v="0"/>
    <s v="TRK-024"/>
    <s v="B. Kiprono"/>
    <n v="2191"/>
    <n v="255.38"/>
    <n v="559537.57999999996"/>
    <n v="41"/>
    <s v="2025-09-24"/>
    <d v="2025-09-01T00:00:00"/>
    <s v="2025-09-23"/>
    <s v="September 2025"/>
    <s v="On Time"/>
    <n v="2215.94"/>
    <n v="561753.5199999999"/>
    <n v="-1"/>
    <m/>
  </r>
  <r>
    <s v="SHP-00791"/>
    <s v="2025-10-25"/>
    <d v="2025-10-01T00:00:00"/>
    <s v="Metro Packaging Ltd"/>
    <x v="5"/>
    <x v="3"/>
    <s v="TRK-024"/>
    <s v="A. Hassan"/>
    <n v="339"/>
    <n v="513.38"/>
    <n v="174035.82"/>
    <n v="623"/>
    <s v="2025-10-27"/>
    <d v="2025-10-01T00:00:00"/>
    <s v="2025-10-27"/>
    <s v="October 2025"/>
    <s v="On Time"/>
    <n v="33313.120000000003"/>
    <n v="207348.94"/>
    <n v="0"/>
    <m/>
  </r>
  <r>
    <s v="SHP-00792"/>
    <s v="2025-01-28"/>
    <d v="2025-01-01T00:00:00"/>
    <s v="BlueWave Facilities"/>
    <x v="4"/>
    <x v="3"/>
    <s v="TRK-016"/>
    <s v="B. Kiprono"/>
    <n v="2230"/>
    <n v="300.83999999999997"/>
    <n v="670873.19999999995"/>
    <n v="167"/>
    <s v="2025-01-29"/>
    <d v="2025-01-01T00:00:00"/>
    <s v="2025-01-31"/>
    <s v="January 2025"/>
    <s v="Late"/>
    <n v="7612.19"/>
    <n v="678485.3899999999"/>
    <n v="2"/>
    <m/>
  </r>
  <r>
    <s v="SHP-00793"/>
    <s v="2025-08-16"/>
    <d v="2025-08-01T00:00:00"/>
    <s v="CoastBuild Ltd"/>
    <x v="1"/>
    <x v="0"/>
    <s v="TRK-001"/>
    <s v="A. Hassan"/>
    <n v="1792"/>
    <n v="742.85"/>
    <n v="1331187.2"/>
    <n v="380"/>
    <s v="2025-08-18"/>
    <d v="2025-08-01T00:00:00"/>
    <s v="2025-08-22"/>
    <s v="August 2025"/>
    <s v="Late"/>
    <n v="18281.240000000002"/>
    <n v="1349468.44"/>
    <n v="4"/>
    <m/>
  </r>
  <r>
    <s v="SHP-00794"/>
    <s v="2025-10-29"/>
    <d v="2025-10-01T00:00:00"/>
    <s v="CoastBuild Ltd"/>
    <x v="3"/>
    <x v="3"/>
    <s v="TRK-015"/>
    <s v="B. Kiprono"/>
    <n v="1821"/>
    <n v="493.03"/>
    <n v="897807.63"/>
    <n v="165"/>
    <s v="2025-10-30"/>
    <d v="2025-10-01T00:00:00"/>
    <s v="2025-10-29"/>
    <s v="October 2025"/>
    <s v="On Time"/>
    <n v="6127.53"/>
    <n v="903935.16"/>
    <n v="-1"/>
    <m/>
  </r>
  <r>
    <s v="SHP-00795"/>
    <s v="2025-05-12"/>
    <d v="2025-05-01T00:00:00"/>
    <s v="Lake Region Water Services"/>
    <x v="2"/>
    <x v="3"/>
    <s v="TRK-027"/>
    <s v="M. Otieno"/>
    <n v="874"/>
    <n v="829.56"/>
    <n v="725035.44"/>
    <n v="340"/>
    <s v="2025-05-13"/>
    <d v="2025-05-01T00:00:00"/>
    <s v="2025-05-13"/>
    <s v="May 2025"/>
    <s v="On Time"/>
    <n v="14551.67"/>
    <n v="739587.11"/>
    <n v="0"/>
    <m/>
  </r>
  <r>
    <s v="SHP-00796"/>
    <s v="2025-07-21"/>
    <d v="2025-07-01T00:00:00"/>
    <s v="Rift Valley Manufacturing"/>
    <x v="0"/>
    <x v="0"/>
    <s v="TRK-003"/>
    <s v="L. Wekesa"/>
    <n v="2257"/>
    <n v="524.37"/>
    <n v="1183503.0900000001"/>
    <n v="632"/>
    <s v="2025-07-23"/>
    <d v="2025-07-01T00:00:00"/>
    <s v="2025-07-22"/>
    <s v="July 2025"/>
    <s v="On Time"/>
    <n v="24497.19"/>
    <n v="1208000.28"/>
    <n v="-1"/>
    <m/>
  </r>
  <r>
    <s v="SHP-00797"/>
    <s v="2025-09-16"/>
    <d v="2025-09-01T00:00:00"/>
    <s v="UrbanWorks Contractors"/>
    <x v="3"/>
    <x v="1"/>
    <s v="TRK-011"/>
    <s v="M. Otieno"/>
    <n v="944"/>
    <n v="564.27"/>
    <n v="532670.88"/>
    <n v="25"/>
    <s v="2025-09-17"/>
    <d v="2025-09-01T00:00:00"/>
    <s v="2025-09-17"/>
    <s v="September 2025"/>
    <s v="On Time"/>
    <n v="1150.8599999999999"/>
    <n v="533821.74"/>
    <n v="0"/>
    <m/>
  </r>
  <r>
    <s v="SHP-00798"/>
    <s v="2025-06-14"/>
    <d v="2025-06-01T00:00:00"/>
    <s v="Lake Region Water Services"/>
    <x v="3"/>
    <x v="0"/>
    <s v="TRK-025"/>
    <s v="K. Barasa"/>
    <n v="2482"/>
    <n v="381"/>
    <n v="945642"/>
    <n v="348"/>
    <s v="2025-06-15"/>
    <d v="2025-06-01T00:00:00"/>
    <s v="2025-06-19"/>
    <s v="June 2025"/>
    <s v="Late"/>
    <n v="19571.79"/>
    <n v="965213.79"/>
    <n v="4"/>
    <m/>
  </r>
  <r>
    <s v="SHP-00799"/>
    <s v="2025-04-11"/>
    <d v="2025-04-01T00:00:00"/>
    <s v="Lake Region Water Services"/>
    <x v="3"/>
    <x v="3"/>
    <s v="TRK-004"/>
    <s v="J. Mutua"/>
    <n v="2099"/>
    <n v="838.64"/>
    <n v="1760305.36"/>
    <n v="383"/>
    <s v="2025-04-13"/>
    <d v="2025-04-01T00:00:00"/>
    <s v="2025-04-12"/>
    <s v="April 2025"/>
    <s v="On Time"/>
    <n v="22038.080000000002"/>
    <n v="1782343.4400000002"/>
    <n v="-1"/>
    <m/>
  </r>
  <r>
    <s v="SHP-00800"/>
    <s v="2025-12-03"/>
    <d v="2025-12-01T00:00:00"/>
    <s v="Lake Region Water Services"/>
    <x v="0"/>
    <x v="0"/>
    <s v="TRK-023"/>
    <s v="S. Chebet"/>
    <n v="2150"/>
    <n v="828.78"/>
    <n v="1781877"/>
    <n v="361"/>
    <s v="2025-12-05"/>
    <d v="2025-12-01T00:00:00"/>
    <s v="2025-12-05"/>
    <s v="December 2025"/>
    <s v="On Time"/>
    <n v="18513.71"/>
    <n v="1800390.71"/>
    <n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d v="2025-02-17T00:00:00"/>
    <x v="0"/>
    <x v="0"/>
    <s v="Line E"/>
    <s v="Packaging Resin"/>
    <x v="0"/>
    <s v="M. Hassan"/>
    <n v="1555"/>
    <n v="1525"/>
    <n v="46"/>
    <n v="1479"/>
    <n v="5.9"/>
    <n v="6.5"/>
    <n v="18.100000000000001"/>
    <n v="27602.500000000004"/>
    <n v="832.6"/>
    <s v="Review"/>
  </r>
  <r>
    <x v="1"/>
    <d v="2025-03-05T00:00:00"/>
    <x v="1"/>
    <x v="0"/>
    <s v="Line D"/>
    <s v="Industrial Cleaners"/>
    <x v="1"/>
    <s v="F. Ali"/>
    <n v="1745"/>
    <n v="1510"/>
    <n v="52"/>
    <n v="1458"/>
    <n v="83.3"/>
    <n v="7"/>
    <n v="18.25"/>
    <n v="27557.5"/>
    <n v="949"/>
    <s v="Review"/>
  </r>
  <r>
    <x v="2"/>
    <d v="2025-10-09T00:00:00"/>
    <x v="2"/>
    <x v="1"/>
    <s v="Line C"/>
    <s v="Water Treatment Chemicals"/>
    <x v="1"/>
    <s v="D. Kamau"/>
    <n v="713"/>
    <n v="582"/>
    <n v="9"/>
    <n v="573"/>
    <n v="22.3"/>
    <n v="8.1999999999999993"/>
    <n v="18.34"/>
    <n v="10673.88"/>
    <n v="165.06"/>
    <s v="Pass"/>
  </r>
  <r>
    <x v="3"/>
    <d v="2025-12-05T00:00:00"/>
    <x v="3"/>
    <x v="2"/>
    <s v="Line D"/>
    <s v="Industrial Cleaners"/>
    <x v="1"/>
    <s v="S. Kiptoo"/>
    <n v="1361"/>
    <n v="1217"/>
    <n v="37"/>
    <n v="1180"/>
    <n v="12.1"/>
    <n v="6.9"/>
    <n v="18.55"/>
    <n v="22575.350000000002"/>
    <n v="686.35"/>
    <s v="Review"/>
  </r>
  <r>
    <x v="4"/>
    <d v="2025-04-16T00:00:00"/>
    <x v="4"/>
    <x v="0"/>
    <s v="Line E"/>
    <s v="Protective Coatings"/>
    <x v="0"/>
    <s v="R. Njeri"/>
    <n v="1025"/>
    <n v="955"/>
    <n v="16"/>
    <n v="939"/>
    <n v="38.700000000000003"/>
    <n v="8"/>
    <n v="18.850000000000001"/>
    <n v="18001.75"/>
    <n v="301.60000000000002"/>
    <s v="Pass"/>
  </r>
  <r>
    <x v="5"/>
    <d v="2025-01-24T00:00:00"/>
    <x v="5"/>
    <x v="1"/>
    <s v="Line C"/>
    <s v="Protective Coatings"/>
    <x v="0"/>
    <s v="D. Kamau"/>
    <n v="869"/>
    <n v="785"/>
    <n v="12"/>
    <n v="773"/>
    <n v="46.3"/>
    <n v="7.6"/>
    <n v="19.36"/>
    <n v="15197.6"/>
    <n v="232.32"/>
    <s v="Pass"/>
  </r>
  <r>
    <x v="6"/>
    <d v="2025-12-09T00:00:00"/>
    <x v="3"/>
    <x v="1"/>
    <s v="Line A"/>
    <s v="Protective Coatings"/>
    <x v="1"/>
    <s v="A. Wanjiku"/>
    <n v="996"/>
    <n v="1060"/>
    <n v="28"/>
    <n v="1032"/>
    <n v="60.4"/>
    <n v="6.9"/>
    <n v="19.39"/>
    <n v="20553.400000000001"/>
    <n v="542.92000000000007"/>
    <s v="Review"/>
  </r>
  <r>
    <x v="7"/>
    <d v="2025-01-31T00:00:00"/>
    <x v="5"/>
    <x v="1"/>
    <s v="Line D"/>
    <s v="Protective Coatings"/>
    <x v="1"/>
    <s v="R. Njeri"/>
    <n v="771"/>
    <n v="790"/>
    <n v="22"/>
    <n v="768"/>
    <n v="11.1"/>
    <n v="8.1999999999999993"/>
    <n v="19.399999999999999"/>
    <n v="15325.999999999998"/>
    <n v="426.79999999999995"/>
    <s v="Review"/>
  </r>
  <r>
    <x v="8"/>
    <d v="2025-10-11T00:00:00"/>
    <x v="2"/>
    <x v="2"/>
    <s v="Line B"/>
    <s v="Water Treatment Chemicals"/>
    <x v="1"/>
    <s v="M. Hassan"/>
    <n v="1347"/>
    <n v="1370"/>
    <n v="7"/>
    <n v="1363"/>
    <n v="3.9"/>
    <n v="6.6"/>
    <n v="19.420000000000002"/>
    <n v="26605.4"/>
    <n v="135.94"/>
    <s v="Pass"/>
  </r>
  <r>
    <x v="9"/>
    <d v="2025-06-28T00:00:00"/>
    <x v="6"/>
    <x v="0"/>
    <s v="Line D"/>
    <s v="Protective Coatings"/>
    <x v="0"/>
    <s v="D. Kamau"/>
    <n v="1158"/>
    <n v="1173"/>
    <n v="31"/>
    <n v="1142"/>
    <n v="118.5"/>
    <n v="6.9"/>
    <n v="19.649999999999999"/>
    <n v="23049.449999999997"/>
    <n v="609.15"/>
    <s v="Review"/>
  </r>
  <r>
    <x v="10"/>
    <d v="2025-05-13T00:00:00"/>
    <x v="7"/>
    <x v="0"/>
    <s v="Line D"/>
    <s v="Water Treatment Chemicals"/>
    <x v="2"/>
    <s v="J. Mwangi"/>
    <n v="1540"/>
    <n v="1442"/>
    <n v="25"/>
    <n v="1417"/>
    <n v="27.5"/>
    <n v="6.2"/>
    <n v="20.010000000000002"/>
    <n v="28854.420000000002"/>
    <n v="500.25000000000006"/>
    <s v="Pass"/>
  </r>
  <r>
    <x v="11"/>
    <d v="2025-09-11T00:00:00"/>
    <x v="8"/>
    <x v="1"/>
    <s v="Line E"/>
    <s v="Packaging Resin"/>
    <x v="1"/>
    <s v="J. Mwangi"/>
    <n v="937"/>
    <n v="854"/>
    <n v="22"/>
    <n v="832"/>
    <n v="15.9"/>
    <n v="7.1"/>
    <n v="20.059999999999999"/>
    <n v="17131.239999999998"/>
    <n v="441.32"/>
    <s v="Review"/>
  </r>
  <r>
    <x v="12"/>
    <d v="2025-06-13T00:00:00"/>
    <x v="6"/>
    <x v="1"/>
    <s v="Line C"/>
    <s v="Industrial Cleaners"/>
    <x v="0"/>
    <s v="R. Njeri"/>
    <n v="1511"/>
    <n v="1349"/>
    <n v="18"/>
    <n v="1331"/>
    <n v="45.3"/>
    <n v="8.5"/>
    <n v="20.059999999999999"/>
    <n v="27060.94"/>
    <n v="361.08"/>
    <s v="Pass"/>
  </r>
  <r>
    <x v="13"/>
    <d v="2025-12-07T00:00:00"/>
    <x v="3"/>
    <x v="1"/>
    <s v="Line A"/>
    <s v="Protective Coatings"/>
    <x v="1"/>
    <s v="J. Mwangi"/>
    <n v="1791"/>
    <n v="1917"/>
    <n v="35"/>
    <n v="1882"/>
    <s v=""/>
    <n v="6.1"/>
    <n v="20.09"/>
    <n v="38512.53"/>
    <n v="703.15"/>
    <s v="Pass"/>
  </r>
  <r>
    <x v="14"/>
    <d v="2025-12-14T00:00:00"/>
    <x v="3"/>
    <x v="0"/>
    <s v="Line E"/>
    <s v="Water Treatment Chemicals"/>
    <x v="0"/>
    <s v="D. Kamau"/>
    <n v="1320"/>
    <n v="1147"/>
    <n v="26"/>
    <n v="1121"/>
    <n v="33.200000000000003"/>
    <n v="7.7"/>
    <n v="20.09"/>
    <n v="23043.23"/>
    <n v="522.34"/>
    <s v="Review"/>
  </r>
  <r>
    <x v="15"/>
    <d v="2025-06-23T00:00:00"/>
    <x v="6"/>
    <x v="1"/>
    <s v="Line A"/>
    <s v="Protective Coatings"/>
    <x v="2"/>
    <s v="P. Otieno"/>
    <n v="1784"/>
    <n v="1825"/>
    <n v="7"/>
    <n v="1818"/>
    <n v="56.3"/>
    <n v="6.9"/>
    <n v="20.420000000000002"/>
    <n v="37266.5"/>
    <n v="142.94"/>
    <s v="Pass"/>
  </r>
  <r>
    <x v="16"/>
    <d v="2025-08-07T00:00:00"/>
    <x v="9"/>
    <x v="2"/>
    <s v="Line A"/>
    <s v="Packaging Resin"/>
    <x v="0"/>
    <s v="J. Mwangi"/>
    <n v="914"/>
    <n v="872"/>
    <n v="8"/>
    <n v="864"/>
    <n v="13.9"/>
    <n v="6.8"/>
    <n v="20.96"/>
    <n v="18277.12"/>
    <n v="167.68"/>
    <s v="Pass"/>
  </r>
  <r>
    <x v="17"/>
    <d v="2025-05-26T00:00:00"/>
    <x v="7"/>
    <x v="2"/>
    <s v="Line B"/>
    <s v="Packaging Resin"/>
    <x v="2"/>
    <s v="A. Wanjiku"/>
    <n v="1258"/>
    <n v="1410"/>
    <n v="17"/>
    <n v="1393"/>
    <n v="57.8"/>
    <n v="6.5"/>
    <n v="21.41"/>
    <n v="30188.1"/>
    <n v="363.97"/>
    <s v="Pass"/>
  </r>
  <r>
    <x v="18"/>
    <d v="2025-01-18T00:00:00"/>
    <x v="5"/>
    <x v="0"/>
    <s v="Line A"/>
    <s v="Packaging Resin"/>
    <x v="1"/>
    <s v="R. Njeri"/>
    <n v="877"/>
    <n v="867"/>
    <n v="14"/>
    <n v="853"/>
    <n v="41.3"/>
    <n v="6.4"/>
    <n v="21.69"/>
    <n v="18805.23"/>
    <n v="303.66000000000003"/>
    <s v="Pass"/>
  </r>
  <r>
    <x v="19"/>
    <d v="2025-04-01T00:00:00"/>
    <x v="4"/>
    <x v="2"/>
    <s v="Line D"/>
    <s v="Construction Additives"/>
    <x v="2"/>
    <s v="R. Njeri"/>
    <n v="908"/>
    <n v="965"/>
    <n v="19"/>
    <n v="946"/>
    <n v="4.8"/>
    <n v="6.7"/>
    <n v="21.84"/>
    <n v="21075.599999999999"/>
    <n v="414.96"/>
    <s v="Pass"/>
  </r>
  <r>
    <x v="20"/>
    <d v="2025-07-07T00:00:00"/>
    <x v="10"/>
    <x v="0"/>
    <s v="Line E"/>
    <s v="Water Treatment Chemicals"/>
    <x v="2"/>
    <s v="D. Kamau"/>
    <n v="890"/>
    <n v="805"/>
    <n v="9"/>
    <n v="796"/>
    <n v="77.5"/>
    <n v="7.2"/>
    <n v="21.94"/>
    <n v="17661.7"/>
    <n v="197.46"/>
    <s v="Pass"/>
  </r>
  <r>
    <x v="21"/>
    <d v="2025-04-18T00:00:00"/>
    <x v="4"/>
    <x v="0"/>
    <s v="Line C"/>
    <s v="Packaging Resin"/>
    <x v="1"/>
    <s v="D. Kamau"/>
    <n v="1155"/>
    <n v="1132"/>
    <n v="10"/>
    <n v="1122"/>
    <n v="21.1"/>
    <n v="6.8"/>
    <n v="21.95"/>
    <n v="24847.399999999998"/>
    <n v="219.5"/>
    <s v="Pass"/>
  </r>
  <r>
    <x v="22"/>
    <d v="2025-05-28T00:00:00"/>
    <x v="7"/>
    <x v="1"/>
    <s v="Line D"/>
    <s v="Construction Additives"/>
    <x v="0"/>
    <s v="F. Ali"/>
    <n v="1398"/>
    <n v="1262"/>
    <n v="22"/>
    <n v="1240"/>
    <n v="27.8"/>
    <n v="6.6"/>
    <n v="21.97"/>
    <n v="27726.14"/>
    <n v="483.34"/>
    <s v="Pass"/>
  </r>
  <r>
    <x v="23"/>
    <d v="2025-02-12T00:00:00"/>
    <x v="0"/>
    <x v="1"/>
    <s v="Line A"/>
    <s v="Packaging Resin"/>
    <x v="0"/>
    <s v="F. Ali"/>
    <n v="1127"/>
    <n v="1082"/>
    <n v="8"/>
    <n v="1074"/>
    <n v="73.2"/>
    <n v="8"/>
    <n v="22.08"/>
    <n v="23890.559999999998"/>
    <n v="176.64"/>
    <s v="Pass"/>
  </r>
  <r>
    <x v="24"/>
    <d v="2025-10-05T00:00:00"/>
    <x v="2"/>
    <x v="2"/>
    <s v="Line E"/>
    <s v="Industrial Cleaners"/>
    <x v="2"/>
    <s v="A. Wanjiku"/>
    <n v="781"/>
    <n v="849"/>
    <n v="27"/>
    <n v="822"/>
    <n v="18.3"/>
    <n v="8.1"/>
    <n v="22.7"/>
    <n v="19272.3"/>
    <n v="612.9"/>
    <s v="Review"/>
  </r>
  <r>
    <x v="25"/>
    <d v="2025-06-08T00:00:00"/>
    <x v="6"/>
    <x v="0"/>
    <s v="Line C"/>
    <s v="Water Treatment Chemicals"/>
    <x v="2"/>
    <s v="A. Wanjiku"/>
    <n v="1792"/>
    <n v="1980"/>
    <n v="42"/>
    <n v="1938"/>
    <n v="23.3"/>
    <n v="6"/>
    <n v="22.89"/>
    <n v="45322.200000000004"/>
    <n v="961.38"/>
    <s v="Review"/>
  </r>
  <r>
    <x v="26"/>
    <d v="2025-11-28T00:00:00"/>
    <x v="11"/>
    <x v="0"/>
    <s v="Line C"/>
    <s v="Industrial Cleaners"/>
    <x v="0"/>
    <s v="F. Ali"/>
    <n v="991"/>
    <n v="807"/>
    <n v="17"/>
    <n v="790"/>
    <n v="9"/>
    <n v="8.5"/>
    <n v="22.91"/>
    <n v="18488.37"/>
    <n v="389.47"/>
    <s v="Review"/>
  </r>
  <r>
    <x v="27"/>
    <d v="2025-11-24T00:00:00"/>
    <x v="11"/>
    <x v="2"/>
    <s v="Line D"/>
    <s v="Construction Additives"/>
    <x v="0"/>
    <s v="A. Wanjiku"/>
    <n v="1474"/>
    <n v="1596"/>
    <n v="20"/>
    <n v="1576"/>
    <n v="15.2"/>
    <n v="6.7"/>
    <n v="23.02"/>
    <n v="36739.919999999998"/>
    <n v="460.4"/>
    <s v="Pass"/>
  </r>
  <r>
    <x v="28"/>
    <d v="2025-02-12T00:00:00"/>
    <x v="0"/>
    <x v="0"/>
    <s v="Line A"/>
    <s v="Protective Coatings"/>
    <x v="0"/>
    <s v="D. Kamau"/>
    <n v="1300"/>
    <n v="1200"/>
    <n v="20"/>
    <n v="1180"/>
    <n v="5.0999999999999996"/>
    <n v="7.7"/>
    <n v="23.07"/>
    <n v="27684"/>
    <n v="461.4"/>
    <s v="Pass"/>
  </r>
  <r>
    <x v="29"/>
    <d v="2025-01-07T00:00:00"/>
    <x v="5"/>
    <x v="1"/>
    <s v="Line D"/>
    <s v="Packaging Resin"/>
    <x v="2"/>
    <s v="F. Ali"/>
    <n v="1319"/>
    <n v="1288"/>
    <n v="14"/>
    <n v="1274"/>
    <n v="30.8"/>
    <n v="6.5"/>
    <n v="23.13"/>
    <n v="29791.439999999999"/>
    <n v="323.82"/>
    <s v="Pass"/>
  </r>
  <r>
    <x v="30"/>
    <d v="2025-10-25T00:00:00"/>
    <x v="2"/>
    <x v="0"/>
    <s v="Line A"/>
    <s v="Protective Coatings"/>
    <x v="2"/>
    <s v="A. Wanjiku"/>
    <n v="1590"/>
    <n v="1594"/>
    <n v="55"/>
    <n v="1539"/>
    <n v="45.4"/>
    <n v="8.4"/>
    <n v="23.13"/>
    <n v="36869.22"/>
    <n v="1272.1499999999999"/>
    <s v="Review"/>
  </r>
  <r>
    <x v="31"/>
    <d v="2025-09-05T00:00:00"/>
    <x v="8"/>
    <x v="0"/>
    <s v="Line B"/>
    <s v="Packaging Resin"/>
    <x v="1"/>
    <s v="F. Ali"/>
    <n v="818"/>
    <n v="805"/>
    <n v="11"/>
    <n v="794"/>
    <n v="109.2"/>
    <n v="6.3"/>
    <n v="23.2"/>
    <n v="18676"/>
    <n v="255.2"/>
    <s v="Pass"/>
  </r>
  <r>
    <x v="32"/>
    <d v="2025-05-30T00:00:00"/>
    <x v="7"/>
    <x v="1"/>
    <s v="Line D"/>
    <s v="Industrial Cleaners"/>
    <x v="0"/>
    <s v="A. Wanjiku"/>
    <n v="1051"/>
    <n v="1041"/>
    <n v="35"/>
    <n v="1006"/>
    <n v="26.2"/>
    <n v="6.3"/>
    <n v="23.22"/>
    <n v="24172.02"/>
    <n v="812.69999999999993"/>
    <s v="Review"/>
  </r>
  <r>
    <x v="33"/>
    <d v="2025-11-27T00:00:00"/>
    <x v="11"/>
    <x v="1"/>
    <s v="Line D"/>
    <s v="Industrial Cleaners"/>
    <x v="1"/>
    <s v="J. Mwangi"/>
    <n v="1598"/>
    <n v="1681"/>
    <n v="37"/>
    <n v="1644"/>
    <n v="92.2"/>
    <n v="7"/>
    <n v="23.24"/>
    <n v="39066.439999999995"/>
    <n v="859.88"/>
    <s v="Review"/>
  </r>
  <r>
    <x v="34"/>
    <d v="2025-03-08T00:00:00"/>
    <x v="1"/>
    <x v="1"/>
    <s v="Line E"/>
    <s v="Packaging Resin"/>
    <x v="1"/>
    <s v="A. Wanjiku"/>
    <n v="717"/>
    <n v="745"/>
    <n v="3"/>
    <n v="742"/>
    <n v="103.3"/>
    <n v="7.5"/>
    <n v="23.38"/>
    <n v="17418.099999999999"/>
    <n v="70.14"/>
    <s v="Pass"/>
  </r>
  <r>
    <x v="35"/>
    <d v="2025-09-02T00:00:00"/>
    <x v="8"/>
    <x v="2"/>
    <s v="Line C"/>
    <s v="Protective Coatings"/>
    <x v="2"/>
    <s v="P. Otieno"/>
    <n v="1513"/>
    <n v="1664"/>
    <n v="19"/>
    <n v="1645"/>
    <n v="11.6"/>
    <n v="7"/>
    <n v="23.39"/>
    <n v="38920.959999999999"/>
    <n v="444.41"/>
    <s v="Pass"/>
  </r>
  <r>
    <x v="36"/>
    <d v="2025-04-12T00:00:00"/>
    <x v="4"/>
    <x v="1"/>
    <s v="Line B"/>
    <s v="Industrial Cleaners"/>
    <x v="2"/>
    <s v="R. Njeri"/>
    <n v="1619"/>
    <n v="1596"/>
    <n v="14"/>
    <n v="1582"/>
    <n v="94.5"/>
    <n v="8.3000000000000007"/>
    <n v="23.67"/>
    <n v="37777.32"/>
    <n v="331.38"/>
    <s v="Pass"/>
  </r>
  <r>
    <x v="37"/>
    <d v="2025-10-21T00:00:00"/>
    <x v="2"/>
    <x v="1"/>
    <s v="Line E"/>
    <s v="Construction Additives"/>
    <x v="0"/>
    <s v="S. Kiptoo"/>
    <n v="879"/>
    <n v="916"/>
    <n v="16"/>
    <n v="900"/>
    <n v="8.1"/>
    <n v="6.6"/>
    <n v="23.74"/>
    <n v="21745.84"/>
    <n v="379.84"/>
    <s v="Pass"/>
  </r>
  <r>
    <x v="38"/>
    <d v="2025-10-18T00:00:00"/>
    <x v="2"/>
    <x v="1"/>
    <s v="Line D"/>
    <s v="Protective Coatings"/>
    <x v="1"/>
    <s v="S. Kiptoo"/>
    <n v="856"/>
    <n v="509"/>
    <n v="16"/>
    <n v="493"/>
    <n v="4.7"/>
    <n v="6.9"/>
    <n v="24.36"/>
    <n v="12399.24"/>
    <n v="389.76"/>
    <s v="Review"/>
  </r>
  <r>
    <x v="39"/>
    <d v="2025-04-29T00:00:00"/>
    <x v="4"/>
    <x v="2"/>
    <s v="Line B"/>
    <s v="Industrial Cleaners"/>
    <x v="0"/>
    <s v="M. Hassan"/>
    <n v="1751"/>
    <n v="1274"/>
    <n v="24"/>
    <n v="1250"/>
    <n v="12.8"/>
    <n v="6.8"/>
    <n v="24.47"/>
    <n v="31174.78"/>
    <n v="587.28"/>
    <s v="Pass"/>
  </r>
  <r>
    <x v="40"/>
    <d v="2025-10-07T00:00:00"/>
    <x v="2"/>
    <x v="0"/>
    <s v="Line C"/>
    <s v="Water Treatment Chemicals"/>
    <x v="2"/>
    <s v="F. Ali"/>
    <n v="1251"/>
    <n v="1262"/>
    <n v="22"/>
    <n v="1240"/>
    <n v="65.8"/>
    <n v="7.1"/>
    <n v="24.53"/>
    <n v="30956.86"/>
    <n v="539.66000000000008"/>
    <s v="Pass"/>
  </r>
  <r>
    <x v="41"/>
    <d v="2025-03-29T00:00:00"/>
    <x v="1"/>
    <x v="1"/>
    <s v="Line E"/>
    <s v="Protective Coatings"/>
    <x v="1"/>
    <s v="D. Kamau"/>
    <n v="882"/>
    <n v="941"/>
    <n v="11"/>
    <n v="930"/>
    <n v="9.6999999999999993"/>
    <n v="7.7"/>
    <n v="24.86"/>
    <n v="23393.26"/>
    <n v="273.45999999999998"/>
    <s v="Pass"/>
  </r>
  <r>
    <x v="42"/>
    <d v="2025-09-27T00:00:00"/>
    <x v="8"/>
    <x v="0"/>
    <s v="Line E"/>
    <s v="Water Treatment Chemicals"/>
    <x v="1"/>
    <s v="P. Otieno"/>
    <n v="912"/>
    <n v="814"/>
    <n v="22"/>
    <n v="792"/>
    <n v="24.6"/>
    <n v="8.1"/>
    <n v="25.22"/>
    <n v="20529.079999999998"/>
    <n v="554.83999999999992"/>
    <s v="Review"/>
  </r>
  <r>
    <x v="43"/>
    <d v="2025-06-08T00:00:00"/>
    <x v="6"/>
    <x v="0"/>
    <s v="Line E"/>
    <s v="Protective Coatings"/>
    <x v="0"/>
    <s v="F. Ali"/>
    <n v="881"/>
    <n v="734"/>
    <n v="9"/>
    <n v="725"/>
    <n v="69"/>
    <n v="6.2"/>
    <n v="25.23"/>
    <n v="18518.82"/>
    <n v="227.07"/>
    <s v="Pass"/>
  </r>
  <r>
    <x v="44"/>
    <d v="2025-01-17T00:00:00"/>
    <x v="5"/>
    <x v="0"/>
    <s v="Line D"/>
    <s v="Protective Coatings"/>
    <x v="0"/>
    <s v="A. Wanjiku"/>
    <n v="1181"/>
    <n v="1161"/>
    <n v="27"/>
    <n v="1134"/>
    <n v="75.8"/>
    <n v="8.4"/>
    <n v="25.32"/>
    <n v="29396.52"/>
    <n v="683.64"/>
    <s v="Review"/>
  </r>
  <r>
    <x v="45"/>
    <d v="2025-03-02T00:00:00"/>
    <x v="1"/>
    <x v="1"/>
    <s v="Line A"/>
    <s v="Industrial Cleaners"/>
    <x v="2"/>
    <s v="A. Wanjiku"/>
    <n v="996"/>
    <n v="873"/>
    <n v="21"/>
    <n v="852"/>
    <n v="39.299999999999997"/>
    <n v="7.9"/>
    <n v="25.38"/>
    <n v="22156.739999999998"/>
    <n v="532.98"/>
    <s v="Review"/>
  </r>
  <r>
    <x v="46"/>
    <d v="2025-03-20T00:00:00"/>
    <x v="1"/>
    <x v="1"/>
    <s v="Line E"/>
    <s v="Construction Additives"/>
    <x v="0"/>
    <s v="M. Hassan"/>
    <n v="1321"/>
    <n v="1349"/>
    <n v="24"/>
    <n v="1325"/>
    <n v="28.7"/>
    <n v="8.3000000000000007"/>
    <n v="25.55"/>
    <n v="34466.950000000004"/>
    <n v="613.20000000000005"/>
    <s v="Pass"/>
  </r>
  <r>
    <x v="47"/>
    <d v="2025-01-02T00:00:00"/>
    <x v="5"/>
    <x v="1"/>
    <s v="Line A"/>
    <s v="Industrial Cleaners"/>
    <x v="2"/>
    <s v="R. Njeri"/>
    <n v="1281"/>
    <n v="1178"/>
    <n v="41"/>
    <n v="1137"/>
    <n v="13.1"/>
    <n v="7.2"/>
    <n v="25.79"/>
    <n v="30380.62"/>
    <n v="1057.3899999999999"/>
    <s v="Review"/>
  </r>
  <r>
    <x v="48"/>
    <d v="2025-07-13T00:00:00"/>
    <x v="10"/>
    <x v="0"/>
    <s v="Line A"/>
    <s v="Water Treatment Chemicals"/>
    <x v="0"/>
    <s v="P. Otieno"/>
    <n v="857"/>
    <n v="960"/>
    <n v="15"/>
    <n v="945"/>
    <n v="69.099999999999994"/>
    <n v="7.5"/>
    <n v="25.85"/>
    <n v="24816"/>
    <n v="387.75"/>
    <s v="Pass"/>
  </r>
  <r>
    <x v="49"/>
    <d v="2025-10-12T00:00:00"/>
    <x v="2"/>
    <x v="1"/>
    <s v="Line D"/>
    <s v="Industrial Cleaners"/>
    <x v="2"/>
    <s v="P. Otieno"/>
    <n v="931"/>
    <n v="800"/>
    <n v="27"/>
    <n v="773"/>
    <n v="29.4"/>
    <n v="6.7"/>
    <n v="25.88"/>
    <n v="20704"/>
    <n v="698.76"/>
    <s v="Review"/>
  </r>
  <r>
    <x v="50"/>
    <d v="2025-09-05T00:00:00"/>
    <x v="8"/>
    <x v="0"/>
    <s v="Line A"/>
    <s v="Packaging Resin"/>
    <x v="1"/>
    <s v="F. Ali"/>
    <n v="1059"/>
    <n v="1036"/>
    <n v="15"/>
    <n v="1021"/>
    <n v="117.2"/>
    <n v="8"/>
    <n v="26.19"/>
    <n v="27132.84"/>
    <n v="392.85"/>
    <s v="Pass"/>
  </r>
  <r>
    <x v="51"/>
    <d v="2025-07-22T00:00:00"/>
    <x v="10"/>
    <x v="1"/>
    <s v="Line A"/>
    <s v="Packaging Resin"/>
    <x v="2"/>
    <s v="M. Hassan"/>
    <n v="1688"/>
    <n v="1723"/>
    <n v="55"/>
    <n v="1668"/>
    <n v="26.9"/>
    <n v="6.1"/>
    <n v="26.51"/>
    <n v="45676.73"/>
    <n v="1458.0500000000002"/>
    <s v="Review"/>
  </r>
  <r>
    <x v="52"/>
    <d v="2025-09-01T00:00:00"/>
    <x v="8"/>
    <x v="2"/>
    <s v="Line E"/>
    <s v="Protective Coatings"/>
    <x v="1"/>
    <s v="R. Njeri"/>
    <n v="805"/>
    <n v="828"/>
    <n v="4"/>
    <n v="824"/>
    <n v="138.9"/>
    <n v="6.4"/>
    <n v="26.78"/>
    <n v="22173.84"/>
    <n v="107.12"/>
    <s v="Pass"/>
  </r>
  <r>
    <x v="53"/>
    <d v="2025-10-20T00:00:00"/>
    <x v="2"/>
    <x v="0"/>
    <s v="Line C"/>
    <s v="Protective Coatings"/>
    <x v="1"/>
    <s v="A. Wanjiku"/>
    <n v="1526"/>
    <n v="1636"/>
    <n v="14"/>
    <n v="1622"/>
    <n v="65.8"/>
    <n v="7.7"/>
    <n v="27.04"/>
    <n v="44237.439999999995"/>
    <n v="378.56"/>
    <s v="Pass"/>
  </r>
  <r>
    <x v="54"/>
    <d v="2025-07-31T00:00:00"/>
    <x v="10"/>
    <x v="2"/>
    <s v="Line A"/>
    <s v="Protective Coatings"/>
    <x v="0"/>
    <s v="F. Ali"/>
    <n v="1192"/>
    <n v="1320"/>
    <n v="32"/>
    <n v="1288"/>
    <n v="47.7"/>
    <n v="8.1"/>
    <n v="27.87"/>
    <n v="36788.400000000001"/>
    <n v="891.84"/>
    <s v="Review"/>
  </r>
  <r>
    <x v="55"/>
    <d v="2025-10-30T00:00:00"/>
    <x v="2"/>
    <x v="2"/>
    <s v="Line C"/>
    <s v="Construction Additives"/>
    <x v="1"/>
    <s v="F. Ali"/>
    <n v="930"/>
    <n v="810"/>
    <n v="14"/>
    <n v="796"/>
    <n v="82.5"/>
    <n v="7"/>
    <n v="28.17"/>
    <n v="22817.7"/>
    <n v="394.38"/>
    <s v="Pass"/>
  </r>
  <r>
    <x v="56"/>
    <d v="2025-01-30T00:00:00"/>
    <x v="5"/>
    <x v="2"/>
    <s v="Line D"/>
    <s v="Industrial Cleaners"/>
    <x v="2"/>
    <s v="D. Kamau"/>
    <n v="740"/>
    <n v="766"/>
    <n v="6"/>
    <n v="760"/>
    <n v="35.9"/>
    <n v="6.1"/>
    <n v="28.23"/>
    <n v="21624.18"/>
    <n v="169.38"/>
    <s v="Pass"/>
  </r>
  <r>
    <x v="57"/>
    <d v="2025-08-19T00:00:00"/>
    <x v="9"/>
    <x v="2"/>
    <s v="Line E"/>
    <s v="Industrial Cleaners"/>
    <x v="2"/>
    <s v="S. Kiptoo"/>
    <n v="1531"/>
    <n v="1230"/>
    <n v="26"/>
    <n v="1204"/>
    <n v="52.4"/>
    <n v="7.2"/>
    <n v="28.68"/>
    <n v="35276.400000000001"/>
    <n v="745.68"/>
    <s v="Review"/>
  </r>
  <r>
    <x v="58"/>
    <d v="2025-03-25T00:00:00"/>
    <x v="1"/>
    <x v="0"/>
    <s v="Line D"/>
    <s v="Packaging Resin"/>
    <x v="1"/>
    <s v="F. Ali"/>
    <n v="1040"/>
    <n v="1120"/>
    <n v="12"/>
    <n v="1108"/>
    <n v="69.400000000000006"/>
    <n v="7.9"/>
    <n v="28.73"/>
    <n v="32177.600000000002"/>
    <n v="344.76"/>
    <s v="Pass"/>
  </r>
  <r>
    <x v="59"/>
    <d v="2025-06-19T00:00:00"/>
    <x v="6"/>
    <x v="2"/>
    <s v="Line A"/>
    <s v="Industrial Cleaners"/>
    <x v="1"/>
    <s v="F. Ali"/>
    <n v="1060"/>
    <n v="935"/>
    <n v="16"/>
    <n v="919"/>
    <n v="18.2"/>
    <n v="7"/>
    <n v="29.01"/>
    <n v="27124.350000000002"/>
    <n v="464.16"/>
    <s v="Pass"/>
  </r>
  <r>
    <x v="60"/>
    <d v="2025-03-15T00:00:00"/>
    <x v="1"/>
    <x v="2"/>
    <s v="Line C"/>
    <s v="Construction Additives"/>
    <x v="1"/>
    <s v="M. Hassan"/>
    <n v="921"/>
    <n v="895"/>
    <n v="7"/>
    <n v="888"/>
    <n v="19.100000000000001"/>
    <n v="6.5"/>
    <n v="29.43"/>
    <n v="26339.85"/>
    <n v="206.01"/>
    <s v="Pass"/>
  </r>
  <r>
    <x v="61"/>
    <d v="2025-02-18T00:00:00"/>
    <x v="0"/>
    <x v="2"/>
    <s v="Line C"/>
    <s v="Water Treatment Chemicals"/>
    <x v="1"/>
    <s v="P. Otieno"/>
    <n v="1552"/>
    <n v="1525"/>
    <n v="39"/>
    <n v="1486"/>
    <n v="96.4"/>
    <n v="8.4"/>
    <n v="29.63"/>
    <n v="45185.75"/>
    <n v="1155.57"/>
    <s v="Review"/>
  </r>
  <r>
    <x v="62"/>
    <d v="2025-04-14T00:00:00"/>
    <x v="4"/>
    <x v="0"/>
    <s v="Line A"/>
    <s v="Industrial Cleaners"/>
    <x v="1"/>
    <s v="J. Mwangi"/>
    <n v="1703"/>
    <n v="1738"/>
    <n v="60"/>
    <n v="1678"/>
    <n v="22"/>
    <n v="7.1"/>
    <n v="29.78"/>
    <n v="51757.64"/>
    <n v="1786.8000000000002"/>
    <s v="Review"/>
  </r>
  <r>
    <x v="63"/>
    <d v="2025-05-15T00:00:00"/>
    <x v="7"/>
    <x v="1"/>
    <s v="Line B"/>
    <s v="Industrial Cleaners"/>
    <x v="2"/>
    <s v="F. Ali"/>
    <n v="1669"/>
    <n v="1541"/>
    <n v="4"/>
    <n v="1537"/>
    <n v="22.3"/>
    <n v="6.4"/>
    <n v="29.88"/>
    <n v="46045.08"/>
    <n v="119.52"/>
    <s v="Pass"/>
  </r>
  <r>
    <x v="64"/>
    <d v="2025-04-11T00:00:00"/>
    <x v="4"/>
    <x v="0"/>
    <s v="Line E"/>
    <s v="Industrial Cleaners"/>
    <x v="2"/>
    <s v="D. Kamau"/>
    <n v="1227"/>
    <n v="1278"/>
    <n v="16"/>
    <n v="1262"/>
    <n v="34.9"/>
    <n v="8.3000000000000007"/>
    <n v="29.98"/>
    <n v="38314.44"/>
    <n v="479.68"/>
    <s v="Pass"/>
  </r>
  <r>
    <x v="65"/>
    <d v="2025-06-29T00:00:00"/>
    <x v="6"/>
    <x v="2"/>
    <s v="Line C"/>
    <s v="Protective Coatings"/>
    <x v="2"/>
    <s v="M. Hassan"/>
    <n v="1068"/>
    <n v="1154"/>
    <n v="10"/>
    <n v="1144"/>
    <n v="71.8"/>
    <n v="6.5"/>
    <n v="30.09"/>
    <n v="34723.86"/>
    <n v="300.89999999999998"/>
    <s v="Pass"/>
  </r>
  <r>
    <x v="66"/>
    <d v="2025-01-29T00:00:00"/>
    <x v="5"/>
    <x v="0"/>
    <s v="Line C"/>
    <s v="Packaging Resin"/>
    <x v="1"/>
    <s v="D. Kamau"/>
    <n v="968"/>
    <n v="1006"/>
    <n v="35"/>
    <n v="971"/>
    <n v="37.299999999999997"/>
    <n v="7.3"/>
    <n v="30.09"/>
    <n v="30270.54"/>
    <n v="1053.1500000000001"/>
    <s v="Review"/>
  </r>
  <r>
    <x v="67"/>
    <d v="2025-04-19T00:00:00"/>
    <x v="4"/>
    <x v="2"/>
    <s v="Line C"/>
    <s v="Water Treatment Chemicals"/>
    <x v="2"/>
    <s v="P. Otieno"/>
    <n v="931"/>
    <n v="820"/>
    <n v="8"/>
    <n v="812"/>
    <n v="29"/>
    <n v="8.1999999999999993"/>
    <n v="30.39"/>
    <n v="24919.8"/>
    <n v="243.12"/>
    <s v="Pass"/>
  </r>
  <r>
    <x v="68"/>
    <d v="2025-02-05T00:00:00"/>
    <x v="0"/>
    <x v="2"/>
    <s v="Line E"/>
    <s v="Water Treatment Chemicals"/>
    <x v="1"/>
    <s v="R. Njeri"/>
    <n v="1287"/>
    <n v="1436"/>
    <n v="44"/>
    <n v="1392"/>
    <n v="10.6"/>
    <n v="8"/>
    <n v="30.68"/>
    <n v="44056.480000000003"/>
    <n v="1349.92"/>
    <s v="Review"/>
  </r>
  <r>
    <x v="69"/>
    <d v="2025-07-04T00:00:00"/>
    <x v="10"/>
    <x v="0"/>
    <s v="Line A"/>
    <s v="Packaging Resin"/>
    <x v="0"/>
    <s v="P. Otieno"/>
    <n v="784"/>
    <n v="700"/>
    <n v="21"/>
    <n v="679"/>
    <n v="10.199999999999999"/>
    <n v="6.9"/>
    <n v="30.84"/>
    <n v="21588"/>
    <n v="647.64"/>
    <s v="Review"/>
  </r>
  <r>
    <x v="70"/>
    <d v="2025-04-15T00:00:00"/>
    <x v="4"/>
    <x v="1"/>
    <s v="Line E"/>
    <s v="Water Treatment Chemicals"/>
    <x v="0"/>
    <s v="D. Kamau"/>
    <n v="826"/>
    <n v="864"/>
    <n v="3"/>
    <n v="861"/>
    <n v="37.200000000000003"/>
    <n v="8"/>
    <n v="30.88"/>
    <n v="26680.32"/>
    <n v="92.64"/>
    <s v="Pass"/>
  </r>
  <r>
    <x v="71"/>
    <d v="2025-11-03T00:00:00"/>
    <x v="11"/>
    <x v="2"/>
    <s v="Line D"/>
    <s v="Construction Additives"/>
    <x v="1"/>
    <s v="S. Kiptoo"/>
    <n v="1587"/>
    <n v="1610"/>
    <n v="8"/>
    <n v="1602"/>
    <n v="71.2"/>
    <n v="7.8"/>
    <n v="30.93"/>
    <n v="49797.3"/>
    <n v="247.44"/>
    <s v="Pass"/>
  </r>
  <r>
    <x v="72"/>
    <d v="2025-10-01T00:00:00"/>
    <x v="2"/>
    <x v="1"/>
    <s v="Line C"/>
    <s v="Construction Additives"/>
    <x v="2"/>
    <s v="J. Mwangi"/>
    <n v="1319"/>
    <n v="1122"/>
    <n v="32"/>
    <n v="1090"/>
    <n v="41.9"/>
    <n v="6.4"/>
    <n v="31.15"/>
    <n v="34950.299999999996"/>
    <n v="996.8"/>
    <s v="Review"/>
  </r>
  <r>
    <x v="73"/>
    <d v="2025-02-03T00:00:00"/>
    <x v="0"/>
    <x v="0"/>
    <s v="Line A"/>
    <s v="Protective Coatings"/>
    <x v="0"/>
    <s v="J. Mwangi"/>
    <n v="957"/>
    <n v="764"/>
    <n v="11"/>
    <n v="753"/>
    <n v="14.9"/>
    <n v="7.4"/>
    <n v="31.45"/>
    <n v="24027.8"/>
    <n v="345.95"/>
    <s v="Pass"/>
  </r>
  <r>
    <x v="74"/>
    <d v="2025-12-17T00:00:00"/>
    <x v="3"/>
    <x v="1"/>
    <s v="Line B"/>
    <s v="Protective Coatings"/>
    <x v="1"/>
    <s v="J. Mwangi"/>
    <n v="1339"/>
    <n v="1368"/>
    <n v="28"/>
    <n v="1340"/>
    <n v="49.4"/>
    <n v="8.1"/>
    <n v="31.8"/>
    <n v="43502.400000000001"/>
    <n v="890.4"/>
    <s v="Review"/>
  </r>
  <r>
    <x v="75"/>
    <d v="2025-09-27T00:00:00"/>
    <x v="8"/>
    <x v="1"/>
    <s v="Line B"/>
    <s v="Industrial Cleaners"/>
    <x v="1"/>
    <s v="R. Njeri"/>
    <n v="1137"/>
    <n v="1189"/>
    <n v="38"/>
    <n v="1151"/>
    <n v="28.1"/>
    <n v="6.2"/>
    <n v="31.99"/>
    <n v="38036.11"/>
    <n v="1215.6199999999999"/>
    <s v="Review"/>
  </r>
  <r>
    <x v="76"/>
    <d v="2025-08-27T00:00:00"/>
    <x v="9"/>
    <x v="0"/>
    <s v="Line B"/>
    <s v="Packaging Resin"/>
    <x v="0"/>
    <s v="J. Mwangi"/>
    <n v="1102"/>
    <n v="939"/>
    <n v="6"/>
    <n v="933"/>
    <n v="46"/>
    <n v="7.9"/>
    <n v="32.69"/>
    <n v="30695.909999999996"/>
    <n v="196.14"/>
    <s v="Pass"/>
  </r>
  <r>
    <x v="77"/>
    <d v="2025-04-28T00:00:00"/>
    <x v="4"/>
    <x v="0"/>
    <s v="Line E"/>
    <s v="Protective Coatings"/>
    <x v="0"/>
    <s v="S. Kiptoo"/>
    <n v="923"/>
    <n v="970"/>
    <n v="31"/>
    <n v="939"/>
    <n v="29.4"/>
    <n v="8.1"/>
    <n v="32.92"/>
    <n v="31932.400000000001"/>
    <n v="1020.5200000000001"/>
    <s v="Review"/>
  </r>
  <r>
    <x v="78"/>
    <d v="2025-09-19T00:00:00"/>
    <x v="8"/>
    <x v="0"/>
    <s v="Line E"/>
    <s v="Industrial Cleaners"/>
    <x v="1"/>
    <s v="R. Njeri"/>
    <n v="1536"/>
    <n v="1443"/>
    <n v="38"/>
    <n v="1405"/>
    <n v="6.8"/>
    <n v="6.7"/>
    <n v="32.97"/>
    <n v="47575.71"/>
    <n v="1252.8599999999999"/>
    <s v="Review"/>
  </r>
  <r>
    <x v="79"/>
    <d v="2025-03-07T00:00:00"/>
    <x v="1"/>
    <x v="1"/>
    <s v="Line B"/>
    <s v="Water Treatment Chemicals"/>
    <x v="1"/>
    <s v="S. Kiptoo"/>
    <n v="1049"/>
    <n v="1018"/>
    <n v="3"/>
    <n v="1015"/>
    <n v="103.6"/>
    <n v="6.6"/>
    <n v="33.049999999999997"/>
    <n v="33644.899999999994"/>
    <n v="99.149999999999991"/>
    <s v="Pass"/>
  </r>
  <r>
    <x v="80"/>
    <d v="2025-10-05T00:00:00"/>
    <x v="2"/>
    <x v="1"/>
    <s v="Line C"/>
    <s v="Water Treatment Chemicals"/>
    <x v="1"/>
    <s v="S. Kiptoo"/>
    <n v="1503"/>
    <n v="1571"/>
    <n v="47"/>
    <n v="1524"/>
    <n v="60.3"/>
    <n v="7.6"/>
    <n v="33.479999999999997"/>
    <n v="52597.079999999994"/>
    <n v="1573.56"/>
    <s v="Review"/>
  </r>
  <r>
    <x v="81"/>
    <d v="2025-12-16T00:00:00"/>
    <x v="3"/>
    <x v="1"/>
    <s v="Line A"/>
    <s v="Construction Additives"/>
    <x v="2"/>
    <s v="Not Found"/>
    <n v="1091"/>
    <n v="1101"/>
    <n v="4"/>
    <n v="1097"/>
    <n v="35.1"/>
    <n v="7.2"/>
    <n v="33.74"/>
    <n v="37147.740000000005"/>
    <n v="134.96"/>
    <s v="Pass"/>
  </r>
  <r>
    <x v="82"/>
    <d v="2025-06-08T00:00:00"/>
    <x v="6"/>
    <x v="1"/>
    <s v="Line A"/>
    <s v="Protective Coatings"/>
    <x v="2"/>
    <s v="J. Mwangi"/>
    <n v="1072"/>
    <n v="969"/>
    <n v="17"/>
    <n v="952"/>
    <n v="7.4"/>
    <n v="7.6"/>
    <n v="34.28"/>
    <n v="33217.32"/>
    <n v="582.76"/>
    <s v="Pass"/>
  </r>
  <r>
    <x v="83"/>
    <d v="2025-10-31T00:00:00"/>
    <x v="2"/>
    <x v="0"/>
    <s v="Line E"/>
    <s v="Water Treatment Chemicals"/>
    <x v="0"/>
    <s v="A. Wanjiku"/>
    <n v="1677"/>
    <n v="1549"/>
    <n v="23"/>
    <n v="1526"/>
    <n v="20.9"/>
    <n v="7"/>
    <n v="34.65"/>
    <n v="53672.85"/>
    <n v="796.94999999999993"/>
    <s v="Pass"/>
  </r>
  <r>
    <x v="84"/>
    <d v="2025-03-06T00:00:00"/>
    <x v="1"/>
    <x v="2"/>
    <s v="Line C"/>
    <s v="Packaging Resin"/>
    <x v="0"/>
    <s v="P. Otieno"/>
    <n v="1542"/>
    <n v="1649"/>
    <n v="37"/>
    <n v="1612"/>
    <n v="52.1"/>
    <n v="7.6"/>
    <n v="35.159999999999997"/>
    <n v="57978.84"/>
    <n v="1300.9199999999998"/>
    <s v="Review"/>
  </r>
  <r>
    <x v="85"/>
    <d v="2025-04-14T00:00:00"/>
    <x v="4"/>
    <x v="1"/>
    <s v="Line E"/>
    <s v="Industrial Cleaners"/>
    <x v="1"/>
    <s v="R. Njeri"/>
    <n v="1001"/>
    <n v="989"/>
    <n v="28"/>
    <n v="961"/>
    <n v="33.5"/>
    <n v="7.4"/>
    <n v="35.47"/>
    <n v="35079.83"/>
    <n v="993.16"/>
    <s v="Review"/>
  </r>
  <r>
    <x v="86"/>
    <d v="2025-12-07T00:00:00"/>
    <x v="3"/>
    <x v="2"/>
    <s v="Line C"/>
    <s v="Construction Additives"/>
    <x v="2"/>
    <s v="D. Kamau"/>
    <n v="711"/>
    <n v="610"/>
    <n v="10"/>
    <n v="600"/>
    <n v="21.8"/>
    <n v="6.7"/>
    <n v="35.56"/>
    <n v="21691.600000000002"/>
    <n v="355.6"/>
    <s v="Pass"/>
  </r>
  <r>
    <x v="87"/>
    <d v="2025-07-05T00:00:00"/>
    <x v="10"/>
    <x v="1"/>
    <s v="Line D"/>
    <s v="Water Treatment Chemicals"/>
    <x v="0"/>
    <s v="R. Njeri"/>
    <n v="1600"/>
    <n v="1472"/>
    <n v="40"/>
    <n v="1432"/>
    <n v="43.2"/>
    <n v="7.7"/>
    <n v="35.65"/>
    <n v="52476.799999999996"/>
    <n v="1426"/>
    <s v="Review"/>
  </r>
  <r>
    <x v="88"/>
    <d v="2025-10-17T00:00:00"/>
    <x v="2"/>
    <x v="1"/>
    <s v="Line A"/>
    <s v="Protective Coatings"/>
    <x v="1"/>
    <s v="F. Ali"/>
    <n v="1459"/>
    <n v="1361"/>
    <n v="6"/>
    <n v="1355"/>
    <n v="26.4"/>
    <n v="6.7"/>
    <n v="35.75"/>
    <n v="48655.75"/>
    <n v="214.5"/>
    <s v="Pass"/>
  </r>
  <r>
    <x v="89"/>
    <d v="2025-12-04T00:00:00"/>
    <x v="3"/>
    <x v="2"/>
    <s v="Line A"/>
    <s v="Water Treatment Chemicals"/>
    <x v="1"/>
    <s v="F. Ali"/>
    <n v="1039"/>
    <n v="855"/>
    <n v="23"/>
    <n v="832"/>
    <n v="7.3"/>
    <n v="8.4"/>
    <n v="35.799999999999997"/>
    <n v="30608.999999999996"/>
    <n v="823.4"/>
    <s v="Review"/>
  </r>
  <r>
    <x v="90"/>
    <d v="2025-01-07T00:00:00"/>
    <x v="5"/>
    <x v="2"/>
    <s v="Line E"/>
    <s v="Water Treatment Chemicals"/>
    <x v="2"/>
    <s v="R. Njeri"/>
    <n v="1341"/>
    <n v="1247"/>
    <n v="26"/>
    <n v="1221"/>
    <n v="0.9"/>
    <n v="6.8"/>
    <n v="35.94"/>
    <n v="44817.18"/>
    <n v="934.43999999999994"/>
    <s v="Review"/>
  </r>
  <r>
    <x v="91"/>
    <d v="2025-01-20T00:00:00"/>
    <x v="5"/>
    <x v="0"/>
    <s v="Line D"/>
    <s v="Industrial Cleaners"/>
    <x v="0"/>
    <s v="R. Njeri"/>
    <n v="1749"/>
    <n v="1649"/>
    <n v="53"/>
    <n v="1596"/>
    <n v="5.2"/>
    <n v="6.6"/>
    <n v="36.090000000000003"/>
    <n v="59512.41"/>
    <n v="1912.7700000000002"/>
    <s v="Review"/>
  </r>
  <r>
    <x v="92"/>
    <d v="2025-07-22T00:00:00"/>
    <x v="10"/>
    <x v="1"/>
    <s v="Line D"/>
    <s v="Packaging Resin"/>
    <x v="0"/>
    <s v="A. Wanjiku"/>
    <n v="805"/>
    <n v="753"/>
    <n v="22"/>
    <n v="731"/>
    <n v="27.6"/>
    <n v="6.4"/>
    <n v="36.65"/>
    <n v="27597.45"/>
    <n v="806.3"/>
    <s v="Review"/>
  </r>
  <r>
    <x v="93"/>
    <d v="2025-05-20T00:00:00"/>
    <x v="7"/>
    <x v="2"/>
    <s v="Line D"/>
    <s v="Construction Additives"/>
    <x v="1"/>
    <s v="D. Kamau"/>
    <n v="821"/>
    <n v="815"/>
    <n v="11"/>
    <n v="804"/>
    <n v="57.7"/>
    <n v="7.2"/>
    <n v="36.72"/>
    <n v="29926.799999999999"/>
    <n v="403.91999999999996"/>
    <s v="Pass"/>
  </r>
  <r>
    <x v="94"/>
    <d v="2025-12-21T00:00:00"/>
    <x v="3"/>
    <x v="2"/>
    <s v="Line C"/>
    <s v="Packaging Resin"/>
    <x v="0"/>
    <s v="A. Wanjiku"/>
    <n v="1786"/>
    <n v="1848"/>
    <n v="14"/>
    <n v="1834"/>
    <n v="73.2"/>
    <n v="7.9"/>
    <n v="36.79"/>
    <n v="67987.92"/>
    <n v="515.05999999999995"/>
    <s v="Pass"/>
  </r>
  <r>
    <x v="95"/>
    <d v="2025-10-31T00:00:00"/>
    <x v="2"/>
    <x v="1"/>
    <s v="Line B"/>
    <s v="Construction Additives"/>
    <x v="1"/>
    <s v="R. Njeri"/>
    <n v="1535"/>
    <n v="1396"/>
    <n v="21"/>
    <n v="1375"/>
    <n v="18.3"/>
    <n v="7.7"/>
    <n v="36.97"/>
    <n v="51610.119999999995"/>
    <n v="776.37"/>
    <s v="Pass"/>
  </r>
  <r>
    <x v="96"/>
    <d v="2025-07-04T00:00:00"/>
    <x v="10"/>
    <x v="2"/>
    <s v="Line D"/>
    <s v="Construction Additives"/>
    <x v="1"/>
    <s v="M. Hassan"/>
    <n v="1773"/>
    <n v="1667"/>
    <n v="31"/>
    <n v="1636"/>
    <n v="39.700000000000003"/>
    <n v="7.5"/>
    <n v="37.26"/>
    <n v="62112.42"/>
    <n v="1155.06"/>
    <s v="Pass"/>
  </r>
  <r>
    <x v="97"/>
    <d v="2025-03-08T00:00:00"/>
    <x v="1"/>
    <x v="2"/>
    <s v="Line E"/>
    <s v="Construction Additives"/>
    <x v="0"/>
    <s v="D. Kamau"/>
    <n v="715"/>
    <n v="783"/>
    <n v="6"/>
    <n v="777"/>
    <n v="149.4"/>
    <n v="7.2"/>
    <n v="37.36"/>
    <n v="29252.880000000001"/>
    <n v="224.16"/>
    <s v="Pass"/>
  </r>
  <r>
    <x v="98"/>
    <d v="2025-10-23T00:00:00"/>
    <x v="2"/>
    <x v="1"/>
    <s v="Line D"/>
    <s v="Water Treatment Chemicals"/>
    <x v="1"/>
    <s v="J. Mwangi"/>
    <n v="1156"/>
    <n v="1215"/>
    <n v="34"/>
    <n v="1181"/>
    <n v="7.8"/>
    <n v="6.7"/>
    <n v="37.5"/>
    <n v="45562.5"/>
    <n v="1275"/>
    <s v="Review"/>
  </r>
  <r>
    <x v="99"/>
    <d v="2025-12-22T00:00:00"/>
    <x v="3"/>
    <x v="1"/>
    <s v="Line D"/>
    <s v="Packaging Resin"/>
    <x v="1"/>
    <s v="D. Kamau"/>
    <n v="969"/>
    <n v="809"/>
    <n v="16"/>
    <n v="793"/>
    <n v="42"/>
    <n v="6.2"/>
    <n v="37.6"/>
    <n v="30418.400000000001"/>
    <n v="601.6"/>
    <s v="Pass"/>
  </r>
  <r>
    <x v="100"/>
    <d v="2025-02-26T00:00:00"/>
    <x v="0"/>
    <x v="2"/>
    <s v="Line B"/>
    <s v="Packaging Resin"/>
    <x v="2"/>
    <s v="P. Otieno"/>
    <n v="716"/>
    <n v="693"/>
    <n v="6"/>
    <n v="687"/>
    <n v="15.6"/>
    <n v="6.1"/>
    <n v="38"/>
    <n v="26334"/>
    <n v="228"/>
    <s v="Pass"/>
  </r>
  <r>
    <x v="101"/>
    <d v="2025-06-18T00:00:00"/>
    <x v="6"/>
    <x v="1"/>
    <s v="Line A"/>
    <s v="Water Treatment Chemicals"/>
    <x v="0"/>
    <s v="D. Kamau"/>
    <n v="797"/>
    <n v="683"/>
    <n v="20"/>
    <n v="663"/>
    <n v="3.8"/>
    <n v="7.5"/>
    <n v="38.67"/>
    <n v="26411.61"/>
    <n v="773.40000000000009"/>
    <s v="Review"/>
  </r>
  <r>
    <x v="102"/>
    <d v="2025-04-26T00:00:00"/>
    <x v="4"/>
    <x v="2"/>
    <s v="Line B"/>
    <s v="Packaging Resin"/>
    <x v="1"/>
    <s v="F. Ali"/>
    <n v="1286"/>
    <n v="1065"/>
    <n v="21"/>
    <n v="1044"/>
    <n v="28.3"/>
    <n v="6.5"/>
    <n v="38.729999999999997"/>
    <n v="41247.449999999997"/>
    <n v="813.32999999999993"/>
    <s v="Pass"/>
  </r>
  <r>
    <x v="103"/>
    <d v="2025-08-31T00:00:00"/>
    <x v="9"/>
    <x v="0"/>
    <s v="Line D"/>
    <s v="Protective Coatings"/>
    <x v="1"/>
    <s v="F. Ali"/>
    <n v="1107"/>
    <n v="1265"/>
    <n v="22"/>
    <n v="1243"/>
    <n v="27.2"/>
    <n v="7.7"/>
    <n v="38.75"/>
    <n v="49018.75"/>
    <n v="852.5"/>
    <s v="Pass"/>
  </r>
  <r>
    <x v="104"/>
    <d v="2025-03-14T00:00:00"/>
    <x v="1"/>
    <x v="2"/>
    <s v="Line E"/>
    <s v="Water Treatment Chemicals"/>
    <x v="1"/>
    <s v="A. Wanjiku"/>
    <n v="1677"/>
    <n v="1622"/>
    <n v="29"/>
    <n v="1593"/>
    <n v="32.4"/>
    <n v="8.4"/>
    <n v="38.770000000000003"/>
    <n v="62884.94"/>
    <n v="1124.3300000000002"/>
    <s v="Pass"/>
  </r>
  <r>
    <x v="105"/>
    <d v="2025-04-24T00:00:00"/>
    <x v="4"/>
    <x v="1"/>
    <s v="Line C"/>
    <s v="Packaging Resin"/>
    <x v="0"/>
    <s v="D. Kamau"/>
    <n v="1664"/>
    <n v="1414"/>
    <n v="16"/>
    <n v="1398"/>
    <n v="4.5999999999999996"/>
    <n v="8.3000000000000007"/>
    <n v="38.96"/>
    <n v="55089.440000000002"/>
    <n v="623.36"/>
    <s v="Pass"/>
  </r>
  <r>
    <x v="106"/>
    <d v="2025-09-01T00:00:00"/>
    <x v="8"/>
    <x v="0"/>
    <s v="Line C"/>
    <s v="Industrial Cleaners"/>
    <x v="0"/>
    <s v="D. Kamau"/>
    <n v="1539"/>
    <n v="1545"/>
    <n v="44"/>
    <n v="1501"/>
    <n v="28.3"/>
    <n v="8.1999999999999993"/>
    <n v="39.299999999999997"/>
    <n v="60718.499999999993"/>
    <n v="1729.1999999999998"/>
    <s v="Review"/>
  </r>
  <r>
    <x v="107"/>
    <d v="2025-01-09T00:00:00"/>
    <x v="5"/>
    <x v="0"/>
    <s v="Line A"/>
    <s v="Water Treatment Chemicals"/>
    <x v="0"/>
    <s v="R. Njeri"/>
    <n v="1144"/>
    <n v="989"/>
    <n v="14"/>
    <n v="975"/>
    <n v="27.7"/>
    <n v="7"/>
    <n v="39.33"/>
    <n v="38897.369999999995"/>
    <n v="550.62"/>
    <s v="Pass"/>
  </r>
  <r>
    <x v="108"/>
    <d v="2025-02-28T00:00:00"/>
    <x v="0"/>
    <x v="0"/>
    <s v="Line D"/>
    <s v="Construction Additives"/>
    <x v="1"/>
    <s v="P. Otieno"/>
    <n v="1437"/>
    <n v="1325"/>
    <n v="10"/>
    <n v="1315"/>
    <n v="41.7"/>
    <n v="7.3"/>
    <n v="39.590000000000003"/>
    <n v="52456.750000000007"/>
    <n v="395.90000000000003"/>
    <s v="Pass"/>
  </r>
  <r>
    <x v="109"/>
    <d v="2025-10-26T00:00:00"/>
    <x v="2"/>
    <x v="0"/>
    <s v="Line B"/>
    <s v="Packaging Resin"/>
    <x v="1"/>
    <s v="A. Wanjiku"/>
    <n v="1333"/>
    <n v="1459"/>
    <n v="6"/>
    <n v="1453"/>
    <n v="108"/>
    <n v="7.8"/>
    <n v="39.72"/>
    <n v="57951.479999999996"/>
    <n v="238.32"/>
    <s v="Pass"/>
  </r>
  <r>
    <x v="110"/>
    <d v="2025-02-03T00:00:00"/>
    <x v="0"/>
    <x v="0"/>
    <s v="Line B"/>
    <s v="Water Treatment Chemicals"/>
    <x v="2"/>
    <s v="S. Kiptoo"/>
    <n v="745"/>
    <n v="764"/>
    <n v="9"/>
    <n v="755"/>
    <n v="70.7"/>
    <n v="6.8"/>
    <n v="39.97"/>
    <n v="30537.079999999998"/>
    <n v="359.73"/>
    <s v="Pass"/>
  </r>
  <r>
    <x v="111"/>
    <d v="2025-03-29T00:00:00"/>
    <x v="1"/>
    <x v="1"/>
    <s v="Line D"/>
    <s v="Water Treatment Chemicals"/>
    <x v="2"/>
    <s v="M. Hassan"/>
    <n v="1795"/>
    <n v="1869"/>
    <n v="12"/>
    <n v="1857"/>
    <n v="45.3"/>
    <n v="8.1999999999999993"/>
    <n v="40.229999999999997"/>
    <n v="75189.87"/>
    <n v="482.76"/>
    <s v="Pass"/>
  </r>
  <r>
    <x v="112"/>
    <d v="2025-10-18T00:00:00"/>
    <x v="2"/>
    <x v="0"/>
    <s v="Line A"/>
    <s v="Packaging Resin"/>
    <x v="0"/>
    <s v="J. Mwangi"/>
    <n v="1153"/>
    <n v="1044"/>
    <n v="6"/>
    <n v="1038"/>
    <n v="32.700000000000003"/>
    <n v="6.4"/>
    <n v="40.270000000000003"/>
    <n v="42041.880000000005"/>
    <n v="241.62"/>
    <s v="Pass"/>
  </r>
  <r>
    <x v="113"/>
    <d v="2025-03-07T00:00:00"/>
    <x v="1"/>
    <x v="2"/>
    <s v="Line C"/>
    <s v="Protective Coatings"/>
    <x v="2"/>
    <s v="Not Found"/>
    <n v="1383"/>
    <n v="1029"/>
    <n v="18"/>
    <n v="1011"/>
    <n v="25.7"/>
    <n v="7"/>
    <n v="40.44"/>
    <n v="41612.759999999995"/>
    <n v="727.92"/>
    <s v="Pass"/>
  </r>
  <r>
    <x v="114"/>
    <d v="2025-05-10T00:00:00"/>
    <x v="7"/>
    <x v="2"/>
    <s v="Line D"/>
    <s v="Protective Coatings"/>
    <x v="2"/>
    <s v="F. Ali"/>
    <n v="1638"/>
    <n v="1488"/>
    <n v="48"/>
    <n v="1440"/>
    <n v="13.9"/>
    <n v="7.6"/>
    <n v="40.54"/>
    <n v="60323.519999999997"/>
    <n v="1945.92"/>
    <s v="Review"/>
  </r>
  <r>
    <x v="115"/>
    <d v="2025-06-26T00:00:00"/>
    <x v="6"/>
    <x v="2"/>
    <s v="Line E"/>
    <s v="Protective Coatings"/>
    <x v="1"/>
    <s v="A. Wanjiku"/>
    <n v="962"/>
    <n v="784"/>
    <n v="15"/>
    <n v="769"/>
    <n v="103.3"/>
    <n v="7.3"/>
    <n v="40.590000000000003"/>
    <n v="31822.560000000001"/>
    <n v="608.85"/>
    <s v="Pass"/>
  </r>
  <r>
    <x v="116"/>
    <d v="2025-12-08T00:00:00"/>
    <x v="3"/>
    <x v="0"/>
    <s v="Line E"/>
    <s v="Water Treatment Chemicals"/>
    <x v="2"/>
    <s v="P. Otieno"/>
    <n v="1390"/>
    <n v="1424"/>
    <n v="19"/>
    <n v="1405"/>
    <n v="14.8"/>
    <n v="7.8"/>
    <n v="41.34"/>
    <n v="58868.160000000003"/>
    <n v="785.46"/>
    <s v="Pass"/>
  </r>
  <r>
    <x v="117"/>
    <d v="2025-12-20T00:00:00"/>
    <x v="3"/>
    <x v="1"/>
    <s v="Line A"/>
    <s v="Packaging Resin"/>
    <x v="2"/>
    <s v="M. Hassan"/>
    <n v="1110"/>
    <n v="888"/>
    <n v="20"/>
    <n v="868"/>
    <n v="86.3"/>
    <n v="6"/>
    <n v="41.41"/>
    <n v="36772.079999999994"/>
    <n v="828.19999999999993"/>
    <s v="Review"/>
  </r>
  <r>
    <x v="118"/>
    <d v="2025-05-31T00:00:00"/>
    <x v="7"/>
    <x v="1"/>
    <s v="Line A"/>
    <s v="Packaging Resin"/>
    <x v="1"/>
    <s v="F. Ali"/>
    <n v="1309"/>
    <n v="976"/>
    <n v="18"/>
    <n v="958"/>
    <n v="26.7"/>
    <n v="8.3000000000000007"/>
    <n v="41.42"/>
    <n v="40425.919999999998"/>
    <n v="745.56000000000006"/>
    <s v="Pass"/>
  </r>
  <r>
    <x v="119"/>
    <d v="2025-09-19T00:00:00"/>
    <x v="8"/>
    <x v="0"/>
    <s v="Line B"/>
    <s v="Protective Coatings"/>
    <x v="2"/>
    <s v="D. Kamau"/>
    <n v="1482"/>
    <n v="1367"/>
    <n v="18"/>
    <n v="1349"/>
    <n v="47"/>
    <n v="7.1"/>
    <n v="42.18"/>
    <n v="57660.06"/>
    <n v="759.24"/>
    <s v="Pass"/>
  </r>
  <r>
    <x v="120"/>
    <d v="2025-04-27T00:00:00"/>
    <x v="4"/>
    <x v="1"/>
    <s v="Line D"/>
    <s v="Industrial Cleaners"/>
    <x v="2"/>
    <s v="A. Wanjiku"/>
    <n v="1285"/>
    <n v="1221"/>
    <n v="6"/>
    <n v="1215"/>
    <n v="174.1"/>
    <n v="6.5"/>
    <n v="42.24"/>
    <n v="51575.040000000001"/>
    <n v="253.44"/>
    <s v="Pass"/>
  </r>
  <r>
    <x v="121"/>
    <d v="2025-05-16T00:00:00"/>
    <x v="7"/>
    <x v="0"/>
    <s v="Line E"/>
    <s v="Protective Coatings"/>
    <x v="1"/>
    <s v="R. Njeri"/>
    <n v="1550"/>
    <n v="1697"/>
    <n v="13"/>
    <n v="1684"/>
    <n v="34.799999999999997"/>
    <n v="7.8"/>
    <n v="42.52"/>
    <n v="72156.44"/>
    <n v="552.76"/>
    <s v="Pass"/>
  </r>
  <r>
    <x v="122"/>
    <d v="2025-09-12T00:00:00"/>
    <x v="8"/>
    <x v="1"/>
    <s v="Line B"/>
    <s v="Construction Additives"/>
    <x v="1"/>
    <s v="S. Kiptoo"/>
    <n v="1431"/>
    <n v="1172"/>
    <n v="9"/>
    <n v="1163"/>
    <n v="75.099999999999994"/>
    <n v="6.2"/>
    <n v="42.78"/>
    <n v="50138.16"/>
    <n v="385.02"/>
    <s v="Pass"/>
  </r>
  <r>
    <x v="123"/>
    <d v="2025-10-17T00:00:00"/>
    <x v="2"/>
    <x v="2"/>
    <s v="Line C"/>
    <s v="Industrial Cleaners"/>
    <x v="2"/>
    <s v="A. Wanjiku"/>
    <n v="776"/>
    <n v="643"/>
    <n v="5"/>
    <n v="638"/>
    <n v="40.799999999999997"/>
    <n v="6.2"/>
    <n v="43.69"/>
    <n v="28092.67"/>
    <n v="218.45"/>
    <s v="Pass"/>
  </r>
  <r>
    <x v="124"/>
    <d v="2025-03-08T00:00:00"/>
    <x v="1"/>
    <x v="2"/>
    <s v="Line B"/>
    <s v="Water Treatment Chemicals"/>
    <x v="2"/>
    <s v="D. Kamau"/>
    <n v="1373"/>
    <n v="1393"/>
    <n v="45"/>
    <n v="1348"/>
    <n v="65.900000000000006"/>
    <n v="7.4"/>
    <n v="43.74"/>
    <n v="60929.82"/>
    <n v="1968.3000000000002"/>
    <s v="Review"/>
  </r>
  <r>
    <x v="125"/>
    <d v="2025-03-29T00:00:00"/>
    <x v="1"/>
    <x v="2"/>
    <s v="Line B"/>
    <s v="Construction Additives"/>
    <x v="0"/>
    <s v="M. Hassan"/>
    <n v="1276"/>
    <n v="1286"/>
    <n v="35"/>
    <n v="1251"/>
    <n v="6.2"/>
    <n v="7.9"/>
    <n v="44.27"/>
    <n v="56931.22"/>
    <n v="1549.45"/>
    <s v="Review"/>
  </r>
  <r>
    <x v="126"/>
    <d v="2025-04-11T00:00:00"/>
    <x v="4"/>
    <x v="2"/>
    <s v="Line D"/>
    <s v="Protective Coatings"/>
    <x v="1"/>
    <s v="D. Kamau"/>
    <n v="1074"/>
    <n v="1241"/>
    <n v="12"/>
    <n v="1229"/>
    <n v="9.4"/>
    <n v="6.2"/>
    <n v="44.29"/>
    <n v="54963.89"/>
    <n v="531.48"/>
    <s v="Pass"/>
  </r>
  <r>
    <x v="127"/>
    <d v="2025-09-09T00:00:00"/>
    <x v="8"/>
    <x v="1"/>
    <s v="Line C"/>
    <s v="Protective Coatings"/>
    <x v="0"/>
    <s v="A. Wanjiku"/>
    <n v="1219"/>
    <n v="1242"/>
    <n v="6"/>
    <n v="1236"/>
    <n v="29.7"/>
    <n v="7.1"/>
    <n v="44.34"/>
    <n v="55070.280000000006"/>
    <n v="266.04000000000002"/>
    <s v="Pass"/>
  </r>
  <r>
    <x v="128"/>
    <d v="2025-06-18T00:00:00"/>
    <x v="6"/>
    <x v="0"/>
    <s v="Line A"/>
    <s v="Protective Coatings"/>
    <x v="0"/>
    <s v="F. Ali"/>
    <n v="789"/>
    <n v="659"/>
    <n v="16"/>
    <n v="643"/>
    <n v="55.1"/>
    <n v="7.9"/>
    <n v="44.5"/>
    <n v="29325.5"/>
    <n v="712"/>
    <s v="Review"/>
  </r>
  <r>
    <x v="129"/>
    <d v="2025-03-12T00:00:00"/>
    <x v="1"/>
    <x v="0"/>
    <s v="Line C"/>
    <s v="Water Treatment Chemicals"/>
    <x v="0"/>
    <s v="F. Ali"/>
    <n v="1695"/>
    <n v="1858"/>
    <n v="52"/>
    <n v="1806"/>
    <n v="33.700000000000003"/>
    <n v="7.1"/>
    <n v="44.82"/>
    <n v="83275.56"/>
    <n v="2330.64"/>
    <s v="Review"/>
  </r>
  <r>
    <x v="130"/>
    <d v="2025-10-15T00:00:00"/>
    <x v="2"/>
    <x v="0"/>
    <s v="Line D"/>
    <s v="Construction Additives"/>
    <x v="2"/>
    <s v="P. Otieno"/>
    <n v="1600"/>
    <n v="1755"/>
    <n v="47"/>
    <n v="1708"/>
    <n v="21"/>
    <n v="8"/>
    <n v="44.92"/>
    <n v="78834.600000000006"/>
    <n v="2111.2400000000002"/>
    <s v="Review"/>
  </r>
  <r>
    <x v="131"/>
    <d v="2025-05-30T00:00:00"/>
    <x v="7"/>
    <x v="1"/>
    <s v="Line A"/>
    <s v="Water Treatment Chemicals"/>
    <x v="1"/>
    <s v="F. Ali"/>
    <n v="1389"/>
    <n v="1330"/>
    <n v="23"/>
    <n v="1307"/>
    <n v="6"/>
    <n v="7.3"/>
    <n v="45.22"/>
    <n v="60142.6"/>
    <n v="1040.06"/>
    <s v="Pass"/>
  </r>
  <r>
    <x v="132"/>
    <d v="2025-02-22T00:00:00"/>
    <x v="0"/>
    <x v="0"/>
    <s v="Line B"/>
    <s v="Packaging Resin"/>
    <x v="0"/>
    <s v="J. Mwangi"/>
    <n v="1634"/>
    <n v="1688"/>
    <n v="55"/>
    <n v="1633"/>
    <n v="4.7"/>
    <n v="7.8"/>
    <n v="45.34"/>
    <n v="76533.920000000013"/>
    <n v="2493.7000000000003"/>
    <s v="Review"/>
  </r>
  <r>
    <x v="133"/>
    <d v="2025-11-26T00:00:00"/>
    <x v="11"/>
    <x v="2"/>
    <s v="Line B"/>
    <s v="Protective Coatings"/>
    <x v="1"/>
    <s v="P. Otieno"/>
    <n v="1245"/>
    <n v="1128"/>
    <n v="30"/>
    <n v="1098"/>
    <n v="5.9"/>
    <n v="8.1999999999999993"/>
    <n v="45.42"/>
    <n v="51233.760000000002"/>
    <n v="1362.6000000000001"/>
    <s v="Review"/>
  </r>
  <r>
    <x v="134"/>
    <d v="2025-09-08T00:00:00"/>
    <x v="8"/>
    <x v="1"/>
    <s v="Line D"/>
    <s v="Water Treatment Chemicals"/>
    <x v="0"/>
    <s v="D. Kamau"/>
    <n v="1701"/>
    <n v="1826"/>
    <n v="52"/>
    <n v="1774"/>
    <n v="13.4"/>
    <n v="7.5"/>
    <n v="45.48"/>
    <n v="83046.48"/>
    <n v="2364.96"/>
    <s v="Review"/>
  </r>
  <r>
    <x v="135"/>
    <d v="2025-07-31T00:00:00"/>
    <x v="10"/>
    <x v="2"/>
    <s v="Line D"/>
    <s v="Construction Additives"/>
    <x v="1"/>
    <s v="A. Wanjiku"/>
    <n v="910"/>
    <n v="906"/>
    <n v="12"/>
    <n v="894"/>
    <n v="56.5"/>
    <n v="6.4"/>
    <n v="45.74"/>
    <n v="41440.44"/>
    <n v="548.88"/>
    <s v="Pass"/>
  </r>
  <r>
    <x v="136"/>
    <d v="2025-12-04T00:00:00"/>
    <x v="3"/>
    <x v="2"/>
    <s v="Line B"/>
    <s v="Water Treatment Chemicals"/>
    <x v="1"/>
    <s v="R. Njeri"/>
    <n v="868"/>
    <n v="774"/>
    <n v="23"/>
    <n v="751"/>
    <n v="67.400000000000006"/>
    <n v="6.5"/>
    <n v="45.85"/>
    <n v="35487.9"/>
    <n v="1054.55"/>
    <s v="Review"/>
  </r>
  <r>
    <x v="137"/>
    <d v="2025-03-28T00:00:00"/>
    <x v="1"/>
    <x v="2"/>
    <s v="Line C"/>
    <s v="Protective Coatings"/>
    <x v="1"/>
    <s v="J. Mwangi"/>
    <n v="877"/>
    <n v="900"/>
    <n v="5"/>
    <n v="895"/>
    <n v="32.6"/>
    <n v="7.8"/>
    <n v="46.16"/>
    <n v="41544"/>
    <n v="230.79999999999998"/>
    <s v="Pass"/>
  </r>
  <r>
    <x v="138"/>
    <d v="2025-06-07T00:00:00"/>
    <x v="6"/>
    <x v="0"/>
    <s v="Line A"/>
    <s v="Protective Coatings"/>
    <x v="1"/>
    <s v="J. Mwangi"/>
    <n v="869"/>
    <n v="842"/>
    <n v="25"/>
    <n v="817"/>
    <n v="32.299999999999997"/>
    <n v="8.5"/>
    <n v="46.44"/>
    <n v="39102.479999999996"/>
    <n v="1161"/>
    <s v="Review"/>
  </r>
  <r>
    <x v="139"/>
    <d v="2025-05-30T00:00:00"/>
    <x v="7"/>
    <x v="1"/>
    <s v="Line D"/>
    <s v="Construction Additives"/>
    <x v="0"/>
    <s v="P. Otieno"/>
    <n v="1647"/>
    <n v="1467"/>
    <n v="27"/>
    <n v="1440"/>
    <n v="6.7"/>
    <n v="6.1"/>
    <n v="46.61"/>
    <n v="68376.87"/>
    <n v="1258.47"/>
    <s v="Pass"/>
  </r>
  <r>
    <x v="140"/>
    <d v="2025-12-18T00:00:00"/>
    <x v="3"/>
    <x v="2"/>
    <s v="Line B"/>
    <s v="Packaging Resin"/>
    <x v="2"/>
    <s v="P. Otieno"/>
    <n v="1786"/>
    <n v="1584"/>
    <n v="17"/>
    <n v="1567"/>
    <n v="33.4"/>
    <n v="6.5"/>
    <n v="46.67"/>
    <n v="73925.279999999999"/>
    <n v="793.39"/>
    <s v="Pass"/>
  </r>
  <r>
    <x v="141"/>
    <d v="2025-12-09T00:00:00"/>
    <x v="3"/>
    <x v="2"/>
    <s v="Line A"/>
    <s v="Industrial Cleaners"/>
    <x v="1"/>
    <s v="R. Njeri"/>
    <n v="1004"/>
    <n v="838"/>
    <n v="4"/>
    <n v="834"/>
    <n v="72.3"/>
    <n v="7.5"/>
    <n v="46.95"/>
    <n v="39344.100000000006"/>
    <n v="187.8"/>
    <s v="Pass"/>
  </r>
  <r>
    <x v="142"/>
    <d v="2025-10-10T00:00:00"/>
    <x v="2"/>
    <x v="2"/>
    <s v="Line A"/>
    <s v="Packaging Resin"/>
    <x v="0"/>
    <s v="A. Wanjiku"/>
    <n v="1557"/>
    <n v="1522"/>
    <n v="27"/>
    <n v="1495"/>
    <n v="40.799999999999997"/>
    <n v="7"/>
    <n v="47.54"/>
    <n v="72355.88"/>
    <n v="1283.58"/>
    <s v="Pass"/>
  </r>
  <r>
    <x v="143"/>
    <d v="2025-12-18T00:00:00"/>
    <x v="3"/>
    <x v="2"/>
    <s v="Line C"/>
    <s v="Construction Additives"/>
    <x v="0"/>
    <s v="F. Ali"/>
    <n v="761"/>
    <n v="737"/>
    <n v="5"/>
    <n v="732"/>
    <n v="66.7"/>
    <n v="6.2"/>
    <n v="47.56"/>
    <n v="35051.72"/>
    <n v="237.8"/>
    <s v="Pass"/>
  </r>
  <r>
    <x v="144"/>
    <d v="2025-09-07T00:00:00"/>
    <x v="8"/>
    <x v="1"/>
    <s v="Line B"/>
    <s v="Protective Coatings"/>
    <x v="1"/>
    <s v="A. Wanjiku"/>
    <n v="773"/>
    <n v="611"/>
    <n v="7"/>
    <n v="604"/>
    <n v="31.8"/>
    <n v="8.1999999999999993"/>
    <n v="47.86"/>
    <n v="29242.46"/>
    <n v="335.02"/>
    <s v="Pass"/>
  </r>
  <r>
    <x v="145"/>
    <d v="2025-08-19T00:00:00"/>
    <x v="9"/>
    <x v="0"/>
    <s v="Line E"/>
    <s v="Protective Coatings"/>
    <x v="1"/>
    <s v="F. Ali"/>
    <n v="1097"/>
    <n v="1067"/>
    <n v="13"/>
    <n v="1054"/>
    <n v="34.1"/>
    <n v="6.9"/>
    <n v="47.97"/>
    <n v="51183.99"/>
    <n v="623.61"/>
    <s v="Pass"/>
  </r>
  <r>
    <x v="146"/>
    <d v="2025-01-16T00:00:00"/>
    <x v="5"/>
    <x v="0"/>
    <s v="Line D"/>
    <s v="Industrial Cleaners"/>
    <x v="1"/>
    <s v="M. Hassan"/>
    <n v="1339"/>
    <n v="1525"/>
    <n v="8"/>
    <n v="1517"/>
    <n v="18.100000000000001"/>
    <n v="6.8"/>
    <n v="48.19"/>
    <n v="73489.75"/>
    <n v="385.52"/>
    <s v="Pass"/>
  </r>
  <r>
    <x v="147"/>
    <d v="2025-06-20T00:00:00"/>
    <x v="6"/>
    <x v="0"/>
    <s v="Line D"/>
    <s v="Construction Additives"/>
    <x v="0"/>
    <s v="J. Mwangi"/>
    <n v="1194"/>
    <n v="1142"/>
    <n v="4"/>
    <n v="1138"/>
    <n v="48.6"/>
    <n v="6.3"/>
    <n v="48.51"/>
    <n v="55398.42"/>
    <n v="194.04"/>
    <s v="Pass"/>
  </r>
  <r>
    <x v="148"/>
    <d v="2025-04-21T00:00:00"/>
    <x v="4"/>
    <x v="0"/>
    <s v="Line A"/>
    <s v="Water Treatment Chemicals"/>
    <x v="1"/>
    <s v="J. Mwangi"/>
    <n v="1001"/>
    <n v="993"/>
    <n v="17"/>
    <n v="976"/>
    <n v="10.3"/>
    <n v="8.1"/>
    <n v="48.58"/>
    <n v="48239.939999999995"/>
    <n v="825.86"/>
    <s v="Pass"/>
  </r>
  <r>
    <x v="149"/>
    <d v="2025-12-08T00:00:00"/>
    <x v="3"/>
    <x v="2"/>
    <s v="Line A"/>
    <s v="Protective Coatings"/>
    <x v="1"/>
    <s v="M. Hassan"/>
    <n v="1373"/>
    <n v="1011"/>
    <n v="22"/>
    <n v="989"/>
    <n v="42.8"/>
    <n v="6.2"/>
    <n v="48.64"/>
    <n v="49175.040000000001"/>
    <n v="1070.08"/>
    <s v="Review"/>
  </r>
  <r>
    <x v="150"/>
    <d v="2025-07-28T00:00:00"/>
    <x v="10"/>
    <x v="1"/>
    <s v="Line A"/>
    <s v="Construction Additives"/>
    <x v="2"/>
    <s v="D. Kamau"/>
    <n v="836"/>
    <n v="797"/>
    <n v="14"/>
    <n v="783"/>
    <n v="31.2"/>
    <n v="6.6"/>
    <n v="48.67"/>
    <n v="38789.99"/>
    <n v="681.38"/>
    <s v="Pass"/>
  </r>
  <r>
    <x v="151"/>
    <d v="2025-03-11T00:00:00"/>
    <x v="1"/>
    <x v="1"/>
    <s v="Line C"/>
    <s v="Water Treatment Chemicals"/>
    <x v="0"/>
    <s v="F. Ali"/>
    <n v="753"/>
    <n v="734"/>
    <n v="4"/>
    <n v="730"/>
    <n v="57.7"/>
    <n v="7.6"/>
    <n v="48.69"/>
    <n v="35738.46"/>
    <n v="194.76"/>
    <s v="Pass"/>
  </r>
  <r>
    <x v="152"/>
    <d v="2025-11-18T00:00:00"/>
    <x v="11"/>
    <x v="1"/>
    <s v="Line E"/>
    <s v="Industrial Cleaners"/>
    <x v="0"/>
    <s v="S. Kiptoo"/>
    <n v="1790"/>
    <n v="1581"/>
    <n v="26"/>
    <n v="1555"/>
    <n v="19.2"/>
    <n v="8.1999999999999993"/>
    <n v="49"/>
    <n v="77469"/>
    <n v="1274"/>
    <s v="Pass"/>
  </r>
  <r>
    <x v="153"/>
    <d v="2025-03-31T00:00:00"/>
    <x v="1"/>
    <x v="0"/>
    <s v="Line D"/>
    <s v="Protective Coatings"/>
    <x v="2"/>
    <s v="R. Njeri"/>
    <n v="1632"/>
    <n v="1410"/>
    <n v="32"/>
    <n v="1378"/>
    <n v="65.8"/>
    <n v="6.8"/>
    <n v="49.01"/>
    <n v="69104.099999999991"/>
    <n v="1568.32"/>
    <s v="Review"/>
  </r>
  <r>
    <x v="154"/>
    <d v="2025-04-09T00:00:00"/>
    <x v="4"/>
    <x v="2"/>
    <s v="Line C"/>
    <s v="Construction Additives"/>
    <x v="0"/>
    <s v="D. Kamau"/>
    <n v="825"/>
    <n v="723"/>
    <n v="10"/>
    <n v="713"/>
    <n v="55.4"/>
    <n v="7"/>
    <n v="49.38"/>
    <n v="35701.740000000005"/>
    <n v="493.8"/>
    <s v="Pass"/>
  </r>
  <r>
    <x v="155"/>
    <d v="2025-02-06T00:00:00"/>
    <x v="0"/>
    <x v="1"/>
    <s v="Line C"/>
    <s v="Industrial Cleaners"/>
    <x v="2"/>
    <s v="J. Mwangi"/>
    <n v="1221"/>
    <n v="1194"/>
    <n v="18"/>
    <n v="1176"/>
    <n v="44.6"/>
    <n v="7.6"/>
    <n v="49.61"/>
    <n v="59234.34"/>
    <n v="892.98"/>
    <s v="Pass"/>
  </r>
  <r>
    <x v="156"/>
    <d v="2025-05-11T00:00:00"/>
    <x v="7"/>
    <x v="1"/>
    <s v="Line E"/>
    <s v="Construction Additives"/>
    <x v="1"/>
    <s v="M. Hassan"/>
    <n v="1323"/>
    <n v="1099"/>
    <n v="31"/>
    <n v="1068"/>
    <n v="25.7"/>
    <n v="8.4"/>
    <n v="49.61"/>
    <n v="54521.39"/>
    <n v="1537.91"/>
    <s v="Review"/>
  </r>
  <r>
    <x v="157"/>
    <d v="2025-10-29T00:00:00"/>
    <x v="2"/>
    <x v="1"/>
    <s v="Line D"/>
    <s v="Construction Additives"/>
    <x v="1"/>
    <s v="S. Kiptoo"/>
    <n v="884"/>
    <n v="903"/>
    <n v="5"/>
    <n v="898"/>
    <n v="42.5"/>
    <n v="7.8"/>
    <n v="49.77"/>
    <n v="44942.310000000005"/>
    <n v="248.85000000000002"/>
    <s v="Pass"/>
  </r>
  <r>
    <x v="158"/>
    <d v="2025-08-29T00:00:00"/>
    <x v="9"/>
    <x v="2"/>
    <s v="Line E"/>
    <s v="Industrial Cleaners"/>
    <x v="0"/>
    <s v="D. Kamau"/>
    <n v="756"/>
    <n v="894"/>
    <n v="12"/>
    <n v="882"/>
    <n v="25.6"/>
    <n v="6.8"/>
    <n v="49.86"/>
    <n v="44574.84"/>
    <n v="598.31999999999994"/>
    <s v="Pass"/>
  </r>
  <r>
    <x v="159"/>
    <d v="2025-12-10T00:00:00"/>
    <x v="3"/>
    <x v="1"/>
    <s v="Line B"/>
    <s v="Packaging Resin"/>
    <x v="1"/>
    <s v="J. Mwangi"/>
    <n v="1078"/>
    <n v="842"/>
    <n v="8"/>
    <n v="834"/>
    <n v="29.1"/>
    <n v="8.1999999999999993"/>
    <n v="50.22"/>
    <n v="42285.24"/>
    <n v="401.76"/>
    <s v="Pass"/>
  </r>
  <r>
    <x v="160"/>
    <d v="2025-07-10T00:00:00"/>
    <x v="10"/>
    <x v="0"/>
    <s v="Line C"/>
    <s v="Water Treatment Chemicals"/>
    <x v="2"/>
    <s v="J. Mwangi"/>
    <n v="1421"/>
    <n v="1649"/>
    <n v="8"/>
    <n v="1641"/>
    <n v="49.2"/>
    <n v="6.9"/>
    <n v="50.33"/>
    <n v="82994.17"/>
    <n v="402.64"/>
    <s v="Pass"/>
  </r>
  <r>
    <x v="161"/>
    <d v="2025-10-06T00:00:00"/>
    <x v="2"/>
    <x v="0"/>
    <s v="Line B"/>
    <s v="Construction Additives"/>
    <x v="1"/>
    <s v="J. Mwangi"/>
    <n v="962"/>
    <n v="942"/>
    <n v="10"/>
    <n v="932"/>
    <n v="26.8"/>
    <n v="6.7"/>
    <n v="50.35"/>
    <n v="47429.700000000004"/>
    <n v="503.5"/>
    <s v="Pass"/>
  </r>
  <r>
    <x v="162"/>
    <d v="2025-10-21T00:00:00"/>
    <x v="2"/>
    <x v="0"/>
    <s v="Line E"/>
    <s v="Protective Coatings"/>
    <x v="1"/>
    <s v="A. Wanjiku"/>
    <n v="887"/>
    <n v="742"/>
    <n v="24"/>
    <n v="718"/>
    <n v="42.7"/>
    <n v="6.8"/>
    <n v="50.41"/>
    <n v="37404.219999999994"/>
    <n v="1209.8399999999999"/>
    <s v="Review"/>
  </r>
  <r>
    <x v="163"/>
    <d v="2025-02-24T00:00:00"/>
    <x v="0"/>
    <x v="1"/>
    <s v="Line D"/>
    <s v="Industrial Cleaners"/>
    <x v="1"/>
    <s v="F. Ali"/>
    <n v="1107"/>
    <n v="878"/>
    <n v="29"/>
    <n v="849"/>
    <n v="3.9"/>
    <n v="6.8"/>
    <n v="50.5"/>
    <n v="44339"/>
    <n v="1464.5"/>
    <s v="Review"/>
  </r>
  <r>
    <x v="164"/>
    <d v="2025-12-09T00:00:00"/>
    <x v="3"/>
    <x v="1"/>
    <s v="Line A"/>
    <s v="Industrial Cleaners"/>
    <x v="2"/>
    <s v="S. Kiptoo"/>
    <n v="1684"/>
    <n v="1649"/>
    <n v="26"/>
    <n v="1623"/>
    <n v="134"/>
    <n v="8.1"/>
    <n v="50.6"/>
    <n v="83439.400000000009"/>
    <n v="1315.6000000000001"/>
    <s v="Pass"/>
  </r>
  <r>
    <x v="165"/>
    <d v="2025-03-14T00:00:00"/>
    <x v="1"/>
    <x v="0"/>
    <s v="Line A"/>
    <s v="Industrial Cleaners"/>
    <x v="0"/>
    <s v="S. Kiptoo"/>
    <n v="1537"/>
    <n v="1393"/>
    <n v="7"/>
    <n v="1386"/>
    <n v="91.1"/>
    <n v="7"/>
    <n v="50.73"/>
    <n v="70666.89"/>
    <n v="355.10999999999996"/>
    <s v="Pass"/>
  </r>
  <r>
    <x v="166"/>
    <d v="2025-06-10T00:00:00"/>
    <x v="6"/>
    <x v="1"/>
    <s v="Line C"/>
    <s v="Construction Additives"/>
    <x v="1"/>
    <s v="F. Ali"/>
    <n v="956"/>
    <n v="1151"/>
    <n v="27"/>
    <n v="1124"/>
    <n v="7.7"/>
    <n v="6.7"/>
    <n v="50.74"/>
    <n v="58401.740000000005"/>
    <n v="1369.98"/>
    <s v="Review"/>
  </r>
  <r>
    <x v="167"/>
    <d v="2025-09-05T00:00:00"/>
    <x v="8"/>
    <x v="1"/>
    <s v="Line B"/>
    <s v="Water Treatment Chemicals"/>
    <x v="0"/>
    <s v="M. Hassan"/>
    <n v="1742"/>
    <n v="1666"/>
    <n v="37"/>
    <n v="1629"/>
    <n v="10.199999999999999"/>
    <n v="8.3000000000000007"/>
    <n v="50.75"/>
    <n v="84549.5"/>
    <n v="1877.75"/>
    <s v="Review"/>
  </r>
  <r>
    <x v="168"/>
    <d v="2025-07-17T00:00:00"/>
    <x v="10"/>
    <x v="1"/>
    <s v="Line B"/>
    <s v="Industrial Cleaners"/>
    <x v="0"/>
    <s v="J. Mwangi"/>
    <n v="1121"/>
    <n v="998"/>
    <n v="5"/>
    <n v="993"/>
    <n v="13.1"/>
    <n v="7.3"/>
    <n v="50.84"/>
    <n v="50738.320000000007"/>
    <n v="254.20000000000002"/>
    <s v="Pass"/>
  </r>
  <r>
    <x v="169"/>
    <d v="2025-01-09T00:00:00"/>
    <x v="5"/>
    <x v="2"/>
    <s v="Line A"/>
    <s v="Construction Additives"/>
    <x v="1"/>
    <s v="D. Kamau"/>
    <n v="1641"/>
    <n v="1594"/>
    <n v="14"/>
    <n v="1580"/>
    <n v="56.1"/>
    <n v="7.7"/>
    <n v="51.46"/>
    <n v="82027.240000000005"/>
    <n v="720.44"/>
    <s v="Pass"/>
  </r>
  <r>
    <x v="170"/>
    <d v="2025-06-29T00:00:00"/>
    <x v="6"/>
    <x v="2"/>
    <s v="Line C"/>
    <s v="Water Treatment Chemicals"/>
    <x v="1"/>
    <s v="R. Njeri"/>
    <n v="1579"/>
    <n v="1659"/>
    <n v="27"/>
    <n v="1632"/>
    <n v="37.9"/>
    <n v="8.1999999999999993"/>
    <n v="52.33"/>
    <n v="86815.47"/>
    <n v="1412.9099999999999"/>
    <s v="Pass"/>
  </r>
  <r>
    <x v="171"/>
    <d v="2025-01-10T00:00:00"/>
    <x v="5"/>
    <x v="1"/>
    <s v="Line D"/>
    <s v="Packaging Resin"/>
    <x v="1"/>
    <s v="R. Njeri"/>
    <n v="1113"/>
    <n v="1060"/>
    <n v="8"/>
    <n v="1052"/>
    <n v="78.8"/>
    <n v="7.7"/>
    <n v="52.37"/>
    <n v="55512.2"/>
    <n v="418.96"/>
    <s v="Pass"/>
  </r>
  <r>
    <x v="172"/>
    <d v="2025-06-12T00:00:00"/>
    <x v="6"/>
    <x v="0"/>
    <s v="Line C"/>
    <s v="Industrial Cleaners"/>
    <x v="1"/>
    <s v="R. Njeri"/>
    <n v="1168"/>
    <n v="1134"/>
    <n v="30"/>
    <n v="1104"/>
    <n v="72.5"/>
    <n v="8.1999999999999993"/>
    <n v="52.62"/>
    <n v="59671.079999999994"/>
    <n v="1578.6"/>
    <s v="Review"/>
  </r>
  <r>
    <x v="173"/>
    <d v="2025-01-03T00:00:00"/>
    <x v="5"/>
    <x v="0"/>
    <s v="Line C"/>
    <s v="Protective Coatings"/>
    <x v="1"/>
    <s v="R. Njeri"/>
    <n v="1596"/>
    <n v="1475"/>
    <n v="25"/>
    <n v="1450"/>
    <n v="7.8"/>
    <n v="6.9"/>
    <n v="52.82"/>
    <n v="77909.5"/>
    <n v="1320.5"/>
    <s v="Pass"/>
  </r>
  <r>
    <x v="174"/>
    <d v="2025-08-26T00:00:00"/>
    <x v="9"/>
    <x v="1"/>
    <s v="Line B"/>
    <s v="Construction Additives"/>
    <x v="2"/>
    <s v="J. Mwangi"/>
    <n v="1064"/>
    <n v="902"/>
    <n v="7"/>
    <n v="895"/>
    <n v="23.1"/>
    <n v="7.6"/>
    <n v="52.93"/>
    <n v="47742.86"/>
    <n v="370.51"/>
    <s v="Pass"/>
  </r>
  <r>
    <x v="175"/>
    <d v="2025-01-10T00:00:00"/>
    <x v="5"/>
    <x v="0"/>
    <s v="Line E"/>
    <s v="Protective Coatings"/>
    <x v="0"/>
    <s v="M. Hassan"/>
    <n v="1756"/>
    <n v="1631"/>
    <n v="39"/>
    <n v="1592"/>
    <n v="71.5"/>
    <n v="6.1"/>
    <n v="53.01"/>
    <n v="86459.31"/>
    <n v="2067.39"/>
    <s v="Review"/>
  </r>
  <r>
    <x v="176"/>
    <d v="2025-07-13T00:00:00"/>
    <x v="10"/>
    <x v="2"/>
    <s v="Line A"/>
    <s v="Water Treatment Chemicals"/>
    <x v="1"/>
    <s v="M. Hassan"/>
    <n v="1534"/>
    <n v="1635"/>
    <n v="47"/>
    <n v="1588"/>
    <n v="12.6"/>
    <n v="7.7"/>
    <n v="53.32"/>
    <n v="87178.2"/>
    <n v="2506.04"/>
    <s v="Review"/>
  </r>
  <r>
    <x v="177"/>
    <d v="2025-06-08T00:00:00"/>
    <x v="6"/>
    <x v="2"/>
    <s v="Line B"/>
    <s v="Construction Additives"/>
    <x v="1"/>
    <s v="J. Mwangi"/>
    <n v="1065"/>
    <n v="1067"/>
    <n v="28"/>
    <n v="1039"/>
    <n v="12.5"/>
    <n v="8.1999999999999993"/>
    <n v="53.32"/>
    <n v="56892.44"/>
    <n v="1492.96"/>
    <s v="Review"/>
  </r>
  <r>
    <x v="178"/>
    <d v="2025-08-04T00:00:00"/>
    <x v="9"/>
    <x v="2"/>
    <s v="Line B"/>
    <s v="Protective Coatings"/>
    <x v="1"/>
    <s v="F. Ali"/>
    <n v="844"/>
    <n v="743"/>
    <n v="22"/>
    <n v="721"/>
    <n v="35.9"/>
    <n v="7.1"/>
    <n v="53.49"/>
    <n v="39743.07"/>
    <n v="1176.78"/>
    <s v="Review"/>
  </r>
  <r>
    <x v="179"/>
    <d v="2025-12-12T00:00:00"/>
    <x v="3"/>
    <x v="0"/>
    <s v="Line C"/>
    <s v="Construction Additives"/>
    <x v="1"/>
    <s v="A. Wanjiku"/>
    <n v="1694"/>
    <n v="1597"/>
    <n v="6"/>
    <n v="1591"/>
    <n v="56.6"/>
    <n v="7.4"/>
    <n v="53.88"/>
    <n v="86046.36"/>
    <n v="323.28000000000003"/>
    <s v="Pass"/>
  </r>
  <r>
    <x v="180"/>
    <d v="2025-07-04T00:00:00"/>
    <x v="10"/>
    <x v="1"/>
    <s v="Line B"/>
    <s v="Packaging Resin"/>
    <x v="1"/>
    <s v="P. Otieno"/>
    <n v="1734"/>
    <n v="1483"/>
    <n v="17"/>
    <n v="1466"/>
    <n v="12"/>
    <n v="6.3"/>
    <n v="54.01"/>
    <n v="80096.83"/>
    <n v="918.17"/>
    <s v="Pass"/>
  </r>
  <r>
    <x v="181"/>
    <d v="2025-04-25T00:00:00"/>
    <x v="4"/>
    <x v="1"/>
    <s v="Line C"/>
    <s v="Packaging Resin"/>
    <x v="0"/>
    <s v="M. Hassan"/>
    <n v="962"/>
    <n v="898"/>
    <n v="6"/>
    <n v="892"/>
    <n v="6.9"/>
    <n v="8.4"/>
    <n v="54.18"/>
    <n v="48653.64"/>
    <n v="325.08"/>
    <s v="Pass"/>
  </r>
  <r>
    <x v="182"/>
    <d v="2025-03-23T00:00:00"/>
    <x v="1"/>
    <x v="1"/>
    <s v="Line C"/>
    <s v="Packaging Resin"/>
    <x v="0"/>
    <s v="R. Njeri"/>
    <n v="1464"/>
    <n v="1305"/>
    <n v="10"/>
    <n v="1295"/>
    <n v="17.3"/>
    <n v="7.5"/>
    <n v="54.23"/>
    <n v="70770.149999999994"/>
    <n v="542.29999999999995"/>
    <s v="Pass"/>
  </r>
  <r>
    <x v="183"/>
    <d v="2025-05-03T00:00:00"/>
    <x v="7"/>
    <x v="0"/>
    <s v="Line C"/>
    <s v="Protective Coatings"/>
    <x v="0"/>
    <s v="J. Mwangi"/>
    <n v="1479"/>
    <n v="1363"/>
    <n v="17"/>
    <n v="1346"/>
    <n v="63.4"/>
    <n v="6.5"/>
    <n v="54.33"/>
    <n v="74051.789999999994"/>
    <n v="923.61"/>
    <s v="Pass"/>
  </r>
  <r>
    <x v="184"/>
    <d v="2025-04-21T00:00:00"/>
    <x v="4"/>
    <x v="2"/>
    <s v="Line B"/>
    <s v="Protective Coatings"/>
    <x v="1"/>
    <s v="R. Njeri"/>
    <n v="1397"/>
    <n v="1009"/>
    <n v="8"/>
    <n v="1001"/>
    <n v="15.5"/>
    <n v="6.9"/>
    <n v="54.51"/>
    <n v="55000.59"/>
    <n v="436.08"/>
    <s v="Pass"/>
  </r>
  <r>
    <x v="185"/>
    <d v="2025-01-04T00:00:00"/>
    <x v="5"/>
    <x v="1"/>
    <s v="Line D"/>
    <s v="Water Treatment Chemicals"/>
    <x v="2"/>
    <s v="S. Kiptoo"/>
    <n v="1475"/>
    <n v="1279"/>
    <n v="35"/>
    <n v="1244"/>
    <n v="11.7"/>
    <n v="6.5"/>
    <n v="55.12"/>
    <n v="70498.48"/>
    <n v="1929.1999999999998"/>
    <s v="Review"/>
  </r>
  <r>
    <x v="186"/>
    <d v="2025-06-05T00:00:00"/>
    <x v="6"/>
    <x v="1"/>
    <s v="Line B"/>
    <s v="Protective Coatings"/>
    <x v="2"/>
    <s v="A. Wanjiku"/>
    <n v="982"/>
    <n v="1005"/>
    <n v="18"/>
    <n v="987"/>
    <n v="9.8000000000000007"/>
    <n v="7.9"/>
    <n v="55.16"/>
    <n v="55435.799999999996"/>
    <n v="992.87999999999988"/>
    <s v="Pass"/>
  </r>
  <r>
    <x v="187"/>
    <d v="2025-09-02T00:00:00"/>
    <x v="8"/>
    <x v="0"/>
    <s v="Line E"/>
    <s v="Industrial Cleaners"/>
    <x v="1"/>
    <s v="P. Otieno"/>
    <n v="704"/>
    <n v="661"/>
    <n v="3"/>
    <n v="658"/>
    <n v="11.2"/>
    <n v="7.5"/>
    <n v="55.43"/>
    <n v="36639.230000000003"/>
    <n v="166.29"/>
    <s v="Pass"/>
  </r>
  <r>
    <x v="188"/>
    <d v="2025-11-04T00:00:00"/>
    <x v="11"/>
    <x v="0"/>
    <s v="Line A"/>
    <s v="Water Treatment Chemicals"/>
    <x v="0"/>
    <s v="R. Njeri"/>
    <n v="709"/>
    <n v="731"/>
    <n v="4"/>
    <n v="727"/>
    <n v="34"/>
    <n v="6.6"/>
    <n v="55.44"/>
    <n v="40526.639999999999"/>
    <n v="221.76"/>
    <s v="Pass"/>
  </r>
  <r>
    <x v="189"/>
    <d v="2025-07-11T00:00:00"/>
    <x v="10"/>
    <x v="0"/>
    <s v="Line C"/>
    <s v="Packaging Resin"/>
    <x v="1"/>
    <s v="F. Ali"/>
    <n v="780"/>
    <n v="818"/>
    <n v="20"/>
    <n v="798"/>
    <n v="40.1"/>
    <n v="8.3000000000000007"/>
    <n v="55.47"/>
    <n v="45374.46"/>
    <n v="1109.4000000000001"/>
    <s v="Review"/>
  </r>
  <r>
    <x v="190"/>
    <d v="2025-12-26T00:00:00"/>
    <x v="3"/>
    <x v="2"/>
    <s v="Line E"/>
    <s v="Water Treatment Chemicals"/>
    <x v="0"/>
    <s v="D. Kamau"/>
    <n v="1056"/>
    <n v="976"/>
    <n v="5"/>
    <n v="971"/>
    <n v="34.799999999999997"/>
    <n v="8.1999999999999993"/>
    <n v="55.51"/>
    <n v="54177.759999999995"/>
    <n v="277.55"/>
    <s v="Pass"/>
  </r>
  <r>
    <x v="191"/>
    <d v="2025-12-03T00:00:00"/>
    <x v="3"/>
    <x v="1"/>
    <s v="Line E"/>
    <s v="Protective Coatings"/>
    <x v="0"/>
    <s v="J. Mwangi"/>
    <n v="1317"/>
    <n v="1327"/>
    <n v="29"/>
    <n v="1298"/>
    <n v="20.2"/>
    <n v="7.6"/>
    <n v="56.02"/>
    <n v="74338.540000000008"/>
    <n v="1624.5800000000002"/>
    <s v="Review"/>
  </r>
  <r>
    <x v="192"/>
    <d v="2025-12-15T00:00:00"/>
    <x v="3"/>
    <x v="0"/>
    <s v="Line C"/>
    <s v="Packaging Resin"/>
    <x v="0"/>
    <s v="S. Kiptoo"/>
    <n v="823"/>
    <n v="845"/>
    <n v="17"/>
    <n v="828"/>
    <n v="18"/>
    <n v="8.3000000000000007"/>
    <n v="56.09"/>
    <n v="47396.05"/>
    <n v="953.53000000000009"/>
    <s v="Review"/>
  </r>
  <r>
    <x v="193"/>
    <d v="2025-10-13T00:00:00"/>
    <x v="2"/>
    <x v="2"/>
    <s v="Line A"/>
    <s v="Construction Additives"/>
    <x v="1"/>
    <s v="D. Kamau"/>
    <n v="1351"/>
    <n v="1354"/>
    <n v="10"/>
    <n v="1344"/>
    <n v="27.5"/>
    <n v="8.4"/>
    <n v="56.27"/>
    <n v="76189.58"/>
    <n v="562.70000000000005"/>
    <s v="Pass"/>
  </r>
  <r>
    <x v="194"/>
    <d v="2025-12-30T00:00:00"/>
    <x v="3"/>
    <x v="2"/>
    <s v="Line D"/>
    <s v="Packaging Resin"/>
    <x v="2"/>
    <s v="J. Mwangi"/>
    <n v="1729"/>
    <n v="1599"/>
    <n v="47"/>
    <n v="1552"/>
    <n v="9.9"/>
    <n v="6.7"/>
    <n v="56.58"/>
    <n v="90471.42"/>
    <n v="2659.2599999999998"/>
    <s v="Review"/>
  </r>
  <r>
    <x v="195"/>
    <d v="2025-10-30T00:00:00"/>
    <x v="2"/>
    <x v="2"/>
    <s v="Line A"/>
    <s v="Industrial Cleaners"/>
    <x v="2"/>
    <s v="S. Kiptoo"/>
    <n v="1732"/>
    <n v="1736"/>
    <n v="39"/>
    <n v="1697"/>
    <n v="31.6"/>
    <n v="6.8"/>
    <n v="57.42"/>
    <n v="99681.12000000001"/>
    <n v="2239.38"/>
    <s v="Review"/>
  </r>
  <r>
    <x v="196"/>
    <d v="2025-09-07T00:00:00"/>
    <x v="8"/>
    <x v="0"/>
    <s v="Line D"/>
    <s v="Protective Coatings"/>
    <x v="2"/>
    <s v="S. Kiptoo"/>
    <n v="1073"/>
    <n v="1065"/>
    <n v="11"/>
    <n v="1054"/>
    <n v="26.9"/>
    <n v="7.9"/>
    <n v="57.86"/>
    <n v="61620.9"/>
    <n v="636.46"/>
    <s v="Pass"/>
  </r>
  <r>
    <x v="197"/>
    <d v="2025-06-09T00:00:00"/>
    <x v="6"/>
    <x v="0"/>
    <s v="Line D"/>
    <s v="Industrial Cleaners"/>
    <x v="2"/>
    <s v="D. Kamau"/>
    <n v="729"/>
    <n v="583"/>
    <n v="6"/>
    <n v="577"/>
    <n v="15.9"/>
    <n v="7.3"/>
    <n v="57.97"/>
    <n v="33796.51"/>
    <n v="347.82"/>
    <s v="Pass"/>
  </r>
  <r>
    <x v="198"/>
    <d v="2025-11-20T00:00:00"/>
    <x v="11"/>
    <x v="2"/>
    <s v="Line C"/>
    <s v="Water Treatment Chemicals"/>
    <x v="1"/>
    <s v="F. Ali"/>
    <n v="1260"/>
    <n v="1272"/>
    <n v="41"/>
    <n v="1231"/>
    <n v="36.299999999999997"/>
    <n v="6.3"/>
    <n v="58.1"/>
    <n v="73903.199999999997"/>
    <n v="2382.1"/>
    <s v="Review"/>
  </r>
  <r>
    <x v="199"/>
    <d v="2025-03-28T00:00:00"/>
    <x v="1"/>
    <x v="1"/>
    <s v="Line C"/>
    <s v="Construction Additives"/>
    <x v="1"/>
    <s v="P. Otieno"/>
    <n v="1598"/>
    <n v="1801"/>
    <n v="23"/>
    <n v="1778"/>
    <n v="55.4"/>
    <n v="6.5"/>
    <n v="58.34"/>
    <n v="105070.34000000001"/>
    <n v="1341.8200000000002"/>
    <s v="Pass"/>
  </r>
  <r>
    <x v="200"/>
    <d v="2025-07-18T00:00:00"/>
    <x v="10"/>
    <x v="1"/>
    <s v="Line C"/>
    <s v="Industrial Cleaners"/>
    <x v="2"/>
    <s v="P. Otieno"/>
    <n v="1347"/>
    <n v="1042"/>
    <n v="32"/>
    <n v="1010"/>
    <n v="12.3"/>
    <n v="6.3"/>
    <n v="58.66"/>
    <n v="61123.719999999994"/>
    <n v="1877.12"/>
    <s v="Review"/>
  </r>
  <r>
    <x v="201"/>
    <d v="2025-02-28T00:00:00"/>
    <x v="0"/>
    <x v="2"/>
    <s v="Line E"/>
    <s v="Water Treatment Chemicals"/>
    <x v="1"/>
    <s v="F. Ali"/>
    <n v="1380"/>
    <n v="1458"/>
    <n v="29"/>
    <n v="1429"/>
    <n v="33"/>
    <n v="6.5"/>
    <n v="58.73"/>
    <n v="85628.34"/>
    <n v="1703.1699999999998"/>
    <s v="Pass"/>
  </r>
  <r>
    <x v="202"/>
    <d v="2025-10-27T00:00:00"/>
    <x v="2"/>
    <x v="1"/>
    <s v="Line A"/>
    <s v="Protective Coatings"/>
    <x v="2"/>
    <s v="D. Kamau"/>
    <n v="1284"/>
    <n v="939"/>
    <n v="20"/>
    <n v="919"/>
    <n v="34.6"/>
    <n v="6.3"/>
    <n v="58.78"/>
    <n v="55194.42"/>
    <n v="1175.5999999999999"/>
    <s v="Review"/>
  </r>
  <r>
    <x v="203"/>
    <d v="2025-10-21T00:00:00"/>
    <x v="2"/>
    <x v="2"/>
    <s v="Line C"/>
    <s v="Packaging Resin"/>
    <x v="2"/>
    <s v="S. Kiptoo"/>
    <n v="1110"/>
    <n v="937"/>
    <n v="6"/>
    <n v="931"/>
    <n v="30"/>
    <n v="8.3000000000000007"/>
    <n v="58.83"/>
    <n v="55123.71"/>
    <n v="352.98"/>
    <s v="Pass"/>
  </r>
  <r>
    <x v="204"/>
    <d v="2025-07-29T00:00:00"/>
    <x v="10"/>
    <x v="2"/>
    <s v="Line E"/>
    <s v="Industrial Cleaners"/>
    <x v="2"/>
    <s v="R. Njeri"/>
    <n v="1105"/>
    <n v="939"/>
    <n v="27"/>
    <n v="912"/>
    <n v="54.8"/>
    <n v="7"/>
    <n v="58.84"/>
    <n v="55250.76"/>
    <n v="1588.68"/>
    <s v="Review"/>
  </r>
  <r>
    <x v="205"/>
    <d v="2025-01-28T00:00:00"/>
    <x v="5"/>
    <x v="2"/>
    <s v="Line E"/>
    <s v="Protective Coatings"/>
    <x v="2"/>
    <s v="M. Hassan"/>
    <n v="1002"/>
    <n v="805"/>
    <n v="24"/>
    <n v="781"/>
    <n v="54.2"/>
    <n v="6.7"/>
    <n v="58.96"/>
    <n v="47462.8"/>
    <n v="1415.04"/>
    <s v="Review"/>
  </r>
  <r>
    <x v="206"/>
    <d v="2025-06-22T00:00:00"/>
    <x v="6"/>
    <x v="0"/>
    <s v="Line D"/>
    <s v="Industrial Cleaners"/>
    <x v="0"/>
    <s v="D. Kamau"/>
    <n v="1493"/>
    <n v="1542"/>
    <n v="48"/>
    <n v="1494"/>
    <n v="14.6"/>
    <n v="6.5"/>
    <n v="59.05"/>
    <n v="91055.099999999991"/>
    <n v="2834.3999999999996"/>
    <s v="Review"/>
  </r>
  <r>
    <x v="207"/>
    <d v="2025-01-13T00:00:00"/>
    <x v="5"/>
    <x v="1"/>
    <s v="Line C"/>
    <s v="Construction Additives"/>
    <x v="1"/>
    <s v="R. Njeri"/>
    <n v="1759"/>
    <n v="1915"/>
    <n v="8"/>
    <n v="1907"/>
    <n v="44.5"/>
    <n v="7"/>
    <n v="59.14"/>
    <n v="113253.1"/>
    <n v="473.12"/>
    <s v="Pass"/>
  </r>
  <r>
    <x v="208"/>
    <d v="2025-04-27T00:00:00"/>
    <x v="4"/>
    <x v="0"/>
    <s v="Line B"/>
    <s v="Industrial Cleaners"/>
    <x v="0"/>
    <s v="M. Hassan"/>
    <n v="871"/>
    <n v="720"/>
    <n v="8"/>
    <n v="712"/>
    <n v="20"/>
    <n v="7"/>
    <n v="59.2"/>
    <n v="42624"/>
    <n v="473.6"/>
    <s v="Pass"/>
  </r>
  <r>
    <x v="209"/>
    <d v="2025-11-06T00:00:00"/>
    <x v="11"/>
    <x v="2"/>
    <s v="Line C"/>
    <s v="Industrial Cleaners"/>
    <x v="1"/>
    <s v="S. Kiptoo"/>
    <n v="1500"/>
    <n v="1388"/>
    <n v="7"/>
    <n v="1381"/>
    <n v="0.5"/>
    <n v="7.4"/>
    <n v="59.76"/>
    <n v="82946.87999999999"/>
    <n v="418.32"/>
    <s v="Pass"/>
  </r>
  <r>
    <x v="210"/>
    <d v="2025-10-02T00:00:00"/>
    <x v="2"/>
    <x v="0"/>
    <s v="Line D"/>
    <s v="Water Treatment Chemicals"/>
    <x v="1"/>
    <s v="D. Kamau"/>
    <n v="1594"/>
    <n v="1379"/>
    <n v="43"/>
    <n v="1336"/>
    <n v="26.6"/>
    <n v="6.6"/>
    <n v="59.91"/>
    <n v="82615.89"/>
    <n v="2576.1299999999997"/>
    <s v="Review"/>
  </r>
  <r>
    <x v="211"/>
    <d v="2025-08-02T00:00:00"/>
    <x v="9"/>
    <x v="2"/>
    <s v="Line C"/>
    <s v="Protective Coatings"/>
    <x v="0"/>
    <s v="S. Kiptoo"/>
    <n v="1785"/>
    <n v="1816"/>
    <n v="29"/>
    <n v="1787"/>
    <n v="34.700000000000003"/>
    <n v="7.9"/>
    <n v="60.36"/>
    <n v="109613.75999999999"/>
    <n v="1750.44"/>
    <s v="Pass"/>
  </r>
  <r>
    <x v="212"/>
    <d v="2025-10-13T00:00:00"/>
    <x v="2"/>
    <x v="2"/>
    <s v="Line C"/>
    <s v="Water Treatment Chemicals"/>
    <x v="1"/>
    <s v="A. Wanjiku"/>
    <n v="1375"/>
    <n v="1284"/>
    <n v="19"/>
    <n v="1265"/>
    <n v="33.799999999999997"/>
    <n v="7"/>
    <n v="61.05"/>
    <n v="78388.2"/>
    <n v="1159.95"/>
    <s v="Pass"/>
  </r>
  <r>
    <x v="213"/>
    <d v="2025-10-29T00:00:00"/>
    <x v="2"/>
    <x v="1"/>
    <s v="Line C"/>
    <s v="Construction Additives"/>
    <x v="2"/>
    <s v="F. Ali"/>
    <n v="1392"/>
    <n v="1416"/>
    <n v="23"/>
    <n v="1393"/>
    <n v="132.6"/>
    <n v="6.5"/>
    <n v="61.06"/>
    <n v="86460.96"/>
    <n v="1404.38"/>
    <s v="Pass"/>
  </r>
  <r>
    <x v="214"/>
    <d v="2025-05-02T00:00:00"/>
    <x v="7"/>
    <x v="1"/>
    <s v="Line D"/>
    <s v="Industrial Cleaners"/>
    <x v="0"/>
    <s v="J. Mwangi"/>
    <n v="1743"/>
    <n v="1682"/>
    <n v="7"/>
    <n v="1675"/>
    <n v="46.9"/>
    <n v="7.6"/>
    <n v="61.06"/>
    <n v="102702.92"/>
    <n v="427.42"/>
    <s v="Pass"/>
  </r>
  <r>
    <x v="215"/>
    <d v="2025-02-07T00:00:00"/>
    <x v="0"/>
    <x v="1"/>
    <s v="Line A"/>
    <s v="Packaging Resin"/>
    <x v="2"/>
    <s v="J. Mwangi"/>
    <n v="1646"/>
    <n v="1378"/>
    <n v="8"/>
    <n v="1370"/>
    <n v="2.1"/>
    <n v="7.7"/>
    <n v="61.15"/>
    <n v="84264.7"/>
    <n v="489.2"/>
    <s v="Pass"/>
  </r>
  <r>
    <x v="216"/>
    <d v="2025-01-16T00:00:00"/>
    <x v="5"/>
    <x v="1"/>
    <s v="Line C"/>
    <s v="Packaging Resin"/>
    <x v="2"/>
    <s v="J. Mwangi"/>
    <n v="1439"/>
    <n v="1336"/>
    <n v="12"/>
    <n v="1324"/>
    <n v="25.2"/>
    <n v="6.2"/>
    <n v="61.42"/>
    <n v="82057.119999999995"/>
    <n v="737.04"/>
    <s v="Pass"/>
  </r>
  <r>
    <x v="217"/>
    <d v="2025-10-30T00:00:00"/>
    <x v="2"/>
    <x v="2"/>
    <s v="Line A"/>
    <s v="Packaging Resin"/>
    <x v="0"/>
    <s v="R. Njeri"/>
    <n v="1417"/>
    <n v="1164"/>
    <n v="22"/>
    <n v="1142"/>
    <n v="30"/>
    <n v="6.7"/>
    <n v="61.52"/>
    <n v="71609.279999999999"/>
    <n v="1353.44"/>
    <s v="Pass"/>
  </r>
  <r>
    <x v="218"/>
    <d v="2025-01-21T00:00:00"/>
    <x v="5"/>
    <x v="0"/>
    <s v="Line E"/>
    <s v="Construction Additives"/>
    <x v="2"/>
    <s v="S. Kiptoo"/>
    <n v="1005"/>
    <n v="1040"/>
    <n v="4"/>
    <n v="1036"/>
    <n v="21.9"/>
    <n v="7.7"/>
    <n v="61.65"/>
    <n v="64116"/>
    <n v="246.6"/>
    <s v="Pass"/>
  </r>
  <r>
    <x v="219"/>
    <d v="2025-04-13T00:00:00"/>
    <x v="4"/>
    <x v="0"/>
    <s v="Line B"/>
    <s v="Packaging Resin"/>
    <x v="1"/>
    <s v="R. Njeri"/>
    <n v="1175"/>
    <n v="1306"/>
    <n v="27"/>
    <n v="1279"/>
    <n v="15.4"/>
    <n v="6.8"/>
    <n v="61.91"/>
    <n v="80854.459999999992"/>
    <n v="1671.57"/>
    <s v="Review"/>
  </r>
  <r>
    <x v="220"/>
    <d v="2025-04-28T00:00:00"/>
    <x v="4"/>
    <x v="0"/>
    <s v="Line C"/>
    <s v="Water Treatment Chemicals"/>
    <x v="1"/>
    <s v="S. Kiptoo"/>
    <n v="1708"/>
    <n v="1735"/>
    <n v="16"/>
    <n v="1719"/>
    <n v="49.6"/>
    <n v="7.7"/>
    <n v="63.3"/>
    <n v="109825.5"/>
    <n v="1012.8"/>
    <s v="Pass"/>
  </r>
  <r>
    <x v="221"/>
    <d v="2025-06-29T00:00:00"/>
    <x v="6"/>
    <x v="1"/>
    <s v="Line A"/>
    <s v="Industrial Cleaners"/>
    <x v="2"/>
    <s v="D. Kamau"/>
    <n v="966"/>
    <n v="771"/>
    <n v="6"/>
    <n v="765"/>
    <n v="151.19999999999999"/>
    <n v="7.8"/>
    <n v="63.35"/>
    <n v="48842.85"/>
    <n v="380.1"/>
    <s v="Pass"/>
  </r>
  <r>
    <x v="222"/>
    <d v="2025-06-01T00:00:00"/>
    <x v="6"/>
    <x v="2"/>
    <s v="Line A"/>
    <s v="Construction Additives"/>
    <x v="1"/>
    <s v="D. Kamau"/>
    <n v="896"/>
    <n v="753"/>
    <n v="9"/>
    <n v="744"/>
    <n v="11.4"/>
    <n v="7.2"/>
    <n v="63.68"/>
    <n v="47951.040000000001"/>
    <n v="573.12"/>
    <s v="Pass"/>
  </r>
  <r>
    <x v="223"/>
    <d v="2025-05-30T00:00:00"/>
    <x v="7"/>
    <x v="0"/>
    <s v="Line C"/>
    <s v="Protective Coatings"/>
    <x v="2"/>
    <s v="A. Wanjiku"/>
    <n v="936"/>
    <n v="853"/>
    <n v="26"/>
    <n v="827"/>
    <n v="44.8"/>
    <n v="6.8"/>
    <n v="63.82"/>
    <n v="54438.46"/>
    <n v="1659.32"/>
    <s v="Review"/>
  </r>
  <r>
    <x v="224"/>
    <d v="2025-02-02T00:00:00"/>
    <x v="0"/>
    <x v="2"/>
    <s v="Line A"/>
    <s v="Packaging Resin"/>
    <x v="2"/>
    <s v="J. Mwangi"/>
    <n v="1627"/>
    <n v="1801"/>
    <n v="31"/>
    <n v="1770"/>
    <n v="77.2"/>
    <n v="7"/>
    <n v="63.92"/>
    <n v="115119.92"/>
    <n v="1981.52"/>
    <s v="Pass"/>
  </r>
  <r>
    <x v="225"/>
    <d v="2025-07-12T00:00:00"/>
    <x v="10"/>
    <x v="0"/>
    <s v="Line E"/>
    <s v="Protective Coatings"/>
    <x v="1"/>
    <s v="S. Kiptoo"/>
    <n v="1714"/>
    <n v="1784"/>
    <n v="48"/>
    <n v="1736"/>
    <n v="69.900000000000006"/>
    <n v="6.7"/>
    <n v="64.25"/>
    <n v="114622"/>
    <n v="3084"/>
    <s v="Review"/>
  </r>
  <r>
    <x v="226"/>
    <d v="2025-02-26T00:00:00"/>
    <x v="0"/>
    <x v="1"/>
    <s v="Line E"/>
    <s v="Industrial Cleaners"/>
    <x v="1"/>
    <s v="P. Otieno"/>
    <n v="1490"/>
    <n v="1172"/>
    <n v="22"/>
    <n v="1150"/>
    <n v="36.799999999999997"/>
    <n v="6.3"/>
    <n v="64.400000000000006"/>
    <n v="75476.800000000003"/>
    <n v="1416.8000000000002"/>
    <s v="Pass"/>
  </r>
  <r>
    <x v="227"/>
    <d v="2025-07-24T00:00:00"/>
    <x v="10"/>
    <x v="1"/>
    <s v="Line E"/>
    <s v="Water Treatment Chemicals"/>
    <x v="0"/>
    <s v="A. Wanjiku"/>
    <n v="1647"/>
    <n v="1591"/>
    <n v="42"/>
    <n v="1549"/>
    <n v="33.299999999999997"/>
    <n v="7.2"/>
    <n v="64.72"/>
    <n v="102969.52"/>
    <n v="2718.24"/>
    <s v="Review"/>
  </r>
  <r>
    <x v="228"/>
    <d v="2025-08-30T00:00:00"/>
    <x v="9"/>
    <x v="2"/>
    <s v="Line B"/>
    <s v="Industrial Cleaners"/>
    <x v="0"/>
    <s v="S. Kiptoo"/>
    <n v="901"/>
    <n v="966"/>
    <n v="32"/>
    <n v="934"/>
    <n v="30.8"/>
    <n v="7.8"/>
    <n v="64.86"/>
    <n v="62654.76"/>
    <n v="2075.52"/>
    <s v="Review"/>
  </r>
  <r>
    <x v="229"/>
    <d v="2025-03-13T00:00:00"/>
    <x v="1"/>
    <x v="2"/>
    <s v="Line A"/>
    <s v="Water Treatment Chemicals"/>
    <x v="0"/>
    <s v="J. Mwangi"/>
    <n v="942"/>
    <n v="818"/>
    <n v="18"/>
    <n v="800"/>
    <n v="46.1"/>
    <n v="7.2"/>
    <n v="65.069999999999993"/>
    <n v="53227.259999999995"/>
    <n v="1171.2599999999998"/>
    <s v="Review"/>
  </r>
  <r>
    <x v="230"/>
    <d v="2025-09-12T00:00:00"/>
    <x v="8"/>
    <x v="1"/>
    <s v="Line B"/>
    <s v="Protective Coatings"/>
    <x v="1"/>
    <s v="F. Ali"/>
    <n v="766"/>
    <n v="742"/>
    <n v="18"/>
    <n v="724"/>
    <n v="107"/>
    <n v="8.4"/>
    <n v="65.11"/>
    <n v="48311.62"/>
    <n v="1171.98"/>
    <s v="Review"/>
  </r>
  <r>
    <x v="231"/>
    <d v="2025-06-30T00:00:00"/>
    <x v="6"/>
    <x v="0"/>
    <s v="Line E"/>
    <s v="Packaging Resin"/>
    <x v="1"/>
    <s v="R. Njeri"/>
    <n v="929"/>
    <n v="877"/>
    <n v="13"/>
    <n v="864"/>
    <n v="49.3"/>
    <n v="7.9"/>
    <n v="65.19"/>
    <n v="57171.63"/>
    <n v="847.47"/>
    <s v="Pass"/>
  </r>
  <r>
    <x v="232"/>
    <d v="2025-07-22T00:00:00"/>
    <x v="10"/>
    <x v="1"/>
    <s v="Line A"/>
    <s v="Protective Coatings"/>
    <x v="0"/>
    <s v="F. Ali"/>
    <n v="827"/>
    <n v="871"/>
    <n v="25"/>
    <n v="846"/>
    <n v="3.9"/>
    <n v="8.1"/>
    <n v="65.28"/>
    <n v="56858.879999999997"/>
    <n v="1632"/>
    <s v="Review"/>
  </r>
  <r>
    <x v="233"/>
    <d v="2025-12-05T00:00:00"/>
    <x v="3"/>
    <x v="1"/>
    <s v="Line A"/>
    <s v="Construction Additives"/>
    <x v="1"/>
    <s v="F. Ali"/>
    <n v="1628"/>
    <n v="1599"/>
    <n v="17"/>
    <n v="1582"/>
    <n v="85"/>
    <n v="8.1999999999999993"/>
    <n v="65.489999999999995"/>
    <n v="104718.51"/>
    <n v="1113.33"/>
    <s v="Pass"/>
  </r>
  <r>
    <x v="234"/>
    <d v="2025-05-14T00:00:00"/>
    <x v="7"/>
    <x v="0"/>
    <s v="Line D"/>
    <s v="Industrial Cleaners"/>
    <x v="1"/>
    <s v="M. Hassan"/>
    <n v="1318"/>
    <n v="1361"/>
    <n v="37"/>
    <n v="1324"/>
    <n v="5.8"/>
    <n v="7.9"/>
    <n v="66.05"/>
    <n v="89894.05"/>
    <n v="2443.85"/>
    <s v="Review"/>
  </r>
  <r>
    <x v="235"/>
    <d v="2025-09-30T00:00:00"/>
    <x v="8"/>
    <x v="0"/>
    <s v="Line A"/>
    <s v="Packaging Resin"/>
    <x v="0"/>
    <s v="D. Kamau"/>
    <n v="791"/>
    <n v="803"/>
    <n v="7"/>
    <n v="796"/>
    <n v="8.1"/>
    <n v="6.3"/>
    <n v="66.260000000000005"/>
    <n v="53206.780000000006"/>
    <n v="463.82000000000005"/>
    <s v="Pass"/>
  </r>
  <r>
    <x v="236"/>
    <d v="2025-12-23T00:00:00"/>
    <x v="3"/>
    <x v="1"/>
    <s v="Line B"/>
    <s v="Industrial Cleaners"/>
    <x v="1"/>
    <s v="A. Wanjiku"/>
    <n v="1552"/>
    <n v="1467"/>
    <n v="48"/>
    <n v="1419"/>
    <n v="28.4"/>
    <n v="7.1"/>
    <n v="66.680000000000007"/>
    <n v="97819.560000000012"/>
    <n v="3200.6400000000003"/>
    <s v="Review"/>
  </r>
  <r>
    <x v="237"/>
    <d v="2025-11-16T00:00:00"/>
    <x v="11"/>
    <x v="0"/>
    <s v="Line D"/>
    <s v="Industrial Cleaners"/>
    <x v="0"/>
    <s v="F. Ali"/>
    <n v="819"/>
    <n v="711"/>
    <n v="16"/>
    <n v="695"/>
    <n v="66.099999999999994"/>
    <n v="7.1"/>
    <n v="66.760000000000005"/>
    <n v="47466.36"/>
    <n v="1068.1600000000001"/>
    <s v="Review"/>
  </r>
  <r>
    <x v="238"/>
    <d v="2025-02-02T00:00:00"/>
    <x v="0"/>
    <x v="1"/>
    <s v="Line C"/>
    <s v="Industrial Cleaners"/>
    <x v="2"/>
    <s v="S. Kiptoo"/>
    <n v="1378"/>
    <n v="1308"/>
    <n v="39"/>
    <n v="1269"/>
    <n v="26"/>
    <n v="7.2"/>
    <n v="66.91"/>
    <n v="87518.28"/>
    <n v="2609.4899999999998"/>
    <s v="Review"/>
  </r>
  <r>
    <x v="239"/>
    <d v="2025-05-19T00:00:00"/>
    <x v="7"/>
    <x v="2"/>
    <s v="Line D"/>
    <s v="Industrial Cleaners"/>
    <x v="1"/>
    <s v="P. Otieno"/>
    <n v="942"/>
    <n v="740"/>
    <n v="14"/>
    <n v="726"/>
    <n v="37.299999999999997"/>
    <n v="8.3000000000000007"/>
    <n v="66.95"/>
    <n v="49543"/>
    <n v="937.30000000000007"/>
    <s v="Pass"/>
  </r>
  <r>
    <x v="240"/>
    <d v="2025-06-02T00:00:00"/>
    <x v="6"/>
    <x v="2"/>
    <s v="Line E"/>
    <s v="Water Treatment Chemicals"/>
    <x v="2"/>
    <s v="R. Njeri"/>
    <n v="1672"/>
    <n v="1598"/>
    <n v="34"/>
    <n v="1564"/>
    <n v="24.6"/>
    <n v="7.9"/>
    <n v="67.87"/>
    <n v="108456.26000000001"/>
    <n v="2307.58"/>
    <s v="Review"/>
  </r>
  <r>
    <x v="241"/>
    <d v="2025-11-27T00:00:00"/>
    <x v="11"/>
    <x v="0"/>
    <s v="Line A"/>
    <s v="Packaging Resin"/>
    <x v="2"/>
    <s v="R. Njeri"/>
    <n v="1638"/>
    <n v="1563"/>
    <n v="15"/>
    <n v="1548"/>
    <n v="69.099999999999994"/>
    <n v="6.8"/>
    <n v="68.05"/>
    <n v="106362.15"/>
    <n v="1020.75"/>
    <s v="Pass"/>
  </r>
  <r>
    <x v="242"/>
    <d v="2025-04-20T00:00:00"/>
    <x v="4"/>
    <x v="1"/>
    <s v="Line E"/>
    <s v="Protective Coatings"/>
    <x v="2"/>
    <s v="M. Hassan"/>
    <n v="1037"/>
    <n v="1075"/>
    <n v="11"/>
    <n v="1064"/>
    <n v="3.5"/>
    <n v="7.1"/>
    <n v="68.05"/>
    <n v="73153.75"/>
    <n v="748.55"/>
    <s v="Pass"/>
  </r>
  <r>
    <x v="243"/>
    <d v="2025-12-20T00:00:00"/>
    <x v="3"/>
    <x v="2"/>
    <s v="Line E"/>
    <s v="Packaging Resin"/>
    <x v="1"/>
    <s v="A. Wanjiku"/>
    <n v="1018"/>
    <n v="985"/>
    <n v="10"/>
    <n v="975"/>
    <n v="17.399999999999999"/>
    <n v="8.1"/>
    <n v="68.7"/>
    <n v="67669.5"/>
    <n v="687"/>
    <s v="Pass"/>
  </r>
  <r>
    <x v="244"/>
    <d v="2025-06-06T00:00:00"/>
    <x v="6"/>
    <x v="1"/>
    <s v="Line E"/>
    <s v="Protective Coatings"/>
    <x v="2"/>
    <s v="S. Kiptoo"/>
    <n v="1627"/>
    <n v="1526"/>
    <n v="34"/>
    <n v="1492"/>
    <n v="41"/>
    <n v="6.8"/>
    <n v="68.81"/>
    <n v="105004.06"/>
    <n v="2339.54"/>
    <s v="Review"/>
  </r>
  <r>
    <x v="245"/>
    <d v="2025-08-20T00:00:00"/>
    <x v="9"/>
    <x v="2"/>
    <s v="Line A"/>
    <s v="Industrial Cleaners"/>
    <x v="1"/>
    <s v="M. Hassan"/>
    <n v="770"/>
    <n v="798"/>
    <n v="11"/>
    <n v="787"/>
    <n v="101.3"/>
    <n v="7.6"/>
    <n v="69.13"/>
    <n v="55165.74"/>
    <n v="760.43"/>
    <s v="Pass"/>
  </r>
  <r>
    <x v="246"/>
    <d v="2025-02-13T00:00:00"/>
    <x v="0"/>
    <x v="2"/>
    <s v="Line C"/>
    <s v="Protective Coatings"/>
    <x v="1"/>
    <s v="F. Ali"/>
    <n v="1046"/>
    <n v="1061"/>
    <n v="5"/>
    <n v="1056"/>
    <n v="44"/>
    <n v="8.4"/>
    <n v="69.17"/>
    <n v="73389.37"/>
    <n v="345.85"/>
    <s v="Pass"/>
  </r>
  <r>
    <x v="247"/>
    <d v="2025-05-29T00:00:00"/>
    <x v="7"/>
    <x v="1"/>
    <s v="Line D"/>
    <s v="Industrial Cleaners"/>
    <x v="1"/>
    <s v="A. Wanjiku"/>
    <n v="1435"/>
    <n v="1359"/>
    <n v="8"/>
    <n v="1351"/>
    <n v="56.3"/>
    <n v="8.4"/>
    <n v="69.430000000000007"/>
    <n v="94355.37000000001"/>
    <n v="555.44000000000005"/>
    <s v="Pass"/>
  </r>
  <r>
    <x v="248"/>
    <d v="2025-01-22T00:00:00"/>
    <x v="5"/>
    <x v="2"/>
    <s v="Line B"/>
    <s v="Construction Additives"/>
    <x v="0"/>
    <s v="F. Ali"/>
    <n v="1243"/>
    <n v="1270"/>
    <n v="27"/>
    <n v="1243"/>
    <n v="93.8"/>
    <n v="6.9"/>
    <n v="69.900000000000006"/>
    <n v="88773"/>
    <n v="1887.3000000000002"/>
    <s v="Review"/>
  </r>
  <r>
    <x v="249"/>
    <d v="2025-10-12T00:00:00"/>
    <x v="2"/>
    <x v="1"/>
    <s v="Line D"/>
    <s v="Packaging Resin"/>
    <x v="0"/>
    <s v="A. Wanjiku"/>
    <n v="1784"/>
    <n v="1637"/>
    <n v="29"/>
    <n v="1608"/>
    <n v="20.3"/>
    <n v="8.4"/>
    <n v="70.27"/>
    <n v="115031.98999999999"/>
    <n v="2037.83"/>
    <s v="Pass"/>
  </r>
  <r>
    <x v="250"/>
    <d v="2025-08-31T00:00:00"/>
    <x v="9"/>
    <x v="1"/>
    <s v="Line B"/>
    <s v="Industrial Cleaners"/>
    <x v="0"/>
    <s v="D. Kamau"/>
    <n v="1774"/>
    <n v="1603"/>
    <n v="21"/>
    <n v="1582"/>
    <n v="21.8"/>
    <n v="7.6"/>
    <n v="70.36"/>
    <n v="112787.08"/>
    <n v="1477.56"/>
    <s v="Pass"/>
  </r>
  <r>
    <x v="251"/>
    <d v="2025-03-02T00:00:00"/>
    <x v="1"/>
    <x v="2"/>
    <s v="Line A"/>
    <s v="Industrial Cleaners"/>
    <x v="2"/>
    <s v="D. Kamau"/>
    <n v="1757"/>
    <n v="1655"/>
    <n v="39"/>
    <n v="1616"/>
    <n v="50.9"/>
    <n v="7.9"/>
    <n v="70.739999999999995"/>
    <n v="117074.7"/>
    <n v="2758.8599999999997"/>
    <s v="Review"/>
  </r>
  <r>
    <x v="252"/>
    <d v="2025-02-09T00:00:00"/>
    <x v="0"/>
    <x v="0"/>
    <s v="Line C"/>
    <s v="Water Treatment Chemicals"/>
    <x v="1"/>
    <s v="D. Kamau"/>
    <n v="1356"/>
    <n v="1345"/>
    <n v="33"/>
    <n v="1312"/>
    <n v="76.400000000000006"/>
    <n v="8.4"/>
    <n v="70.95"/>
    <n v="95427.75"/>
    <n v="2341.35"/>
    <s v="Review"/>
  </r>
  <r>
    <x v="253"/>
    <d v="2025-03-31T00:00:00"/>
    <x v="1"/>
    <x v="1"/>
    <s v="Line C"/>
    <s v="Industrial Cleaners"/>
    <x v="1"/>
    <s v="A. Wanjiku"/>
    <n v="1740"/>
    <n v="1908"/>
    <n v="47"/>
    <n v="1861"/>
    <n v="33.799999999999997"/>
    <n v="6.7"/>
    <n v="71.16"/>
    <n v="135773.28"/>
    <n v="3344.52"/>
    <s v="Review"/>
  </r>
  <r>
    <x v="254"/>
    <d v="2025-02-04T00:00:00"/>
    <x v="0"/>
    <x v="2"/>
    <s v="Line A"/>
    <s v="Construction Additives"/>
    <x v="1"/>
    <s v="A. Wanjiku"/>
    <n v="1330"/>
    <n v="1198"/>
    <n v="6"/>
    <n v="1192"/>
    <n v="50.7"/>
    <n v="7.6"/>
    <n v="71.16"/>
    <n v="85249.68"/>
    <n v="426.96"/>
    <s v="Pass"/>
  </r>
  <r>
    <x v="255"/>
    <d v="2025-10-12T00:00:00"/>
    <x v="2"/>
    <x v="2"/>
    <s v="Line C"/>
    <s v="Packaging Resin"/>
    <x v="0"/>
    <s v="F. Ali"/>
    <n v="1682"/>
    <n v="1596"/>
    <n v="30"/>
    <n v="1566"/>
    <n v="42.6"/>
    <n v="8.3000000000000007"/>
    <n v="71.25"/>
    <n v="113715"/>
    <n v="2137.5"/>
    <s v="Pass"/>
  </r>
  <r>
    <x v="256"/>
    <d v="2025-11-22T00:00:00"/>
    <x v="11"/>
    <x v="2"/>
    <s v="Line D"/>
    <s v="Packaging Resin"/>
    <x v="2"/>
    <s v="A. Wanjiku"/>
    <n v="918"/>
    <n v="1010"/>
    <n v="30"/>
    <n v="980"/>
    <n v="41.2"/>
    <n v="8.5"/>
    <n v="71.36"/>
    <n v="72073.600000000006"/>
    <n v="2140.8000000000002"/>
    <s v="Review"/>
  </r>
  <r>
    <x v="257"/>
    <d v="2025-09-29T00:00:00"/>
    <x v="8"/>
    <x v="2"/>
    <s v="Line A"/>
    <s v="Industrial Cleaners"/>
    <x v="2"/>
    <s v="A. Wanjiku"/>
    <n v="790"/>
    <n v="804"/>
    <n v="18"/>
    <n v="786"/>
    <n v="41.5"/>
    <n v="6.9"/>
    <n v="71.39"/>
    <n v="57397.56"/>
    <n v="1285.02"/>
    <s v="Review"/>
  </r>
  <r>
    <x v="258"/>
    <d v="2025-06-08T00:00:00"/>
    <x v="6"/>
    <x v="1"/>
    <s v="Line D"/>
    <s v="Industrial Cleaners"/>
    <x v="0"/>
    <s v="F. Ali"/>
    <n v="1550"/>
    <n v="1495"/>
    <n v="49"/>
    <n v="1446"/>
    <n v="82.2"/>
    <n v="7.4"/>
    <n v="71.66"/>
    <n v="107131.7"/>
    <n v="3511.3399999999997"/>
    <s v="Review"/>
  </r>
  <r>
    <x v="259"/>
    <d v="2025-01-08T00:00:00"/>
    <x v="5"/>
    <x v="1"/>
    <s v="Line E"/>
    <s v="Packaging Resin"/>
    <x v="0"/>
    <s v="M. Hassan"/>
    <n v="1575"/>
    <n v="1480"/>
    <n v="15"/>
    <n v="1465"/>
    <n v="8.9"/>
    <n v="6.7"/>
    <n v="71.849999999999994"/>
    <n v="106337.99999999999"/>
    <n v="1077.75"/>
    <s v="Pass"/>
  </r>
  <r>
    <x v="260"/>
    <d v="2025-08-06T00:00:00"/>
    <x v="9"/>
    <x v="2"/>
    <s v="Line B"/>
    <s v="Water Treatment Chemicals"/>
    <x v="2"/>
    <s v="R. Njeri"/>
    <n v="1356"/>
    <n v="1376"/>
    <n v="11"/>
    <n v="1365"/>
    <n v="19.100000000000001"/>
    <n v="7.3"/>
    <n v="71.89"/>
    <n v="98920.639999999999"/>
    <n v="790.79"/>
    <s v="Pass"/>
  </r>
  <r>
    <x v="261"/>
    <d v="2025-10-14T00:00:00"/>
    <x v="2"/>
    <x v="1"/>
    <s v="Line A"/>
    <s v="Water Treatment Chemicals"/>
    <x v="0"/>
    <s v="M. Hassan"/>
    <n v="1760"/>
    <n v="1797"/>
    <n v="61"/>
    <n v="1736"/>
    <n v="56.8"/>
    <n v="7.5"/>
    <n v="71.97"/>
    <n v="129330.09"/>
    <n v="4390.17"/>
    <s v="Review"/>
  </r>
  <r>
    <x v="262"/>
    <d v="2025-02-13T00:00:00"/>
    <x v="0"/>
    <x v="0"/>
    <s v="Line E"/>
    <s v="Water Treatment Chemicals"/>
    <x v="2"/>
    <s v="R. Njeri"/>
    <n v="782"/>
    <n v="726"/>
    <n v="7"/>
    <n v="719"/>
    <n v="20.9"/>
    <n v="7.4"/>
    <n v="72.13"/>
    <n v="52366.38"/>
    <n v="504.90999999999997"/>
    <s v="Pass"/>
  </r>
  <r>
    <x v="263"/>
    <d v="2025-05-27T00:00:00"/>
    <x v="7"/>
    <x v="2"/>
    <s v="Line E"/>
    <s v="Industrial Cleaners"/>
    <x v="1"/>
    <s v="R. Njeri"/>
    <n v="1460"/>
    <n v="1686"/>
    <n v="20"/>
    <n v="1666"/>
    <n v="125.3"/>
    <n v="6.8"/>
    <n v="72.34"/>
    <n v="121965.24"/>
    <n v="1446.8000000000002"/>
    <s v="Pass"/>
  </r>
  <r>
    <x v="264"/>
    <d v="2025-02-09T00:00:00"/>
    <x v="0"/>
    <x v="2"/>
    <s v="Line D"/>
    <s v="Packaging Resin"/>
    <x v="1"/>
    <s v="F. Ali"/>
    <n v="1144"/>
    <n v="871"/>
    <n v="25"/>
    <n v="846"/>
    <n v="77.599999999999994"/>
    <n v="6.3"/>
    <n v="72.41"/>
    <n v="63069.11"/>
    <n v="1810.25"/>
    <s v="Review"/>
  </r>
  <r>
    <x v="265"/>
    <d v="2025-06-02T00:00:00"/>
    <x v="6"/>
    <x v="2"/>
    <s v="Line A"/>
    <s v="Protective Coatings"/>
    <x v="2"/>
    <s v="P. Otieno"/>
    <n v="947"/>
    <n v="1085"/>
    <n v="33"/>
    <n v="1052"/>
    <n v="46.4"/>
    <n v="7.6"/>
    <n v="72.489999999999995"/>
    <n v="78651.649999999994"/>
    <n v="2392.1699999999996"/>
    <s v="Review"/>
  </r>
  <r>
    <x v="266"/>
    <d v="2025-11-16T00:00:00"/>
    <x v="11"/>
    <x v="2"/>
    <s v="Line E"/>
    <s v="Packaging Resin"/>
    <x v="0"/>
    <s v="D. Kamau"/>
    <n v="1788"/>
    <n v="1628"/>
    <n v="30"/>
    <n v="1598"/>
    <n v="9.6"/>
    <n v="6.4"/>
    <n v="72.88"/>
    <n v="118648.64"/>
    <n v="2186.3999999999996"/>
    <s v="Pass"/>
  </r>
  <r>
    <x v="267"/>
    <d v="2025-04-02T00:00:00"/>
    <x v="4"/>
    <x v="2"/>
    <s v="Line B"/>
    <s v="Protective Coatings"/>
    <x v="2"/>
    <s v="R. Njeri"/>
    <n v="1574"/>
    <n v="1385"/>
    <n v="22"/>
    <n v="1363"/>
    <n v="11.6"/>
    <n v="7.4"/>
    <n v="72.91"/>
    <n v="100980.34999999999"/>
    <n v="1604.02"/>
    <s v="Pass"/>
  </r>
  <r>
    <x v="268"/>
    <d v="2025-08-06T00:00:00"/>
    <x v="9"/>
    <x v="1"/>
    <s v="Line E"/>
    <s v="Packaging Resin"/>
    <x v="0"/>
    <s v="S. Kiptoo"/>
    <n v="812"/>
    <n v="734"/>
    <n v="12"/>
    <n v="722"/>
    <n v="33.4"/>
    <n v="6.2"/>
    <n v="73.040000000000006"/>
    <n v="53611.360000000008"/>
    <n v="876.48"/>
    <s v="Pass"/>
  </r>
  <r>
    <x v="269"/>
    <d v="2025-10-31T00:00:00"/>
    <x v="2"/>
    <x v="0"/>
    <s v="Line B"/>
    <s v="Protective Coatings"/>
    <x v="0"/>
    <s v="A. Wanjiku"/>
    <n v="781"/>
    <n v="705"/>
    <n v="14"/>
    <n v="691"/>
    <n v="28"/>
    <n v="7.3"/>
    <n v="73.19"/>
    <n v="51598.95"/>
    <n v="1024.6599999999999"/>
    <s v="Pass"/>
  </r>
  <r>
    <x v="270"/>
    <d v="2025-07-26T00:00:00"/>
    <x v="10"/>
    <x v="1"/>
    <s v="Line B"/>
    <s v="Industrial Cleaners"/>
    <x v="2"/>
    <s v="P. Otieno"/>
    <n v="1708"/>
    <n v="1577"/>
    <n v="7"/>
    <n v="1570"/>
    <n v="42.6"/>
    <n v="6"/>
    <n v="73.41"/>
    <n v="115767.56999999999"/>
    <n v="513.87"/>
    <s v="Pass"/>
  </r>
  <r>
    <x v="271"/>
    <d v="2025-07-02T00:00:00"/>
    <x v="10"/>
    <x v="2"/>
    <s v="Line E"/>
    <s v="Water Treatment Chemicals"/>
    <x v="1"/>
    <s v="F. Ali"/>
    <n v="1419"/>
    <n v="1230"/>
    <n v="24"/>
    <n v="1206"/>
    <n v="14.2"/>
    <n v="7.3"/>
    <n v="73.459999999999994"/>
    <n v="90355.799999999988"/>
    <n v="1763.04"/>
    <s v="Pass"/>
  </r>
  <r>
    <x v="272"/>
    <d v="2025-03-26T00:00:00"/>
    <x v="1"/>
    <x v="2"/>
    <s v="Line B"/>
    <s v="Industrial Cleaners"/>
    <x v="1"/>
    <s v="M. Hassan"/>
    <n v="775"/>
    <n v="703"/>
    <n v="15"/>
    <n v="688"/>
    <n v="54.1"/>
    <n v="7.7"/>
    <n v="73.52"/>
    <n v="51684.56"/>
    <n v="1102.8"/>
    <s v="Review"/>
  </r>
  <r>
    <x v="273"/>
    <d v="2025-09-16T00:00:00"/>
    <x v="8"/>
    <x v="0"/>
    <s v="Line D"/>
    <s v="Water Treatment Chemicals"/>
    <x v="2"/>
    <s v="R. Njeri"/>
    <n v="1257"/>
    <n v="1280"/>
    <n v="12"/>
    <n v="1268"/>
    <n v="30.6"/>
    <n v="8"/>
    <n v="73.569999999999993"/>
    <n v="94169.599999999991"/>
    <n v="882.83999999999992"/>
    <s v="Pass"/>
  </r>
  <r>
    <x v="274"/>
    <d v="2025-09-19T00:00:00"/>
    <x v="8"/>
    <x v="1"/>
    <s v="Line A"/>
    <s v="Water Treatment Chemicals"/>
    <x v="2"/>
    <s v="P. Otieno"/>
    <n v="1650"/>
    <n v="1325"/>
    <n v="7"/>
    <n v="1318"/>
    <n v="78.900000000000006"/>
    <n v="6.6"/>
    <n v="73.61"/>
    <n v="97533.25"/>
    <n v="515.27"/>
    <s v="Pass"/>
  </r>
  <r>
    <x v="275"/>
    <d v="2025-12-04T00:00:00"/>
    <x v="3"/>
    <x v="0"/>
    <s v="Line E"/>
    <s v="Protective Coatings"/>
    <x v="0"/>
    <s v="D. Kamau"/>
    <n v="1129"/>
    <n v="1022"/>
    <n v="11"/>
    <n v="1011"/>
    <n v="50"/>
    <n v="7.3"/>
    <n v="73.63"/>
    <n v="75249.86"/>
    <n v="809.93"/>
    <s v="Pass"/>
  </r>
  <r>
    <x v="276"/>
    <d v="2025-01-25T00:00:00"/>
    <x v="5"/>
    <x v="1"/>
    <s v="Line C"/>
    <s v="Protective Coatings"/>
    <x v="1"/>
    <s v="F. Ali"/>
    <n v="1749"/>
    <n v="1604"/>
    <n v="45"/>
    <n v="1559"/>
    <n v="165.7"/>
    <n v="7.1"/>
    <n v="73.66"/>
    <n v="118150.64"/>
    <n v="3314.7"/>
    <s v="Review"/>
  </r>
  <r>
    <x v="277"/>
    <d v="2025-08-30T00:00:00"/>
    <x v="9"/>
    <x v="0"/>
    <s v="Line C"/>
    <s v="Protective Coatings"/>
    <x v="0"/>
    <s v="F. Ali"/>
    <n v="1008"/>
    <n v="994"/>
    <n v="23"/>
    <n v="971"/>
    <n v="13.6"/>
    <n v="7.2"/>
    <n v="73.8"/>
    <n v="73357.2"/>
    <n v="1697.3999999999999"/>
    <s v="Review"/>
  </r>
  <r>
    <x v="278"/>
    <d v="2025-08-17T00:00:00"/>
    <x v="9"/>
    <x v="2"/>
    <s v="Line D"/>
    <s v="Water Treatment Chemicals"/>
    <x v="0"/>
    <s v="R. Njeri"/>
    <n v="1015"/>
    <n v="947"/>
    <n v="28"/>
    <n v="919"/>
    <n v="77"/>
    <n v="6.8"/>
    <n v="73.86"/>
    <n v="69945.42"/>
    <n v="2068.08"/>
    <s v="Review"/>
  </r>
  <r>
    <x v="279"/>
    <d v="2025-11-07T00:00:00"/>
    <x v="11"/>
    <x v="0"/>
    <s v="Line B"/>
    <s v="Industrial Cleaners"/>
    <x v="1"/>
    <s v="P. Otieno"/>
    <n v="857"/>
    <n v="757"/>
    <n v="18"/>
    <n v="739"/>
    <n v="33.799999999999997"/>
    <n v="6.2"/>
    <n v="74.010000000000005"/>
    <n v="56025.570000000007"/>
    <n v="1332.18"/>
    <s v="Review"/>
  </r>
  <r>
    <x v="280"/>
    <d v="2025-03-02T00:00:00"/>
    <x v="1"/>
    <x v="0"/>
    <s v="Line B"/>
    <s v="Industrial Cleaners"/>
    <x v="0"/>
    <s v="F. Ali"/>
    <n v="1650"/>
    <n v="1761"/>
    <n v="41"/>
    <n v="1720"/>
    <n v="22.6"/>
    <n v="6.3"/>
    <n v="74.010000000000005"/>
    <n v="130331.61000000002"/>
    <n v="3034.4100000000003"/>
    <s v="Review"/>
  </r>
  <r>
    <x v="281"/>
    <d v="2025-08-23T00:00:00"/>
    <x v="9"/>
    <x v="1"/>
    <s v="Line C"/>
    <s v="Packaging Resin"/>
    <x v="1"/>
    <s v="M. Hassan"/>
    <n v="1593"/>
    <n v="1560"/>
    <n v="23"/>
    <n v="1537"/>
    <n v="54.9"/>
    <n v="8.1"/>
    <n v="74.180000000000007"/>
    <n v="115720.80000000002"/>
    <n v="1706.14"/>
    <s v="Pass"/>
  </r>
  <r>
    <x v="282"/>
    <d v="2025-12-08T00:00:00"/>
    <x v="3"/>
    <x v="0"/>
    <s v="Line A"/>
    <s v="Industrial Cleaners"/>
    <x v="0"/>
    <s v="R. Njeri"/>
    <n v="1610"/>
    <n v="1511"/>
    <n v="13"/>
    <n v="1498"/>
    <n v="4.0999999999999996"/>
    <n v="6"/>
    <n v="74.55"/>
    <n v="112645.05"/>
    <n v="969.15"/>
    <s v="Pass"/>
  </r>
  <r>
    <x v="283"/>
    <d v="2025-11-05T00:00:00"/>
    <x v="11"/>
    <x v="0"/>
    <s v="Line A"/>
    <s v="Water Treatment Chemicals"/>
    <x v="1"/>
    <s v="A. Wanjiku"/>
    <n v="1319"/>
    <n v="1240"/>
    <n v="22"/>
    <n v="1218"/>
    <n v="59.7"/>
    <n v="7.5"/>
    <n v="74.8"/>
    <n v="92752"/>
    <n v="1645.6"/>
    <s v="Pass"/>
  </r>
  <r>
    <x v="284"/>
    <d v="2025-04-21T00:00:00"/>
    <x v="4"/>
    <x v="2"/>
    <s v="Line D"/>
    <s v="Water Treatment Chemicals"/>
    <x v="1"/>
    <s v="S. Kiptoo"/>
    <n v="941"/>
    <n v="1000"/>
    <n v="7"/>
    <n v="993"/>
    <n v="37.4"/>
    <n v="7.6"/>
    <n v="74.989999999999995"/>
    <n v="74990"/>
    <n v="524.92999999999995"/>
    <s v="Pass"/>
  </r>
  <r>
    <x v="285"/>
    <d v="2025-09-15T00:00:00"/>
    <x v="8"/>
    <x v="2"/>
    <s v="Line E"/>
    <s v="Construction Additives"/>
    <x v="1"/>
    <s v="F. Ali"/>
    <n v="1051"/>
    <n v="848"/>
    <n v="25"/>
    <n v="823"/>
    <n v="38.799999999999997"/>
    <n v="6.1"/>
    <n v="75.099999999999994"/>
    <n v="63684.799999999996"/>
    <n v="1877.4999999999998"/>
    <s v="Review"/>
  </r>
  <r>
    <x v="286"/>
    <d v="2025-04-11T00:00:00"/>
    <x v="4"/>
    <x v="2"/>
    <s v="Line C"/>
    <s v="Protective Coatings"/>
    <x v="2"/>
    <s v="M. Hassan"/>
    <n v="1185"/>
    <n v="1179"/>
    <n v="26"/>
    <n v="1153"/>
    <n v="46.5"/>
    <n v="6.7"/>
    <n v="75.27"/>
    <n v="88743.33"/>
    <n v="1957.02"/>
    <s v="Review"/>
  </r>
  <r>
    <x v="287"/>
    <d v="2025-11-09T00:00:00"/>
    <x v="11"/>
    <x v="0"/>
    <s v="Line A"/>
    <s v="Construction Additives"/>
    <x v="2"/>
    <s v="M. Hassan"/>
    <n v="1184"/>
    <n v="1144"/>
    <n v="17"/>
    <n v="1127"/>
    <n v="22.5"/>
    <n v="6.8"/>
    <n v="75.28"/>
    <n v="86120.320000000007"/>
    <n v="1279.76"/>
    <s v="Pass"/>
  </r>
  <r>
    <x v="288"/>
    <d v="2025-10-22T00:00:00"/>
    <x v="2"/>
    <x v="2"/>
    <s v="Line D"/>
    <s v="Construction Additives"/>
    <x v="1"/>
    <s v="M. Hassan"/>
    <n v="832"/>
    <n v="855"/>
    <n v="5"/>
    <n v="850"/>
    <n v="16.2"/>
    <n v="8.5"/>
    <n v="75.83"/>
    <n v="64834.65"/>
    <n v="379.15"/>
    <s v="Pass"/>
  </r>
  <r>
    <x v="289"/>
    <d v="2025-09-19T00:00:00"/>
    <x v="8"/>
    <x v="2"/>
    <s v="Line A"/>
    <s v="Water Treatment Chemicals"/>
    <x v="0"/>
    <s v="P. Otieno"/>
    <n v="1226"/>
    <n v="1120"/>
    <n v="32"/>
    <n v="1088"/>
    <n v="35.200000000000003"/>
    <n v="6.7"/>
    <n v="76.239999999999995"/>
    <n v="85388.799999999988"/>
    <n v="2439.6799999999998"/>
    <s v="Review"/>
  </r>
  <r>
    <x v="290"/>
    <d v="2025-10-31T00:00:00"/>
    <x v="2"/>
    <x v="2"/>
    <s v="Line A"/>
    <s v="Industrial Cleaners"/>
    <x v="0"/>
    <s v="P. Otieno"/>
    <n v="871"/>
    <n v="793"/>
    <n v="25"/>
    <n v="768"/>
    <n v="21.2"/>
    <n v="7.8"/>
    <n v="76.88"/>
    <n v="60965.84"/>
    <n v="1922"/>
    <s v="Review"/>
  </r>
  <r>
    <x v="291"/>
    <d v="2025-04-08T00:00:00"/>
    <x v="4"/>
    <x v="0"/>
    <s v="Line A"/>
    <s v="Packaging Resin"/>
    <x v="1"/>
    <s v="F. Ali"/>
    <n v="1460"/>
    <n v="1393"/>
    <n v="13"/>
    <n v="1380"/>
    <n v="72.8"/>
    <n v="6.5"/>
    <n v="76.91"/>
    <n v="107135.62999999999"/>
    <n v="999.82999999999993"/>
    <s v="Pass"/>
  </r>
  <r>
    <x v="292"/>
    <d v="2025-08-18T00:00:00"/>
    <x v="9"/>
    <x v="1"/>
    <s v="Line B"/>
    <s v="Water Treatment Chemicals"/>
    <x v="2"/>
    <s v="S. Kiptoo"/>
    <n v="1095"/>
    <n v="998"/>
    <n v="32"/>
    <n v="966"/>
    <n v="87.7"/>
    <n v="6.5"/>
    <n v="77.66"/>
    <n v="77504.679999999993"/>
    <n v="2485.12"/>
    <s v="Review"/>
  </r>
  <r>
    <x v="293"/>
    <d v="2025-07-18T00:00:00"/>
    <x v="10"/>
    <x v="0"/>
    <s v="Line C"/>
    <s v="Construction Additives"/>
    <x v="2"/>
    <s v="R. Njeri"/>
    <n v="780"/>
    <n v="690"/>
    <n v="23"/>
    <n v="667"/>
    <n v="30.8"/>
    <n v="7.9"/>
    <n v="77.900000000000006"/>
    <n v="53751.000000000007"/>
    <n v="1791.7"/>
    <s v="Review"/>
  </r>
  <r>
    <x v="294"/>
    <d v="2025-09-26T00:00:00"/>
    <x v="8"/>
    <x v="1"/>
    <s v="Line A"/>
    <s v="Construction Additives"/>
    <x v="1"/>
    <s v="P. Otieno"/>
    <n v="1199"/>
    <n v="1241"/>
    <n v="17"/>
    <n v="1224"/>
    <n v="35.799999999999997"/>
    <n v="7.6"/>
    <n v="78.19"/>
    <n v="97033.79"/>
    <n v="1329.23"/>
    <s v="Pass"/>
  </r>
  <r>
    <x v="295"/>
    <d v="2025-05-07T00:00:00"/>
    <x v="7"/>
    <x v="2"/>
    <s v="Line E"/>
    <s v="Construction Additives"/>
    <x v="1"/>
    <s v="F. Ali"/>
    <n v="746"/>
    <n v="633"/>
    <n v="11"/>
    <n v="622"/>
    <n v="75.400000000000006"/>
    <n v="8.4"/>
    <n v="78.31"/>
    <n v="49570.23"/>
    <n v="861.41000000000008"/>
    <s v="Pass"/>
  </r>
  <r>
    <x v="296"/>
    <d v="2025-01-16T00:00:00"/>
    <x v="5"/>
    <x v="1"/>
    <s v="Line C"/>
    <s v="Construction Additives"/>
    <x v="2"/>
    <s v="R. Njeri"/>
    <n v="947"/>
    <n v="808"/>
    <n v="20"/>
    <n v="788"/>
    <n v="37.9"/>
    <n v="6.3"/>
    <n v="78.33"/>
    <n v="63290.64"/>
    <n v="1566.6"/>
    <s v="Review"/>
  </r>
  <r>
    <x v="297"/>
    <d v="2025-02-25T00:00:00"/>
    <x v="0"/>
    <x v="0"/>
    <s v="Line A"/>
    <s v="Protective Coatings"/>
    <x v="2"/>
    <s v="S. Kiptoo"/>
    <n v="1795"/>
    <n v="1697"/>
    <n v="30"/>
    <n v="1667"/>
    <n v="40.6"/>
    <n v="8.1999999999999993"/>
    <n v="78.400000000000006"/>
    <n v="133044.80000000002"/>
    <n v="2352"/>
    <s v="Pass"/>
  </r>
  <r>
    <x v="298"/>
    <d v="2025-12-17T00:00:00"/>
    <x v="3"/>
    <x v="0"/>
    <s v="Line B"/>
    <s v="Construction Additives"/>
    <x v="1"/>
    <s v="J. Mwangi"/>
    <n v="1591"/>
    <n v="1617"/>
    <n v="40"/>
    <n v="1577"/>
    <n v="54.4"/>
    <n v="6.2"/>
    <n v="78.59"/>
    <n v="127080.03"/>
    <n v="3143.6000000000004"/>
    <s v="Review"/>
  </r>
  <r>
    <x v="299"/>
    <d v="2025-03-29T00:00:00"/>
    <x v="1"/>
    <x v="1"/>
    <s v="Line D"/>
    <s v="Protective Coatings"/>
    <x v="2"/>
    <s v="R. Njeri"/>
    <n v="1128"/>
    <n v="1013"/>
    <n v="25"/>
    <n v="988"/>
    <n v="31.7"/>
    <n v="6.2"/>
    <n v="79.099999999999994"/>
    <n v="80128.299999999988"/>
    <n v="1977.4999999999998"/>
    <s v="Review"/>
  </r>
  <r>
    <x v="300"/>
    <d v="2025-07-02T00:00:00"/>
    <x v="10"/>
    <x v="2"/>
    <s v="Line D"/>
    <s v="Water Treatment Chemicals"/>
    <x v="2"/>
    <s v="S. Kiptoo"/>
    <n v="1733"/>
    <n v="1438"/>
    <n v="36"/>
    <n v="1402"/>
    <n v="27.1"/>
    <n v="8"/>
    <n v="79.400000000000006"/>
    <n v="114177.20000000001"/>
    <n v="2858.4"/>
    <s v="Review"/>
  </r>
  <r>
    <x v="301"/>
    <d v="2025-10-01T00:00:00"/>
    <x v="2"/>
    <x v="0"/>
    <s v="Line A"/>
    <s v="Construction Additives"/>
    <x v="0"/>
    <s v="D. Kamau"/>
    <n v="1596"/>
    <n v="1445"/>
    <n v="22"/>
    <n v="1423"/>
    <n v="86.4"/>
    <n v="6.6"/>
    <n v="80.430000000000007"/>
    <n v="116221.35"/>
    <n v="1769.46"/>
    <s v="Pass"/>
  </r>
  <r>
    <x v="302"/>
    <d v="2025-01-17T00:00:00"/>
    <x v="5"/>
    <x v="2"/>
    <s v="Line E"/>
    <s v="Protective Coatings"/>
    <x v="0"/>
    <s v="D. Kamau"/>
    <n v="1152"/>
    <n v="906"/>
    <n v="28"/>
    <n v="878"/>
    <n v="47.5"/>
    <n v="8"/>
    <n v="80.59"/>
    <n v="73014.540000000008"/>
    <n v="2256.52"/>
    <s v="Review"/>
  </r>
  <r>
    <x v="303"/>
    <d v="2025-03-24T00:00:00"/>
    <x v="1"/>
    <x v="0"/>
    <s v="Line D"/>
    <s v="Protective Coatings"/>
    <x v="2"/>
    <s v="A. Wanjiku"/>
    <n v="1174"/>
    <n v="1120"/>
    <n v="14"/>
    <n v="1106"/>
    <n v="27.9"/>
    <n v="8.1"/>
    <n v="80.760000000000005"/>
    <n v="90451.200000000012"/>
    <n v="1130.6400000000001"/>
    <s v="Pass"/>
  </r>
  <r>
    <x v="304"/>
    <d v="2025-08-30T00:00:00"/>
    <x v="9"/>
    <x v="0"/>
    <s v="Line A"/>
    <s v="Packaging Resin"/>
    <x v="0"/>
    <s v="P. Otieno"/>
    <n v="757"/>
    <n v="849"/>
    <n v="22"/>
    <n v="827"/>
    <n v="43"/>
    <n v="8.1"/>
    <n v="81.05"/>
    <n v="68811.45"/>
    <n v="1783.1"/>
    <s v="Review"/>
  </r>
  <r>
    <x v="305"/>
    <d v="2025-03-27T00:00:00"/>
    <x v="1"/>
    <x v="2"/>
    <s v="Line C"/>
    <s v="Water Treatment Chemicals"/>
    <x v="0"/>
    <s v="J. Mwangi"/>
    <n v="1530"/>
    <n v="1380"/>
    <n v="11"/>
    <n v="1369"/>
    <n v="49.6"/>
    <n v="8.4"/>
    <n v="81.33"/>
    <n v="112235.4"/>
    <n v="894.63"/>
    <s v="Pass"/>
  </r>
  <r>
    <x v="306"/>
    <d v="2025-09-13T00:00:00"/>
    <x v="8"/>
    <x v="2"/>
    <s v="Line D"/>
    <s v="Water Treatment Chemicals"/>
    <x v="2"/>
    <s v="P. Otieno"/>
    <n v="1458"/>
    <n v="1386"/>
    <n v="41"/>
    <n v="1345"/>
    <n v="24.8"/>
    <n v="6.9"/>
    <n v="81.349999999999994"/>
    <n v="112751.09999999999"/>
    <n v="3335.35"/>
    <s v="Review"/>
  </r>
  <r>
    <x v="307"/>
    <d v="2025-02-07T00:00:00"/>
    <x v="0"/>
    <x v="0"/>
    <s v="Line A"/>
    <s v="Construction Additives"/>
    <x v="0"/>
    <s v="S. Kiptoo"/>
    <n v="1425"/>
    <n v="1392"/>
    <n v="41"/>
    <n v="1351"/>
    <n v="29.3"/>
    <n v="7.9"/>
    <n v="81.540000000000006"/>
    <n v="113503.68000000001"/>
    <n v="3343.1400000000003"/>
    <s v="Review"/>
  </r>
  <r>
    <x v="308"/>
    <d v="2025-08-26T00:00:00"/>
    <x v="9"/>
    <x v="2"/>
    <s v="Line A"/>
    <s v="Packaging Resin"/>
    <x v="1"/>
    <s v="F. Ali"/>
    <n v="1585"/>
    <n v="1501"/>
    <n v="18"/>
    <n v="1483"/>
    <n v="42.7"/>
    <n v="6.3"/>
    <n v="81.650000000000006"/>
    <n v="122556.65000000001"/>
    <n v="1469.7"/>
    <s v="Pass"/>
  </r>
  <r>
    <x v="309"/>
    <d v="2025-08-12T00:00:00"/>
    <x v="9"/>
    <x v="2"/>
    <s v="Line D"/>
    <s v="Protective Coatings"/>
    <x v="2"/>
    <s v="A. Wanjiku"/>
    <n v="720"/>
    <n v="702"/>
    <n v="11"/>
    <n v="691"/>
    <n v="31.5"/>
    <n v="8.3000000000000007"/>
    <n v="81.81"/>
    <n v="57430.62"/>
    <n v="899.91000000000008"/>
    <s v="Pass"/>
  </r>
  <r>
    <x v="310"/>
    <d v="2025-06-11T00:00:00"/>
    <x v="6"/>
    <x v="1"/>
    <s v="Line B"/>
    <s v="Industrial Cleaners"/>
    <x v="0"/>
    <s v="D. Kamau"/>
    <n v="1648"/>
    <n v="1709"/>
    <n v="27"/>
    <n v="1682"/>
    <n v="49.4"/>
    <n v="6.6"/>
    <n v="81.84"/>
    <n v="139864.56"/>
    <n v="2209.6800000000003"/>
    <s v="Pass"/>
  </r>
  <r>
    <x v="311"/>
    <d v="2025-07-02T00:00:00"/>
    <x v="10"/>
    <x v="0"/>
    <s v="Line B"/>
    <s v="Packaging Resin"/>
    <x v="2"/>
    <s v="M. Hassan"/>
    <n v="832"/>
    <n v="889"/>
    <n v="8"/>
    <n v="881"/>
    <n v="82.1"/>
    <n v="6.3"/>
    <n v="82.08"/>
    <n v="72969.119999999995"/>
    <n v="656.64"/>
    <s v="Pass"/>
  </r>
  <r>
    <x v="312"/>
    <d v="2025-08-10T00:00:00"/>
    <x v="9"/>
    <x v="0"/>
    <s v="Line C"/>
    <s v="Industrial Cleaners"/>
    <x v="0"/>
    <s v="A. Wanjiku"/>
    <n v="1755"/>
    <n v="1702"/>
    <n v="11"/>
    <n v="1691"/>
    <n v="25.3"/>
    <n v="7"/>
    <n v="82.26"/>
    <n v="140006.52000000002"/>
    <n v="904.86"/>
    <s v="Pass"/>
  </r>
  <r>
    <x v="313"/>
    <d v="2025-08-20T00:00:00"/>
    <x v="9"/>
    <x v="1"/>
    <s v="Line E"/>
    <s v="Packaging Resin"/>
    <x v="2"/>
    <s v="M. Hassan"/>
    <n v="738"/>
    <n v="643"/>
    <n v="2"/>
    <n v="641"/>
    <n v="38.4"/>
    <n v="7.3"/>
    <n v="82.41"/>
    <n v="52989.63"/>
    <n v="164.82"/>
    <s v="Pass"/>
  </r>
  <r>
    <x v="314"/>
    <d v="2025-05-16T00:00:00"/>
    <x v="7"/>
    <x v="1"/>
    <s v="Line D"/>
    <s v="Water Treatment Chemicals"/>
    <x v="0"/>
    <s v="M. Hassan"/>
    <n v="822"/>
    <n v="842"/>
    <n v="25"/>
    <n v="817"/>
    <n v="31.9"/>
    <n v="6"/>
    <n v="82.54"/>
    <n v="69498.680000000008"/>
    <n v="2063.5"/>
    <s v="Review"/>
  </r>
  <r>
    <x v="315"/>
    <d v="2025-08-24T00:00:00"/>
    <x v="9"/>
    <x v="0"/>
    <s v="Line E"/>
    <s v="Protective Coatings"/>
    <x v="1"/>
    <s v="J. Mwangi"/>
    <n v="1204"/>
    <n v="978"/>
    <n v="32"/>
    <n v="946"/>
    <n v="69.900000000000006"/>
    <n v="6.4"/>
    <n v="82.56"/>
    <n v="80743.680000000008"/>
    <n v="2641.92"/>
    <s v="Review"/>
  </r>
  <r>
    <x v="316"/>
    <d v="2025-08-23T00:00:00"/>
    <x v="9"/>
    <x v="1"/>
    <s v="Line E"/>
    <s v="Protective Coatings"/>
    <x v="2"/>
    <s v="R. Njeri"/>
    <n v="736"/>
    <n v="691"/>
    <n v="20"/>
    <n v="671"/>
    <n v="40.5"/>
    <n v="7.2"/>
    <n v="82.62"/>
    <n v="57090.420000000006"/>
    <n v="1652.4"/>
    <s v="Review"/>
  </r>
  <r>
    <x v="317"/>
    <d v="2025-02-08T00:00:00"/>
    <x v="0"/>
    <x v="0"/>
    <s v="Line D"/>
    <s v="Industrial Cleaners"/>
    <x v="2"/>
    <s v="M. Hassan"/>
    <n v="1587"/>
    <n v="1408"/>
    <n v="32"/>
    <n v="1376"/>
    <n v="36.799999999999997"/>
    <n v="7.1"/>
    <n v="82.81"/>
    <n v="116596.48000000001"/>
    <n v="2649.92"/>
    <s v="Review"/>
  </r>
  <r>
    <x v="318"/>
    <d v="2025-07-08T00:00:00"/>
    <x v="10"/>
    <x v="1"/>
    <s v="Line C"/>
    <s v="Industrial Cleaners"/>
    <x v="0"/>
    <s v="J. Mwangi"/>
    <n v="815"/>
    <n v="747"/>
    <n v="15"/>
    <n v="732"/>
    <n v="16.399999999999999"/>
    <n v="8"/>
    <n v="82.94"/>
    <n v="61956.18"/>
    <n v="1244.0999999999999"/>
    <s v="Review"/>
  </r>
  <r>
    <x v="319"/>
    <d v="2025-12-04T00:00:00"/>
    <x v="3"/>
    <x v="1"/>
    <s v="Line B"/>
    <s v="Water Treatment Chemicals"/>
    <x v="1"/>
    <s v="S. Kiptoo"/>
    <n v="866"/>
    <n v="713"/>
    <n v="3"/>
    <n v="710"/>
    <n v="118.6"/>
    <n v="8"/>
    <n v="83.09"/>
    <n v="59243.170000000006"/>
    <n v="249.27"/>
    <s v="Pass"/>
  </r>
  <r>
    <x v="320"/>
    <d v="2025-12-04T00:00:00"/>
    <x v="3"/>
    <x v="2"/>
    <s v="Line A"/>
    <s v="Construction Additives"/>
    <x v="2"/>
    <s v="F. Ali"/>
    <n v="1111"/>
    <n v="1004"/>
    <n v="22"/>
    <n v="982"/>
    <n v="33.1"/>
    <n v="6.1"/>
    <n v="83.42"/>
    <n v="83753.680000000008"/>
    <n v="1835.24"/>
    <s v="Review"/>
  </r>
  <r>
    <x v="321"/>
    <d v="2025-09-21T00:00:00"/>
    <x v="8"/>
    <x v="1"/>
    <s v="Line C"/>
    <s v="Industrial Cleaners"/>
    <x v="0"/>
    <s v="M. Hassan"/>
    <n v="1131"/>
    <n v="1024"/>
    <n v="35"/>
    <n v="989"/>
    <n v="46.2"/>
    <n v="6.5"/>
    <n v="83.5"/>
    <n v="85504"/>
    <n v="2922.5"/>
    <s v="Review"/>
  </r>
  <r>
    <x v="322"/>
    <d v="2025-11-01T00:00:00"/>
    <x v="11"/>
    <x v="2"/>
    <s v="Line B"/>
    <s v="Construction Additives"/>
    <x v="1"/>
    <s v="M. Hassan"/>
    <n v="1545"/>
    <n v="1581"/>
    <n v="55"/>
    <n v="1526"/>
    <n v="28"/>
    <n v="6.4"/>
    <n v="83.88"/>
    <n v="132614.28"/>
    <n v="4613.3999999999996"/>
    <s v="Review"/>
  </r>
  <r>
    <x v="323"/>
    <d v="2025-09-06T00:00:00"/>
    <x v="8"/>
    <x v="0"/>
    <s v="Line A"/>
    <s v="Packaging Resin"/>
    <x v="2"/>
    <s v="P. Otieno"/>
    <n v="1112"/>
    <n v="1174"/>
    <n v="18"/>
    <n v="1156"/>
    <n v="77.5"/>
    <n v="6.8"/>
    <n v="83.88"/>
    <n v="98475.12"/>
    <n v="1509.84"/>
    <s v="Pass"/>
  </r>
  <r>
    <x v="324"/>
    <d v="2025-07-19T00:00:00"/>
    <x v="10"/>
    <x v="1"/>
    <s v="Line C"/>
    <s v="Packaging Resin"/>
    <x v="1"/>
    <s v="S. Kiptoo"/>
    <n v="1118"/>
    <n v="989"/>
    <n v="30"/>
    <n v="959"/>
    <n v="18.2"/>
    <n v="7.8"/>
    <n v="84.01"/>
    <n v="83085.89"/>
    <n v="2520.3000000000002"/>
    <s v="Review"/>
  </r>
  <r>
    <x v="325"/>
    <d v="2025-03-05T00:00:00"/>
    <x v="1"/>
    <x v="1"/>
    <s v="Line E"/>
    <s v="Water Treatment Chemicals"/>
    <x v="1"/>
    <s v="J. Mwangi"/>
    <n v="1041"/>
    <n v="1207"/>
    <n v="16"/>
    <n v="1191"/>
    <n v="33.799999999999997"/>
    <n v="8.1"/>
    <n v="84.05"/>
    <n v="101448.34999999999"/>
    <n v="1344.8"/>
    <s v="Pass"/>
  </r>
  <r>
    <x v="326"/>
    <d v="2025-02-28T00:00:00"/>
    <x v="0"/>
    <x v="1"/>
    <s v="Line A"/>
    <s v="Water Treatment Chemicals"/>
    <x v="1"/>
    <s v="J. Mwangi"/>
    <n v="994"/>
    <n v="830"/>
    <n v="2"/>
    <n v="828"/>
    <n v="24.5"/>
    <n v="8"/>
    <n v="84.07"/>
    <n v="69778.099999999991"/>
    <n v="168.14"/>
    <s v="Pass"/>
  </r>
  <r>
    <x v="327"/>
    <d v="2025-02-21T00:00:00"/>
    <x v="0"/>
    <x v="0"/>
    <s v="Line B"/>
    <s v="Packaging Resin"/>
    <x v="2"/>
    <s v="D. Kamau"/>
    <n v="1365"/>
    <n v="1259"/>
    <n v="18"/>
    <n v="1241"/>
    <n v="42.3"/>
    <n v="6.9"/>
    <n v="84.63"/>
    <n v="106549.17"/>
    <n v="1523.34"/>
    <s v="Pass"/>
  </r>
  <r>
    <x v="328"/>
    <d v="2025-02-25T00:00:00"/>
    <x v="0"/>
    <x v="2"/>
    <s v="Line D"/>
    <s v="Packaging Resin"/>
    <x v="2"/>
    <s v="R. Njeri"/>
    <n v="1114"/>
    <n v="1011"/>
    <n v="17"/>
    <n v="994"/>
    <n v="71.400000000000006"/>
    <n v="7"/>
    <n v="84.71"/>
    <n v="85641.81"/>
    <n v="1440.07"/>
    <s v="Pass"/>
  </r>
  <r>
    <x v="329"/>
    <d v="2025-04-23T00:00:00"/>
    <x v="4"/>
    <x v="2"/>
    <s v="Line A"/>
    <s v="Water Treatment Chemicals"/>
    <x v="1"/>
    <s v="R. Njeri"/>
    <n v="1498"/>
    <n v="1437"/>
    <n v="49"/>
    <n v="1388"/>
    <n v="37"/>
    <n v="8.5"/>
    <n v="84.9"/>
    <n v="122001.3"/>
    <n v="4160.1000000000004"/>
    <s v="Review"/>
  </r>
  <r>
    <x v="330"/>
    <d v="2025-01-08T00:00:00"/>
    <x v="5"/>
    <x v="0"/>
    <s v="Line C"/>
    <s v="Industrial Cleaners"/>
    <x v="0"/>
    <s v="D. Kamau"/>
    <n v="740"/>
    <n v="614"/>
    <n v="20"/>
    <n v="594"/>
    <n v="102.4"/>
    <n v="7.2"/>
    <n v="85.14"/>
    <n v="52275.96"/>
    <n v="1702.8"/>
    <s v="Review"/>
  </r>
  <r>
    <x v="331"/>
    <d v="2025-05-03T00:00:00"/>
    <x v="7"/>
    <x v="0"/>
    <s v="Line C"/>
    <s v="Construction Additives"/>
    <x v="2"/>
    <s v="F. Ali"/>
    <n v="1479"/>
    <n v="1522"/>
    <n v="26"/>
    <n v="1496"/>
    <n v="87.6"/>
    <n v="6.5"/>
    <n v="85.26"/>
    <n v="129765.72"/>
    <n v="2216.7600000000002"/>
    <s v="Pass"/>
  </r>
  <r>
    <x v="332"/>
    <d v="2025-08-04T00:00:00"/>
    <x v="9"/>
    <x v="2"/>
    <s v="Line E"/>
    <s v="Packaging Resin"/>
    <x v="1"/>
    <s v="M. Hassan"/>
    <n v="1430"/>
    <n v="1358"/>
    <n v="39"/>
    <n v="1319"/>
    <n v="44.3"/>
    <n v="7.8"/>
    <n v="85.35"/>
    <n v="115905.29999999999"/>
    <n v="3328.6499999999996"/>
    <s v="Review"/>
  </r>
  <r>
    <x v="333"/>
    <d v="2025-11-07T00:00:00"/>
    <x v="11"/>
    <x v="2"/>
    <s v="Line D"/>
    <s v="Construction Additives"/>
    <x v="2"/>
    <s v="P. Otieno"/>
    <n v="1431"/>
    <n v="1108"/>
    <n v="17"/>
    <n v="1091"/>
    <n v="27.7"/>
    <n v="6.9"/>
    <n v="85.81"/>
    <n v="95077.48"/>
    <n v="1458.77"/>
    <s v="Pass"/>
  </r>
  <r>
    <x v="334"/>
    <d v="2025-07-02T00:00:00"/>
    <x v="10"/>
    <x v="2"/>
    <s v="Line E"/>
    <s v="Packaging Resin"/>
    <x v="0"/>
    <s v="R. Njeri"/>
    <n v="1705"/>
    <n v="1523"/>
    <n v="33"/>
    <n v="1490"/>
    <n v="17.600000000000001"/>
    <n v="6.6"/>
    <n v="86.95"/>
    <n v="132424.85"/>
    <n v="2869.35"/>
    <s v="Review"/>
  </r>
  <r>
    <x v="335"/>
    <d v="2025-10-07T00:00:00"/>
    <x v="2"/>
    <x v="2"/>
    <s v="Line B"/>
    <s v="Industrial Cleaners"/>
    <x v="0"/>
    <s v="A. Wanjiku"/>
    <n v="1271"/>
    <n v="1320"/>
    <n v="29"/>
    <n v="1291"/>
    <n v="24"/>
    <n v="6.4"/>
    <n v="87.01"/>
    <n v="114853.20000000001"/>
    <n v="2523.29"/>
    <s v="Review"/>
  </r>
  <r>
    <x v="336"/>
    <d v="2025-11-09T00:00:00"/>
    <x v="11"/>
    <x v="2"/>
    <s v="Line C"/>
    <s v="Industrial Cleaners"/>
    <x v="0"/>
    <s v="P. Otieno"/>
    <n v="1463"/>
    <n v="1527"/>
    <n v="16"/>
    <n v="1511"/>
    <n v="13.5"/>
    <n v="8.1"/>
    <n v="87.32"/>
    <n v="133337.63999999998"/>
    <n v="1397.12"/>
    <s v="Pass"/>
  </r>
  <r>
    <x v="337"/>
    <d v="2025-04-02T00:00:00"/>
    <x v="4"/>
    <x v="2"/>
    <s v="Line B"/>
    <s v="Protective Coatings"/>
    <x v="0"/>
    <s v="D. Kamau"/>
    <n v="912"/>
    <n v="984"/>
    <n v="14"/>
    <n v="970"/>
    <n v="46.5"/>
    <n v="7.6"/>
    <n v="87.36"/>
    <n v="85962.240000000005"/>
    <n v="1223.04"/>
    <s v="Pass"/>
  </r>
  <r>
    <x v="338"/>
    <d v="2025-02-21T00:00:00"/>
    <x v="0"/>
    <x v="2"/>
    <s v="Line B"/>
    <s v="Industrial Cleaners"/>
    <x v="1"/>
    <s v="J. Mwangi"/>
    <n v="965"/>
    <n v="841"/>
    <n v="9"/>
    <n v="832"/>
    <n v="26.6"/>
    <n v="6.8"/>
    <n v="87.5"/>
    <n v="73587.5"/>
    <n v="787.5"/>
    <s v="Pass"/>
  </r>
  <r>
    <x v="339"/>
    <d v="2025-06-11T00:00:00"/>
    <x v="6"/>
    <x v="1"/>
    <s v="Line C"/>
    <s v="Protective Coatings"/>
    <x v="0"/>
    <s v="S. Kiptoo"/>
    <n v="1049"/>
    <n v="964"/>
    <n v="12"/>
    <n v="952"/>
    <n v="25.3"/>
    <n v="8"/>
    <n v="87.74"/>
    <n v="84581.36"/>
    <n v="1052.8799999999999"/>
    <s v="Pass"/>
  </r>
  <r>
    <x v="340"/>
    <d v="2025-03-10T00:00:00"/>
    <x v="1"/>
    <x v="2"/>
    <s v="Line E"/>
    <s v="Packaging Resin"/>
    <x v="2"/>
    <s v="J. Mwangi"/>
    <n v="1270"/>
    <n v="1223"/>
    <n v="39"/>
    <n v="1184"/>
    <n v="36.4"/>
    <n v="8.4"/>
    <n v="87.89"/>
    <n v="107489.47"/>
    <n v="3427.71"/>
    <s v="Review"/>
  </r>
  <r>
    <x v="341"/>
    <d v="2025-07-26T00:00:00"/>
    <x v="10"/>
    <x v="1"/>
    <s v="Line C"/>
    <s v="Packaging Resin"/>
    <x v="1"/>
    <s v="R. Njeri"/>
    <n v="1727"/>
    <n v="1587"/>
    <n v="13"/>
    <n v="1574"/>
    <n v="7.5"/>
    <n v="7.1"/>
    <n v="88.13"/>
    <n v="139862.31"/>
    <n v="1145.69"/>
    <s v="Pass"/>
  </r>
  <r>
    <x v="342"/>
    <d v="2025-10-08T00:00:00"/>
    <x v="2"/>
    <x v="2"/>
    <s v="Line A"/>
    <s v="Water Treatment Chemicals"/>
    <x v="0"/>
    <s v="P. Otieno"/>
    <n v="749"/>
    <n v="779"/>
    <n v="7"/>
    <n v="772"/>
    <n v="12.7"/>
    <n v="6.3"/>
    <n v="88.52"/>
    <n v="68957.08"/>
    <n v="619.64"/>
    <s v="Pass"/>
  </r>
  <r>
    <x v="343"/>
    <d v="2025-04-28T00:00:00"/>
    <x v="4"/>
    <x v="1"/>
    <s v="Line D"/>
    <s v="Industrial Cleaners"/>
    <x v="1"/>
    <s v="P. Otieno"/>
    <n v="1373"/>
    <n v="1403"/>
    <n v="40"/>
    <n v="1363"/>
    <n v="31.3"/>
    <n v="6.6"/>
    <n v="88.6"/>
    <n v="124305.79999999999"/>
    <n v="3544"/>
    <s v="Review"/>
  </r>
  <r>
    <x v="344"/>
    <d v="2025-11-10T00:00:00"/>
    <x v="11"/>
    <x v="2"/>
    <s v="Line B"/>
    <s v="Packaging Resin"/>
    <x v="0"/>
    <s v="M. Hassan"/>
    <n v="1443"/>
    <n v="1435"/>
    <n v="42"/>
    <n v="1393"/>
    <n v="53.5"/>
    <n v="8.5"/>
    <n v="88.61"/>
    <n v="127155.35"/>
    <n v="3721.62"/>
    <s v="Review"/>
  </r>
  <r>
    <x v="345"/>
    <d v="2025-05-13T00:00:00"/>
    <x v="7"/>
    <x v="0"/>
    <s v="Line D"/>
    <s v="Protective Coatings"/>
    <x v="1"/>
    <s v="A. Wanjiku"/>
    <n v="1358"/>
    <n v="1199"/>
    <n v="36"/>
    <n v="1163"/>
    <n v="34.6"/>
    <n v="6.1"/>
    <n v="88.64"/>
    <n v="106279.36"/>
    <n v="3191.04"/>
    <s v="Review"/>
  </r>
  <r>
    <x v="346"/>
    <d v="2025-05-06T00:00:00"/>
    <x v="7"/>
    <x v="1"/>
    <s v="Line B"/>
    <s v="Construction Additives"/>
    <x v="1"/>
    <s v="M. Hassan"/>
    <n v="876"/>
    <n v="861"/>
    <n v="28"/>
    <n v="833"/>
    <n v="29.6"/>
    <n v="6.9"/>
    <n v="88.74"/>
    <n v="76405.14"/>
    <n v="2484.7199999999998"/>
    <s v="Review"/>
  </r>
  <r>
    <x v="347"/>
    <d v="2025-01-03T00:00:00"/>
    <x v="5"/>
    <x v="0"/>
    <s v="Line E"/>
    <s v="Water Treatment Chemicals"/>
    <x v="0"/>
    <s v="F. Ali"/>
    <n v="1680"/>
    <n v="1290"/>
    <n v="24"/>
    <n v="1266"/>
    <n v="10.5"/>
    <n v="6.9"/>
    <n v="89.2"/>
    <n v="115068"/>
    <n v="2140.8000000000002"/>
    <s v="Pass"/>
  </r>
  <r>
    <x v="348"/>
    <d v="2025-09-29T00:00:00"/>
    <x v="8"/>
    <x v="1"/>
    <s v="Line D"/>
    <s v="Protective Coatings"/>
    <x v="0"/>
    <s v="R. Njeri"/>
    <n v="1058"/>
    <n v="876"/>
    <n v="27"/>
    <n v="849"/>
    <n v="60.1"/>
    <n v="6.7"/>
    <n v="89.31"/>
    <n v="78235.56"/>
    <n v="2411.37"/>
    <s v="Review"/>
  </r>
  <r>
    <x v="349"/>
    <d v="2025-12-01T00:00:00"/>
    <x v="3"/>
    <x v="2"/>
    <s v="Line E"/>
    <s v="Construction Additives"/>
    <x v="1"/>
    <s v="D. Kamau"/>
    <n v="777"/>
    <n v="881"/>
    <n v="13"/>
    <n v="868"/>
    <n v="21"/>
    <n v="6.5"/>
    <n v="89.46"/>
    <n v="78814.259999999995"/>
    <n v="1162.98"/>
    <s v="Pass"/>
  </r>
  <r>
    <x v="350"/>
    <d v="2025-02-05T00:00:00"/>
    <x v="0"/>
    <x v="2"/>
    <s v="Line D"/>
    <s v="Packaging Resin"/>
    <x v="0"/>
    <s v="P. Otieno"/>
    <n v="1121"/>
    <n v="1117"/>
    <n v="11"/>
    <n v="1106"/>
    <n v="16.5"/>
    <n v="7.8"/>
    <n v="89.57"/>
    <n v="100049.68999999999"/>
    <n v="985.27"/>
    <s v="Pass"/>
  </r>
  <r>
    <x v="351"/>
    <d v="2025-07-28T00:00:00"/>
    <x v="10"/>
    <x v="0"/>
    <s v="Line C"/>
    <s v="Water Treatment Chemicals"/>
    <x v="0"/>
    <s v="A. Wanjiku"/>
    <n v="1767"/>
    <n v="1752"/>
    <n v="57"/>
    <n v="1695"/>
    <n v="78.8"/>
    <n v="6.3"/>
    <n v="89.61"/>
    <n v="156996.72"/>
    <n v="5107.7699999999995"/>
    <s v="Review"/>
  </r>
  <r>
    <x v="352"/>
    <d v="2025-09-12T00:00:00"/>
    <x v="8"/>
    <x v="1"/>
    <s v="Line A"/>
    <s v="Water Treatment Chemicals"/>
    <x v="1"/>
    <s v="A. Wanjiku"/>
    <n v="851"/>
    <n v="819"/>
    <n v="18"/>
    <n v="801"/>
    <n v="9.5"/>
    <n v="6.4"/>
    <n v="89.75"/>
    <n v="73505.25"/>
    <n v="1615.5"/>
    <s v="Review"/>
  </r>
  <r>
    <x v="353"/>
    <d v="2025-02-16T00:00:00"/>
    <x v="0"/>
    <x v="1"/>
    <s v="Line D"/>
    <s v="Packaging Resin"/>
    <x v="1"/>
    <s v="Not Found"/>
    <n v="923"/>
    <n v="891"/>
    <n v="27"/>
    <n v="864"/>
    <n v="39.4"/>
    <n v="6.9"/>
    <n v="89.76"/>
    <n v="79976.160000000003"/>
    <n v="2423.52"/>
    <s v="Review"/>
  </r>
  <r>
    <x v="354"/>
    <d v="2025-11-21T00:00:00"/>
    <x v="11"/>
    <x v="1"/>
    <s v="Line A"/>
    <s v="Industrial Cleaners"/>
    <x v="1"/>
    <s v="A. Wanjiku"/>
    <n v="1149"/>
    <n v="1028"/>
    <n v="33"/>
    <n v="995"/>
    <n v="38.5"/>
    <n v="6.1"/>
    <n v="89.77"/>
    <n v="92283.56"/>
    <n v="2962.41"/>
    <s v="Review"/>
  </r>
  <r>
    <x v="355"/>
    <d v="2025-07-19T00:00:00"/>
    <x v="10"/>
    <x v="2"/>
    <s v="Line C"/>
    <s v="Industrial Cleaners"/>
    <x v="0"/>
    <s v="P. Otieno"/>
    <n v="1362"/>
    <n v="1245"/>
    <n v="12"/>
    <n v="1233"/>
    <n v="25.1"/>
    <n v="7.4"/>
    <n v="89.85"/>
    <n v="111863.25"/>
    <n v="1078.1999999999998"/>
    <s v="Pass"/>
  </r>
  <r>
    <x v="356"/>
    <d v="2025-06-09T00:00:00"/>
    <x v="6"/>
    <x v="2"/>
    <s v="Line C"/>
    <s v="Packaging Resin"/>
    <x v="1"/>
    <s v="S. Kiptoo"/>
    <n v="1430"/>
    <n v="1251"/>
    <n v="30"/>
    <n v="1221"/>
    <n v="11.1"/>
    <n v="7.8"/>
    <n v="90"/>
    <n v="112590"/>
    <n v="2700"/>
    <s v="Review"/>
  </r>
  <r>
    <x v="357"/>
    <d v="2025-03-02T00:00:00"/>
    <x v="1"/>
    <x v="0"/>
    <s v="Line D"/>
    <s v="Protective Coatings"/>
    <x v="1"/>
    <s v="M. Hassan"/>
    <n v="1477"/>
    <n v="1524"/>
    <n v="30"/>
    <n v="1494"/>
    <n v="114.8"/>
    <n v="8.3000000000000007"/>
    <n v="90.07"/>
    <n v="137266.68"/>
    <n v="2702.1"/>
    <s v="Pass"/>
  </r>
  <r>
    <x v="358"/>
    <d v="2025-07-19T00:00:00"/>
    <x v="10"/>
    <x v="1"/>
    <s v="Line E"/>
    <s v="Water Treatment Chemicals"/>
    <x v="1"/>
    <s v="S. Kiptoo"/>
    <n v="1670"/>
    <n v="1521"/>
    <n v="48"/>
    <n v="1473"/>
    <n v="62.4"/>
    <n v="6.7"/>
    <n v="90.24"/>
    <n v="137255.03999999998"/>
    <n v="4331.5199999999995"/>
    <s v="Review"/>
  </r>
  <r>
    <x v="359"/>
    <d v="2025-09-20T00:00:00"/>
    <x v="8"/>
    <x v="0"/>
    <s v="Line C"/>
    <s v="Construction Additives"/>
    <x v="2"/>
    <s v="F. Ali"/>
    <n v="1243"/>
    <n v="1192"/>
    <n v="31"/>
    <n v="1161"/>
    <n v="40.1"/>
    <n v="6.1"/>
    <n v="90.39"/>
    <n v="107744.88"/>
    <n v="2802.09"/>
    <s v="Review"/>
  </r>
  <r>
    <x v="360"/>
    <d v="2025-03-28T00:00:00"/>
    <x v="1"/>
    <x v="1"/>
    <s v="Line E"/>
    <s v="Construction Additives"/>
    <x v="0"/>
    <s v="A. Wanjiku"/>
    <n v="1439"/>
    <n v="1099"/>
    <n v="22"/>
    <n v="1077"/>
    <n v="55"/>
    <n v="7.2"/>
    <n v="90.59"/>
    <n v="99558.41"/>
    <n v="1992.98"/>
    <s v="Review"/>
  </r>
  <r>
    <x v="361"/>
    <d v="2025-02-25T00:00:00"/>
    <x v="0"/>
    <x v="2"/>
    <s v="Line C"/>
    <s v="Water Treatment Chemicals"/>
    <x v="1"/>
    <s v="P. Otieno"/>
    <n v="1257"/>
    <n v="1289"/>
    <n v="18"/>
    <n v="1271"/>
    <n v="115"/>
    <n v="8.1"/>
    <n v="90.64"/>
    <n v="116834.96"/>
    <n v="1631.52"/>
    <s v="Pass"/>
  </r>
  <r>
    <x v="362"/>
    <d v="2025-04-26T00:00:00"/>
    <x v="4"/>
    <x v="1"/>
    <s v="Line E"/>
    <s v="Packaging Resin"/>
    <x v="2"/>
    <s v="A. Wanjiku"/>
    <n v="729"/>
    <n v="766"/>
    <n v="7"/>
    <n v="759"/>
    <n v="35.799999999999997"/>
    <n v="6.5"/>
    <n v="90.85"/>
    <n v="69591.099999999991"/>
    <n v="635.94999999999993"/>
    <s v="Pass"/>
  </r>
  <r>
    <x v="363"/>
    <d v="2025-07-19T00:00:00"/>
    <x v="10"/>
    <x v="2"/>
    <s v="Line E"/>
    <s v="Protective Coatings"/>
    <x v="2"/>
    <s v="R. Njeri"/>
    <n v="1195"/>
    <n v="1230"/>
    <n v="19"/>
    <n v="1211"/>
    <n v="123.7"/>
    <n v="6.3"/>
    <n v="91.01"/>
    <n v="111942.3"/>
    <n v="1729.19"/>
    <s v="Pass"/>
  </r>
  <r>
    <x v="364"/>
    <d v="2025-02-23T00:00:00"/>
    <x v="0"/>
    <x v="0"/>
    <s v="Line E"/>
    <s v="Construction Additives"/>
    <x v="0"/>
    <s v="R. Njeri"/>
    <n v="1266"/>
    <n v="1426"/>
    <n v="45"/>
    <n v="1381"/>
    <n v="29.9"/>
    <n v="7.4"/>
    <n v="91.55"/>
    <n v="130550.3"/>
    <n v="4119.75"/>
    <s v="Review"/>
  </r>
  <r>
    <x v="365"/>
    <d v="2025-04-06T00:00:00"/>
    <x v="4"/>
    <x v="1"/>
    <s v="Line E"/>
    <s v="Industrial Cleaners"/>
    <x v="0"/>
    <s v="F. Ali"/>
    <n v="1086"/>
    <n v="1242"/>
    <n v="43"/>
    <n v="1199"/>
    <n v="8.9"/>
    <n v="8.1"/>
    <n v="91.62"/>
    <n v="113792.04000000001"/>
    <n v="3939.6600000000003"/>
    <s v="Review"/>
  </r>
  <r>
    <x v="366"/>
    <d v="2025-09-21T00:00:00"/>
    <x v="8"/>
    <x v="0"/>
    <s v="Line D"/>
    <s v="Packaging Resin"/>
    <x v="2"/>
    <s v="S. Kiptoo"/>
    <n v="906"/>
    <n v="809"/>
    <n v="5"/>
    <n v="804"/>
    <n v="115.4"/>
    <n v="8.1"/>
    <n v="91.69"/>
    <n v="74177.209999999992"/>
    <n v="458.45"/>
    <s v="Pass"/>
  </r>
  <r>
    <x v="367"/>
    <d v="2025-04-16T00:00:00"/>
    <x v="4"/>
    <x v="2"/>
    <s v="Line B"/>
    <s v="Water Treatment Chemicals"/>
    <x v="2"/>
    <s v="D. Kamau"/>
    <n v="779"/>
    <n v="704"/>
    <n v="5"/>
    <n v="699"/>
    <n v="22.6"/>
    <n v="8.1"/>
    <n v="92.2"/>
    <n v="64908.800000000003"/>
    <n v="461"/>
    <s v="Pass"/>
  </r>
  <r>
    <x v="368"/>
    <d v="2025-12-19T00:00:00"/>
    <x v="3"/>
    <x v="2"/>
    <s v="Line D"/>
    <s v="Packaging Resin"/>
    <x v="1"/>
    <s v="S. Kiptoo"/>
    <n v="736"/>
    <n v="834"/>
    <n v="10"/>
    <n v="824"/>
    <n v="57.4"/>
    <n v="6.9"/>
    <n v="92.31"/>
    <n v="76986.540000000008"/>
    <n v="923.1"/>
    <s v="Pass"/>
  </r>
  <r>
    <x v="369"/>
    <d v="2025-12-22T00:00:00"/>
    <x v="3"/>
    <x v="0"/>
    <s v="Line E"/>
    <s v="Water Treatment Chemicals"/>
    <x v="2"/>
    <s v="R. Njeri"/>
    <n v="816"/>
    <n v="726"/>
    <n v="21"/>
    <n v="705"/>
    <n v="33.4"/>
    <n v="7.8"/>
    <n v="92.44"/>
    <n v="67111.44"/>
    <n v="1941.24"/>
    <s v="Review"/>
  </r>
  <r>
    <x v="370"/>
    <d v="2025-10-28T00:00:00"/>
    <x v="2"/>
    <x v="0"/>
    <s v="Line D"/>
    <s v="Industrial Cleaners"/>
    <x v="2"/>
    <s v="F. Ali"/>
    <n v="1144"/>
    <n v="1136"/>
    <n v="18"/>
    <n v="1118"/>
    <n v="31.6"/>
    <n v="6.5"/>
    <n v="92.71"/>
    <n v="105318.56"/>
    <n v="1668.78"/>
    <s v="Pass"/>
  </r>
  <r>
    <x v="371"/>
    <d v="2025-07-01T00:00:00"/>
    <x v="10"/>
    <x v="2"/>
    <s v="Line E"/>
    <s v="Construction Additives"/>
    <x v="0"/>
    <s v="F. Ali"/>
    <n v="1372"/>
    <n v="1174"/>
    <n v="35"/>
    <n v="1139"/>
    <n v="1.2"/>
    <n v="6.7"/>
    <n v="92.97"/>
    <n v="109146.78"/>
    <n v="3253.95"/>
    <s v="Review"/>
  </r>
  <r>
    <x v="372"/>
    <d v="2025-11-13T00:00:00"/>
    <x v="11"/>
    <x v="0"/>
    <s v="Line B"/>
    <s v="Water Treatment Chemicals"/>
    <x v="2"/>
    <s v="D. Kamau"/>
    <n v="1175"/>
    <n v="942"/>
    <n v="26"/>
    <n v="916"/>
    <n v="54.9"/>
    <n v="6.6"/>
    <n v="93.21"/>
    <n v="87803.819999999992"/>
    <n v="2423.46"/>
    <s v="Review"/>
  </r>
  <r>
    <x v="373"/>
    <d v="2025-07-04T00:00:00"/>
    <x v="10"/>
    <x v="1"/>
    <s v="Line C"/>
    <s v="Water Treatment Chemicals"/>
    <x v="1"/>
    <s v="F. Ali"/>
    <n v="1369"/>
    <n v="1368"/>
    <n v="35"/>
    <n v="1333"/>
    <n v="9.5"/>
    <n v="6.2"/>
    <n v="93.35"/>
    <n v="127702.79999999999"/>
    <n v="3267.25"/>
    <s v="Review"/>
  </r>
  <r>
    <x v="374"/>
    <d v="2025-05-01T00:00:00"/>
    <x v="7"/>
    <x v="1"/>
    <s v="Line C"/>
    <s v="Protective Coatings"/>
    <x v="0"/>
    <s v="P. Otieno"/>
    <n v="1473"/>
    <n v="1225"/>
    <n v="16"/>
    <n v="1209"/>
    <n v="101"/>
    <n v="8.1999999999999993"/>
    <n v="93.42"/>
    <n v="114439.5"/>
    <n v="1494.72"/>
    <s v="Pass"/>
  </r>
  <r>
    <x v="375"/>
    <d v="2025-02-21T00:00:00"/>
    <x v="0"/>
    <x v="1"/>
    <s v="Line E"/>
    <s v="Packaging Resin"/>
    <x v="0"/>
    <s v="A. Wanjiku"/>
    <n v="1502"/>
    <n v="1084"/>
    <n v="21"/>
    <n v="1063"/>
    <s v=""/>
    <n v="7.1"/>
    <n v="93.97"/>
    <n v="101863.48"/>
    <n v="1973.37"/>
    <s v="Pass"/>
  </r>
  <r>
    <x v="376"/>
    <d v="2025-01-25T00:00:00"/>
    <x v="5"/>
    <x v="1"/>
    <s v="Line A"/>
    <s v="Construction Additives"/>
    <x v="2"/>
    <s v="D. Kamau"/>
    <n v="709"/>
    <n v="733"/>
    <n v="12"/>
    <n v="721"/>
    <n v="28.2"/>
    <n v="6.8"/>
    <n v="94.01"/>
    <n v="68909.33"/>
    <n v="1128.1200000000001"/>
    <s v="Pass"/>
  </r>
  <r>
    <x v="377"/>
    <d v="2025-03-15T00:00:00"/>
    <x v="1"/>
    <x v="0"/>
    <s v="Line E"/>
    <s v="Water Treatment Chemicals"/>
    <x v="1"/>
    <s v="J. Mwangi"/>
    <n v="708"/>
    <n v="517"/>
    <n v="14"/>
    <n v="503"/>
    <n v="41.1"/>
    <n v="7.2"/>
    <n v="94.15"/>
    <n v="48675.55"/>
    <n v="1318.1000000000001"/>
    <s v="Review"/>
  </r>
  <r>
    <x v="378"/>
    <d v="2025-12-28T00:00:00"/>
    <x v="3"/>
    <x v="0"/>
    <s v="Line A"/>
    <s v="Construction Additives"/>
    <x v="1"/>
    <s v="F. Ali"/>
    <n v="1532"/>
    <n v="1347"/>
    <n v="44"/>
    <n v="1303"/>
    <n v="7.9"/>
    <n v="6.1"/>
    <n v="94.37"/>
    <n v="127116.39"/>
    <n v="4152.2800000000007"/>
    <s v="Review"/>
  </r>
  <r>
    <x v="379"/>
    <d v="2025-10-08T00:00:00"/>
    <x v="2"/>
    <x v="1"/>
    <s v="Line E"/>
    <s v="Industrial Cleaners"/>
    <x v="1"/>
    <s v="R. Njeri"/>
    <n v="1725"/>
    <n v="1678"/>
    <n v="36"/>
    <n v="1642"/>
    <n v="43"/>
    <n v="7"/>
    <n v="94.43"/>
    <n v="158453.54"/>
    <n v="3399.4800000000005"/>
    <s v="Review"/>
  </r>
  <r>
    <x v="380"/>
    <d v="2025-02-17T00:00:00"/>
    <x v="0"/>
    <x v="1"/>
    <s v="Line A"/>
    <s v="Water Treatment Chemicals"/>
    <x v="1"/>
    <s v="P. Otieno"/>
    <n v="1326"/>
    <n v="1223"/>
    <n v="39"/>
    <n v="1184"/>
    <n v="13.8"/>
    <n v="7.1"/>
    <n v="94.63"/>
    <n v="115732.48999999999"/>
    <n v="3690.5699999999997"/>
    <s v="Review"/>
  </r>
  <r>
    <x v="381"/>
    <d v="2025-11-03T00:00:00"/>
    <x v="11"/>
    <x v="1"/>
    <s v="Line B"/>
    <s v="Water Treatment Chemicals"/>
    <x v="0"/>
    <s v="R. Njeri"/>
    <n v="1589"/>
    <n v="1462"/>
    <n v="4"/>
    <n v="1458"/>
    <n v="48.2"/>
    <n v="6.1"/>
    <n v="94.95"/>
    <n v="138816.9"/>
    <n v="379.8"/>
    <s v="Pass"/>
  </r>
  <r>
    <x v="382"/>
    <d v="2025-01-29T00:00:00"/>
    <x v="5"/>
    <x v="0"/>
    <s v="Line C"/>
    <s v="Water Treatment Chemicals"/>
    <x v="1"/>
    <s v="P. Otieno"/>
    <n v="1361"/>
    <n v="1089"/>
    <n v="30"/>
    <n v="1059"/>
    <n v="36"/>
    <n v="6.8"/>
    <n v="95.01"/>
    <n v="103465.89"/>
    <n v="2850.3"/>
    <s v="Review"/>
  </r>
  <r>
    <x v="383"/>
    <d v="2025-08-18T00:00:00"/>
    <x v="9"/>
    <x v="0"/>
    <s v="Line A"/>
    <s v="Water Treatment Chemicals"/>
    <x v="2"/>
    <s v="S. Kiptoo"/>
    <n v="1456"/>
    <n v="1466"/>
    <n v="44"/>
    <n v="1422"/>
    <n v="17.100000000000001"/>
    <n v="6.4"/>
    <n v="95.03"/>
    <n v="139313.98000000001"/>
    <n v="4181.32"/>
    <s v="Review"/>
  </r>
  <r>
    <x v="384"/>
    <d v="2025-10-07T00:00:00"/>
    <x v="2"/>
    <x v="0"/>
    <s v="Line D"/>
    <s v="Industrial Cleaners"/>
    <x v="0"/>
    <s v="F. Ali"/>
    <n v="1284"/>
    <n v="1320"/>
    <n v="42"/>
    <n v="1278"/>
    <n v="118.1"/>
    <n v="6.8"/>
    <n v="95.59"/>
    <n v="126178.8"/>
    <n v="4014.78"/>
    <s v="Review"/>
  </r>
  <r>
    <x v="385"/>
    <d v="2025-10-09T00:00:00"/>
    <x v="2"/>
    <x v="0"/>
    <s v="Line E"/>
    <s v="Construction Additives"/>
    <x v="1"/>
    <s v="M. Hassan"/>
    <n v="914"/>
    <n v="991"/>
    <n v="17"/>
    <n v="974"/>
    <n v="11.1"/>
    <n v="8.3000000000000007"/>
    <n v="95.75"/>
    <n v="94888.25"/>
    <n v="1627.75"/>
    <s v="Pass"/>
  </r>
  <r>
    <x v="386"/>
    <d v="2025-08-10T00:00:00"/>
    <x v="9"/>
    <x v="1"/>
    <s v="Line C"/>
    <s v="Industrial Cleaners"/>
    <x v="0"/>
    <s v="P. Otieno"/>
    <n v="1293"/>
    <n v="1148"/>
    <n v="35"/>
    <n v="1113"/>
    <n v="81.400000000000006"/>
    <n v="8.5"/>
    <n v="95.92"/>
    <n v="110116.16"/>
    <n v="3357.2000000000003"/>
    <s v="Review"/>
  </r>
  <r>
    <x v="387"/>
    <d v="2025-07-14T00:00:00"/>
    <x v="10"/>
    <x v="1"/>
    <s v="Line C"/>
    <s v="Industrial Cleaners"/>
    <x v="2"/>
    <s v="P. Otieno"/>
    <n v="1180"/>
    <n v="1094"/>
    <n v="4"/>
    <n v="1090"/>
    <n v="58.1"/>
    <n v="6.4"/>
    <n v="96"/>
    <n v="105024"/>
    <n v="384"/>
    <s v="Pass"/>
  </r>
  <r>
    <x v="388"/>
    <d v="2025-03-04T00:00:00"/>
    <x v="1"/>
    <x v="2"/>
    <s v="Line E"/>
    <s v="Water Treatment Chemicals"/>
    <x v="2"/>
    <s v="F. Ali"/>
    <n v="1238"/>
    <n v="1135"/>
    <n v="13"/>
    <n v="1122"/>
    <n v="58.5"/>
    <n v="6.1"/>
    <n v="96.03"/>
    <n v="108994.05"/>
    <n v="1248.3900000000001"/>
    <s v="Pass"/>
  </r>
  <r>
    <x v="389"/>
    <d v="2025-12-17T00:00:00"/>
    <x v="3"/>
    <x v="0"/>
    <s v="Line A"/>
    <s v="Construction Additives"/>
    <x v="0"/>
    <s v="S. Kiptoo"/>
    <n v="1790"/>
    <n v="1400"/>
    <n v="19"/>
    <n v="1381"/>
    <n v="85.6"/>
    <n v="8.4"/>
    <n v="96.12"/>
    <n v="134568"/>
    <n v="1826.2800000000002"/>
    <s v="Pass"/>
  </r>
  <r>
    <x v="390"/>
    <d v="2025-11-24T00:00:00"/>
    <x v="11"/>
    <x v="0"/>
    <s v="Line D"/>
    <s v="Protective Coatings"/>
    <x v="1"/>
    <s v="D. Kamau"/>
    <n v="1348"/>
    <n v="1333"/>
    <n v="8"/>
    <n v="1325"/>
    <n v="78.099999999999994"/>
    <n v="8.1"/>
    <n v="96.33"/>
    <n v="128407.89"/>
    <n v="770.64"/>
    <s v="Pass"/>
  </r>
  <r>
    <x v="391"/>
    <d v="2025-05-17T00:00:00"/>
    <x v="7"/>
    <x v="2"/>
    <s v="Line E"/>
    <s v="Construction Additives"/>
    <x v="2"/>
    <s v="M. Hassan"/>
    <n v="1147"/>
    <n v="1238"/>
    <n v="40"/>
    <n v="1198"/>
    <n v="13.6"/>
    <n v="7.3"/>
    <n v="96.36"/>
    <n v="119293.68"/>
    <n v="3854.4"/>
    <s v="Review"/>
  </r>
  <r>
    <x v="392"/>
    <d v="2025-10-12T00:00:00"/>
    <x v="2"/>
    <x v="0"/>
    <s v="Line B"/>
    <s v="Packaging Resin"/>
    <x v="2"/>
    <s v="F. Ali"/>
    <n v="738"/>
    <n v="535"/>
    <n v="16"/>
    <n v="519"/>
    <n v="95.9"/>
    <n v="6.8"/>
    <n v="96.6"/>
    <n v="51681"/>
    <n v="1545.6"/>
    <s v="Review"/>
  </r>
  <r>
    <x v="393"/>
    <d v="2025-06-21T00:00:00"/>
    <x v="6"/>
    <x v="2"/>
    <s v="Line E"/>
    <s v="Construction Additives"/>
    <x v="0"/>
    <s v="J. Mwangi"/>
    <n v="708"/>
    <n v="663"/>
    <n v="5"/>
    <n v="658"/>
    <n v="5.7"/>
    <n v="7.1"/>
    <n v="96.7"/>
    <n v="64112.1"/>
    <n v="483.5"/>
    <s v="Pass"/>
  </r>
  <r>
    <x v="394"/>
    <d v="2025-06-20T00:00:00"/>
    <x v="6"/>
    <x v="2"/>
    <s v="Line C"/>
    <s v="Water Treatment Chemicals"/>
    <x v="0"/>
    <s v="S. Kiptoo"/>
    <n v="1666"/>
    <n v="1608"/>
    <n v="20"/>
    <n v="1588"/>
    <n v="25.3"/>
    <n v="6.6"/>
    <n v="96.74"/>
    <n v="155557.91999999998"/>
    <n v="1934.8"/>
    <s v="Pass"/>
  </r>
  <r>
    <x v="395"/>
    <d v="2025-12-21T00:00:00"/>
    <x v="3"/>
    <x v="0"/>
    <s v="Line D"/>
    <s v="Water Treatment Chemicals"/>
    <x v="1"/>
    <s v="J. Mwangi"/>
    <n v="1073"/>
    <n v="1022"/>
    <n v="23"/>
    <n v="999"/>
    <n v="39.799999999999997"/>
    <n v="8.5"/>
    <n v="96.79"/>
    <n v="98919.38"/>
    <n v="2226.17"/>
    <s v="Review"/>
  </r>
  <r>
    <x v="396"/>
    <d v="2025-06-16T00:00:00"/>
    <x v="6"/>
    <x v="1"/>
    <s v="Line E"/>
    <s v="Industrial Cleaners"/>
    <x v="0"/>
    <s v="M. Hassan"/>
    <n v="1104"/>
    <n v="1007"/>
    <n v="23"/>
    <n v="984"/>
    <n v="5.8"/>
    <n v="7.2"/>
    <n v="96.86"/>
    <n v="97538.02"/>
    <n v="2227.7800000000002"/>
    <s v="Review"/>
  </r>
  <r>
    <x v="397"/>
    <d v="2025-09-30T00:00:00"/>
    <x v="8"/>
    <x v="0"/>
    <s v="Line C"/>
    <s v="Protective Coatings"/>
    <x v="0"/>
    <s v="J. Mwangi"/>
    <n v="878"/>
    <n v="848"/>
    <n v="5"/>
    <n v="843"/>
    <n v="35.4"/>
    <n v="6.3"/>
    <n v="99"/>
    <n v="83952"/>
    <n v="495"/>
    <s v="Pass"/>
  </r>
  <r>
    <x v="398"/>
    <d v="2025-08-05T00:00:00"/>
    <x v="9"/>
    <x v="2"/>
    <s v="Line E"/>
    <s v="Packaging Resin"/>
    <x v="0"/>
    <s v="S. Kiptoo"/>
    <n v="1183"/>
    <n v="1280"/>
    <n v="42"/>
    <n v="1238"/>
    <n v="52.2"/>
    <n v="7.2"/>
    <n v="99.06"/>
    <n v="126796.8"/>
    <n v="4160.5200000000004"/>
    <s v="Review"/>
  </r>
  <r>
    <x v="399"/>
    <d v="2025-06-16T00:00:00"/>
    <x v="6"/>
    <x v="0"/>
    <s v="Line C"/>
    <s v="Industrial Cleaners"/>
    <x v="0"/>
    <s v="P. Otieno"/>
    <n v="1284"/>
    <n v="1250"/>
    <n v="22"/>
    <n v="1228"/>
    <n v="1.5"/>
    <n v="7.1"/>
    <n v="99.34"/>
    <n v="124175"/>
    <n v="2185.48"/>
    <s v="Pass"/>
  </r>
  <r>
    <x v="400"/>
    <d v="2025-09-13T00:00:00"/>
    <x v="8"/>
    <x v="2"/>
    <s v="Line E"/>
    <s v="Water Treatment Chemicals"/>
    <x v="1"/>
    <s v="F. Ali"/>
    <n v="929"/>
    <n v="979"/>
    <n v="17"/>
    <n v="962"/>
    <n v="12.5"/>
    <n v="8.1999999999999993"/>
    <n v="99.57"/>
    <n v="97479.03"/>
    <n v="1692.6899999999998"/>
    <s v="Pass"/>
  </r>
  <r>
    <x v="401"/>
    <d v="2025-06-15T00:00:00"/>
    <x v="6"/>
    <x v="2"/>
    <s v="Line E"/>
    <s v="Packaging Resin"/>
    <x v="2"/>
    <s v="D. Kamau"/>
    <n v="1102"/>
    <n v="968"/>
    <n v="30"/>
    <n v="938"/>
    <n v="37.200000000000003"/>
    <n v="7.7"/>
    <n v="99.63"/>
    <n v="96441.84"/>
    <n v="2988.8999999999996"/>
    <s v="Review"/>
  </r>
  <r>
    <x v="402"/>
    <d v="2025-02-14T00:00:00"/>
    <x v="0"/>
    <x v="2"/>
    <s v="Line B"/>
    <s v="Industrial Cleaners"/>
    <x v="1"/>
    <s v="D. Kamau"/>
    <n v="1752"/>
    <n v="1988"/>
    <n v="58"/>
    <n v="1930"/>
    <n v="59.6"/>
    <n v="7.7"/>
    <n v="99.68"/>
    <n v="198163.84000000003"/>
    <n v="5781.4400000000005"/>
    <s v="Review"/>
  </r>
  <r>
    <x v="403"/>
    <d v="2025-10-15T00:00:00"/>
    <x v="2"/>
    <x v="1"/>
    <s v="Line C"/>
    <s v="Water Treatment Chemicals"/>
    <x v="2"/>
    <s v="F. Ali"/>
    <n v="1515"/>
    <n v="1564"/>
    <n v="5"/>
    <n v="1559"/>
    <n v="86.9"/>
    <n v="7.1"/>
    <n v="99.79"/>
    <n v="156071.56"/>
    <n v="498.95000000000005"/>
    <s v="Pass"/>
  </r>
  <r>
    <x v="404"/>
    <d v="2025-05-02T00:00:00"/>
    <x v="7"/>
    <x v="2"/>
    <s v="Line A"/>
    <s v="Construction Additives"/>
    <x v="0"/>
    <s v="F. Ali"/>
    <n v="1523"/>
    <n v="1479"/>
    <n v="31"/>
    <n v="1448"/>
    <n v="64.5"/>
    <n v="6"/>
    <n v="99.9"/>
    <n v="147752.1"/>
    <n v="3096.9"/>
    <s v="Review"/>
  </r>
  <r>
    <x v="405"/>
    <d v="2025-12-25T00:00:00"/>
    <x v="3"/>
    <x v="2"/>
    <s v="Line D"/>
    <s v="Water Treatment Chemicals"/>
    <x v="0"/>
    <s v="P. Otieno"/>
    <n v="1195"/>
    <n v="1051"/>
    <n v="10"/>
    <n v="1041"/>
    <n v="52.2"/>
    <n v="8.1999999999999993"/>
    <n v="100.08"/>
    <n v="105184.08"/>
    <n v="1000.8"/>
    <s v="Pass"/>
  </r>
  <r>
    <x v="406"/>
    <d v="2025-09-26T00:00:00"/>
    <x v="8"/>
    <x v="0"/>
    <s v="Line A"/>
    <s v="Water Treatment Chemicals"/>
    <x v="0"/>
    <s v="R. Njeri"/>
    <n v="1012"/>
    <n v="960"/>
    <n v="26"/>
    <n v="934"/>
    <n v="30.9"/>
    <n v="6.9"/>
    <n v="100.37"/>
    <n v="96355.200000000012"/>
    <n v="2609.62"/>
    <s v="Review"/>
  </r>
  <r>
    <x v="407"/>
    <d v="2025-07-07T00:00:00"/>
    <x v="10"/>
    <x v="0"/>
    <s v="Line E"/>
    <s v="Construction Additives"/>
    <x v="2"/>
    <s v="R. Njeri"/>
    <n v="748"/>
    <n v="682"/>
    <n v="23"/>
    <n v="659"/>
    <n v="46.1"/>
    <n v="7.7"/>
    <n v="100.57"/>
    <n v="68588.739999999991"/>
    <n v="2313.1099999999997"/>
    <s v="Review"/>
  </r>
  <r>
    <x v="408"/>
    <d v="2025-06-10T00:00:00"/>
    <x v="6"/>
    <x v="1"/>
    <s v="Line E"/>
    <s v="Packaging Resin"/>
    <x v="0"/>
    <s v="J. Mwangi"/>
    <n v="1104"/>
    <n v="1124"/>
    <n v="22"/>
    <n v="1102"/>
    <n v="103.9"/>
    <n v="8.1"/>
    <n v="100.88"/>
    <n v="113389.12"/>
    <n v="2219.3599999999997"/>
    <s v="Pass"/>
  </r>
  <r>
    <x v="409"/>
    <d v="2025-03-07T00:00:00"/>
    <x v="1"/>
    <x v="1"/>
    <s v="Line A"/>
    <s v="Packaging Resin"/>
    <x v="1"/>
    <s v="F. Ali"/>
    <n v="1654"/>
    <n v="1498"/>
    <n v="41"/>
    <n v="1457"/>
    <n v="73.5"/>
    <n v="8.1999999999999993"/>
    <n v="100.88"/>
    <n v="151118.24"/>
    <n v="4136.08"/>
    <s v="Review"/>
  </r>
  <r>
    <x v="410"/>
    <d v="2025-12-20T00:00:00"/>
    <x v="3"/>
    <x v="1"/>
    <s v="Line C"/>
    <s v="Construction Additives"/>
    <x v="1"/>
    <s v="R. Njeri"/>
    <n v="1571"/>
    <n v="1429"/>
    <n v="29"/>
    <n v="1400"/>
    <n v="22"/>
    <n v="6.3"/>
    <n v="100.92"/>
    <n v="144214.68"/>
    <n v="2926.68"/>
    <s v="Review"/>
  </r>
  <r>
    <x v="411"/>
    <d v="2025-11-04T00:00:00"/>
    <x v="11"/>
    <x v="1"/>
    <s v="Line A"/>
    <s v="Industrial Cleaners"/>
    <x v="1"/>
    <s v="S. Kiptoo"/>
    <n v="721"/>
    <n v="657"/>
    <n v="14"/>
    <n v="643"/>
    <n v="22.8"/>
    <n v="8.5"/>
    <n v="101.06"/>
    <n v="66396.42"/>
    <n v="1414.8400000000001"/>
    <s v="Review"/>
  </r>
  <r>
    <x v="412"/>
    <d v="2025-08-09T00:00:00"/>
    <x v="9"/>
    <x v="2"/>
    <s v="Line B"/>
    <s v="Industrial Cleaners"/>
    <x v="2"/>
    <s v="M. Hassan"/>
    <n v="1710"/>
    <n v="1641"/>
    <n v="15"/>
    <n v="1626"/>
    <n v="89.6"/>
    <n v="6.6"/>
    <n v="101.32"/>
    <n v="166266.12"/>
    <n v="1519.8"/>
    <s v="Pass"/>
  </r>
  <r>
    <x v="413"/>
    <d v="2025-06-07T00:00:00"/>
    <x v="6"/>
    <x v="0"/>
    <s v="Line C"/>
    <s v="Construction Additives"/>
    <x v="1"/>
    <s v="J. Mwangi"/>
    <n v="754"/>
    <n v="673"/>
    <n v="12"/>
    <n v="661"/>
    <n v="25.8"/>
    <n v="6.3"/>
    <n v="101.67"/>
    <n v="68423.91"/>
    <n v="1220.04"/>
    <s v="Pass"/>
  </r>
  <r>
    <x v="414"/>
    <d v="2025-03-25T00:00:00"/>
    <x v="1"/>
    <x v="0"/>
    <s v="Line D"/>
    <s v="Water Treatment Chemicals"/>
    <x v="2"/>
    <s v="S. Kiptoo"/>
    <n v="1779"/>
    <n v="1519"/>
    <n v="50"/>
    <n v="1469"/>
    <n v="56.9"/>
    <n v="7.6"/>
    <n v="102.19"/>
    <n v="155226.60999999999"/>
    <n v="5109.5"/>
    <s v="Review"/>
  </r>
  <r>
    <x v="415"/>
    <d v="2025-07-22T00:00:00"/>
    <x v="10"/>
    <x v="0"/>
    <s v="Line D"/>
    <s v="Packaging Resin"/>
    <x v="2"/>
    <s v="M. Hassan"/>
    <n v="908"/>
    <n v="805"/>
    <n v="5"/>
    <n v="800"/>
    <n v="22.4"/>
    <n v="6.2"/>
    <n v="102.77"/>
    <n v="82729.849999999991"/>
    <n v="513.85"/>
    <s v="Pass"/>
  </r>
  <r>
    <x v="416"/>
    <d v="2025-04-18T00:00:00"/>
    <x v="4"/>
    <x v="0"/>
    <s v="Line C"/>
    <s v="Protective Coatings"/>
    <x v="0"/>
    <s v="F. Ali"/>
    <n v="1116"/>
    <n v="1065"/>
    <n v="34"/>
    <n v="1031"/>
    <n v="29.3"/>
    <n v="7.5"/>
    <n v="102.96"/>
    <n v="109652.4"/>
    <n v="3500.64"/>
    <s v="Review"/>
  </r>
  <r>
    <x v="417"/>
    <d v="2025-01-25T00:00:00"/>
    <x v="5"/>
    <x v="1"/>
    <s v="Line C"/>
    <s v="Construction Additives"/>
    <x v="1"/>
    <s v="J. Mwangi"/>
    <n v="1166"/>
    <n v="1219"/>
    <n v="9"/>
    <n v="1210"/>
    <n v="75.599999999999994"/>
    <n v="6.8"/>
    <n v="103.1"/>
    <n v="125678.9"/>
    <n v="927.9"/>
    <s v="Pass"/>
  </r>
  <r>
    <x v="418"/>
    <d v="2025-03-13T00:00:00"/>
    <x v="1"/>
    <x v="0"/>
    <s v="Line A"/>
    <s v="Packaging Resin"/>
    <x v="1"/>
    <s v="F. Ali"/>
    <n v="1725"/>
    <n v="1782"/>
    <n v="13"/>
    <n v="1769"/>
    <n v="17.600000000000001"/>
    <n v="7.3"/>
    <n v="103.54"/>
    <n v="184508.28"/>
    <n v="1346.02"/>
    <s v="Pass"/>
  </r>
  <r>
    <x v="419"/>
    <d v="2025-11-12T00:00:00"/>
    <x v="11"/>
    <x v="2"/>
    <s v="Line C"/>
    <s v="Water Treatment Chemicals"/>
    <x v="2"/>
    <s v="Not Found"/>
    <n v="874"/>
    <n v="903"/>
    <n v="24"/>
    <n v="879"/>
    <n v="7.9"/>
    <n v="7.6"/>
    <n v="103.85"/>
    <n v="93776.549999999988"/>
    <n v="2492.3999999999996"/>
    <s v="Review"/>
  </r>
  <r>
    <x v="420"/>
    <d v="2025-02-22T00:00:00"/>
    <x v="0"/>
    <x v="2"/>
    <s v="Line B"/>
    <s v="Construction Additives"/>
    <x v="1"/>
    <s v="R. Njeri"/>
    <n v="1787"/>
    <n v="1602"/>
    <n v="52"/>
    <n v="1550"/>
    <n v="49.7"/>
    <n v="8.4"/>
    <n v="104.45"/>
    <n v="167328.9"/>
    <n v="5431.4000000000005"/>
    <s v="Review"/>
  </r>
  <r>
    <x v="421"/>
    <d v="2025-06-17T00:00:00"/>
    <x v="6"/>
    <x v="1"/>
    <s v="Line B"/>
    <s v="Packaging Resin"/>
    <x v="0"/>
    <s v="P. Otieno"/>
    <n v="1414"/>
    <n v="1220"/>
    <n v="23"/>
    <n v="1197"/>
    <n v="56.3"/>
    <n v="6.1"/>
    <n v="104.74"/>
    <n v="127782.79999999999"/>
    <n v="2409.02"/>
    <s v="Pass"/>
  </r>
  <r>
    <x v="422"/>
    <d v="2025-04-24T00:00:00"/>
    <x v="4"/>
    <x v="0"/>
    <s v="Line E"/>
    <s v="Packaging Resin"/>
    <x v="2"/>
    <s v="A. Wanjiku"/>
    <n v="1202"/>
    <n v="1146"/>
    <n v="5"/>
    <n v="1141"/>
    <n v="35.700000000000003"/>
    <n v="7.5"/>
    <n v="104.87"/>
    <n v="120181.02"/>
    <n v="524.35"/>
    <s v="Pass"/>
  </r>
  <r>
    <x v="423"/>
    <d v="2025-01-14T00:00:00"/>
    <x v="5"/>
    <x v="0"/>
    <s v="Line D"/>
    <s v="Protective Coatings"/>
    <x v="2"/>
    <s v="S. Kiptoo"/>
    <n v="1341"/>
    <n v="1292"/>
    <n v="44"/>
    <n v="1248"/>
    <n v="32.1"/>
    <n v="7"/>
    <n v="105.05"/>
    <n v="135724.6"/>
    <n v="4622.2"/>
    <s v="Review"/>
  </r>
  <r>
    <x v="424"/>
    <d v="2025-07-30T00:00:00"/>
    <x v="10"/>
    <x v="2"/>
    <s v="Line E"/>
    <s v="Industrial Cleaners"/>
    <x v="1"/>
    <s v="F. Ali"/>
    <n v="1667"/>
    <n v="1638"/>
    <n v="27"/>
    <n v="1611"/>
    <n v="52.2"/>
    <n v="6.7"/>
    <n v="105.1"/>
    <n v="172153.8"/>
    <n v="2837.7"/>
    <s v="Pass"/>
  </r>
  <r>
    <x v="425"/>
    <d v="2025-11-13T00:00:00"/>
    <x v="11"/>
    <x v="0"/>
    <s v="Line B"/>
    <s v="Protective Coatings"/>
    <x v="0"/>
    <s v="R. Njeri"/>
    <n v="942"/>
    <n v="940"/>
    <n v="29"/>
    <n v="911"/>
    <n v="8.3000000000000007"/>
    <n v="7.5"/>
    <n v="106.21"/>
    <n v="99837.4"/>
    <n v="3080.0899999999997"/>
    <s v="Review"/>
  </r>
  <r>
    <x v="426"/>
    <d v="2025-09-26T00:00:00"/>
    <x v="8"/>
    <x v="0"/>
    <s v="Line E"/>
    <s v="Packaging Resin"/>
    <x v="1"/>
    <s v="D. Kamau"/>
    <n v="922"/>
    <n v="923"/>
    <n v="12"/>
    <n v="911"/>
    <n v="100"/>
    <n v="6.3"/>
    <n v="106.24"/>
    <n v="98059.51999999999"/>
    <n v="1274.8799999999999"/>
    <s v="Pass"/>
  </r>
  <r>
    <x v="427"/>
    <d v="2025-06-08T00:00:00"/>
    <x v="6"/>
    <x v="1"/>
    <s v="Line E"/>
    <s v="Protective Coatings"/>
    <x v="1"/>
    <s v="S. Kiptoo"/>
    <n v="922"/>
    <n v="857"/>
    <n v="22"/>
    <n v="835"/>
    <n v="34.1"/>
    <n v="6.5"/>
    <n v="106.24"/>
    <n v="91047.679999999993"/>
    <n v="2337.2799999999997"/>
    <s v="Review"/>
  </r>
  <r>
    <x v="428"/>
    <d v="2025-02-18T00:00:00"/>
    <x v="0"/>
    <x v="2"/>
    <s v="Line B"/>
    <s v="Industrial Cleaners"/>
    <x v="0"/>
    <s v="S. Kiptoo"/>
    <n v="1633"/>
    <n v="1576"/>
    <n v="9"/>
    <n v="1567"/>
    <n v="18.3"/>
    <n v="6.9"/>
    <n v="107.06"/>
    <n v="168726.56"/>
    <n v="963.54"/>
    <s v="Pass"/>
  </r>
  <r>
    <x v="429"/>
    <d v="2025-06-01T00:00:00"/>
    <x v="6"/>
    <x v="0"/>
    <s v="Line B"/>
    <s v="Water Treatment Chemicals"/>
    <x v="0"/>
    <s v="F. Ali"/>
    <n v="991"/>
    <n v="1002"/>
    <n v="28"/>
    <n v="974"/>
    <n v="21.6"/>
    <n v="8.4"/>
    <n v="107.36"/>
    <n v="107574.72"/>
    <n v="3006.08"/>
    <s v="Review"/>
  </r>
  <r>
    <x v="430"/>
    <d v="2025-10-18T00:00:00"/>
    <x v="2"/>
    <x v="0"/>
    <s v="Line A"/>
    <s v="Protective Coatings"/>
    <x v="0"/>
    <s v="S. Kiptoo"/>
    <n v="1764"/>
    <n v="1365"/>
    <n v="28"/>
    <n v="1337"/>
    <n v="20.8"/>
    <n v="7.1"/>
    <n v="107.57"/>
    <n v="146833.04999999999"/>
    <n v="3011.96"/>
    <s v="Review"/>
  </r>
  <r>
    <x v="431"/>
    <d v="2025-02-16T00:00:00"/>
    <x v="0"/>
    <x v="0"/>
    <s v="Line C"/>
    <s v="Packaging Resin"/>
    <x v="1"/>
    <s v="M. Hassan"/>
    <n v="1302"/>
    <n v="1189"/>
    <n v="4"/>
    <n v="1185"/>
    <n v="145.9"/>
    <n v="8.4"/>
    <n v="108.17"/>
    <n v="128614.13"/>
    <n v="432.68"/>
    <s v="Pass"/>
  </r>
  <r>
    <x v="432"/>
    <d v="2025-01-12T00:00:00"/>
    <x v="5"/>
    <x v="1"/>
    <s v="Line E"/>
    <s v="Protective Coatings"/>
    <x v="2"/>
    <s v="R. Njeri"/>
    <n v="1132"/>
    <n v="1057"/>
    <n v="21"/>
    <n v="1036"/>
    <n v="6.5"/>
    <n v="8.1"/>
    <n v="108.24"/>
    <n v="114409.68"/>
    <n v="2273.04"/>
    <s v="Pass"/>
  </r>
  <r>
    <x v="433"/>
    <d v="2025-04-22T00:00:00"/>
    <x v="4"/>
    <x v="2"/>
    <s v="Line C"/>
    <s v="Construction Additives"/>
    <x v="0"/>
    <s v="M. Hassan"/>
    <n v="832"/>
    <n v="804"/>
    <n v="18"/>
    <n v="786"/>
    <n v="33.299999999999997"/>
    <n v="7.3"/>
    <n v="108.52"/>
    <n v="87250.08"/>
    <n v="1953.36"/>
    <s v="Review"/>
  </r>
  <r>
    <x v="434"/>
    <d v="2025-06-02T00:00:00"/>
    <x v="6"/>
    <x v="1"/>
    <s v="Line C"/>
    <s v="Construction Additives"/>
    <x v="2"/>
    <s v="J. Mwangi"/>
    <n v="1748"/>
    <n v="1742"/>
    <n v="39"/>
    <n v="1703"/>
    <n v="50.4"/>
    <n v="7.8"/>
    <n v="108.63"/>
    <n v="189233.46"/>
    <n v="4236.57"/>
    <s v="Review"/>
  </r>
  <r>
    <x v="435"/>
    <d v="2025-02-15T00:00:00"/>
    <x v="0"/>
    <x v="0"/>
    <s v="Line D"/>
    <s v="Protective Coatings"/>
    <x v="2"/>
    <s v="R. Njeri"/>
    <n v="1358"/>
    <n v="1239"/>
    <n v="41"/>
    <n v="1198"/>
    <n v="56.2"/>
    <n v="6.4"/>
    <n v="108.8"/>
    <n v="134803.19999999998"/>
    <n v="4460.8"/>
    <s v="Review"/>
  </r>
  <r>
    <x v="436"/>
    <d v="2025-02-22T00:00:00"/>
    <x v="0"/>
    <x v="0"/>
    <s v="Line B"/>
    <s v="Protective Coatings"/>
    <x v="0"/>
    <s v="D. Kamau"/>
    <n v="1052"/>
    <n v="1130"/>
    <n v="27"/>
    <n v="1103"/>
    <n v="32.799999999999997"/>
    <n v="7.8"/>
    <n v="108.95"/>
    <n v="123113.5"/>
    <n v="2941.65"/>
    <s v="Review"/>
  </r>
  <r>
    <x v="437"/>
    <d v="2025-03-26T00:00:00"/>
    <x v="1"/>
    <x v="0"/>
    <s v="Line B"/>
    <s v="Industrial Cleaners"/>
    <x v="0"/>
    <s v="D. Kamau"/>
    <n v="1622"/>
    <n v="1550"/>
    <n v="11"/>
    <n v="1539"/>
    <n v="2"/>
    <n v="8"/>
    <n v="109.07"/>
    <n v="169058.5"/>
    <n v="1199.77"/>
    <s v="Pass"/>
  </r>
  <r>
    <x v="438"/>
    <d v="2025-04-25T00:00:00"/>
    <x v="4"/>
    <x v="1"/>
    <s v="Line C"/>
    <s v="Industrial Cleaners"/>
    <x v="2"/>
    <s v="M. Hassan"/>
    <n v="1562"/>
    <n v="1722"/>
    <n v="59"/>
    <n v="1663"/>
    <n v="110.2"/>
    <n v="6.9"/>
    <n v="109.35"/>
    <n v="188300.69999999998"/>
    <n v="6451.65"/>
    <s v="Review"/>
  </r>
  <r>
    <x v="439"/>
    <d v="2025-01-14T00:00:00"/>
    <x v="5"/>
    <x v="2"/>
    <s v="Line D"/>
    <s v="Water Treatment Chemicals"/>
    <x v="0"/>
    <s v="R. Njeri"/>
    <n v="1532"/>
    <n v="1403"/>
    <n v="30"/>
    <n v="1373"/>
    <n v="27.6"/>
    <n v="7.6"/>
    <n v="109.47"/>
    <n v="153586.41"/>
    <n v="3284.1"/>
    <s v="Review"/>
  </r>
  <r>
    <x v="440"/>
    <d v="2025-12-05T00:00:00"/>
    <x v="3"/>
    <x v="2"/>
    <s v="Line A"/>
    <s v="Packaging Resin"/>
    <x v="2"/>
    <s v="D. Kamau"/>
    <n v="1164"/>
    <n v="1234"/>
    <n v="34"/>
    <n v="1200"/>
    <n v="70.400000000000006"/>
    <n v="7"/>
    <n v="109.75"/>
    <n v="135431.5"/>
    <n v="3731.5"/>
    <s v="Review"/>
  </r>
  <r>
    <x v="441"/>
    <d v="2025-02-26T00:00:00"/>
    <x v="0"/>
    <x v="1"/>
    <s v="Line E"/>
    <s v="Industrial Cleaners"/>
    <x v="0"/>
    <s v="D. Kamau"/>
    <n v="1321"/>
    <n v="1644"/>
    <n v="33"/>
    <n v="1611"/>
    <n v="23.3"/>
    <n v="6.1"/>
    <n v="109.81"/>
    <n v="180527.64"/>
    <n v="3623.73"/>
    <s v="Review"/>
  </r>
  <r>
    <x v="442"/>
    <d v="2025-11-26T00:00:00"/>
    <x v="11"/>
    <x v="0"/>
    <s v="Line D"/>
    <s v="Construction Additives"/>
    <x v="1"/>
    <s v="P. Otieno"/>
    <n v="1689"/>
    <n v="2005"/>
    <n v="37"/>
    <n v="1968"/>
    <n v="33.9"/>
    <n v="6.2"/>
    <n v="109.91"/>
    <n v="220369.55"/>
    <n v="4066.67"/>
    <s v="Pass"/>
  </r>
  <r>
    <x v="443"/>
    <d v="2025-10-04T00:00:00"/>
    <x v="2"/>
    <x v="0"/>
    <s v="Line E"/>
    <s v="Protective Coatings"/>
    <x v="0"/>
    <s v="P. Otieno"/>
    <n v="1303"/>
    <n v="1339"/>
    <n v="12"/>
    <n v="1327"/>
    <n v="23.4"/>
    <n v="7.6"/>
    <n v="110.05"/>
    <n v="147356.94999999998"/>
    <n v="1320.6"/>
    <s v="Pass"/>
  </r>
  <r>
    <x v="444"/>
    <d v="2025-12-01T00:00:00"/>
    <x v="3"/>
    <x v="0"/>
    <s v="Line A"/>
    <s v="Industrial Cleaners"/>
    <x v="0"/>
    <s v="D. Kamau"/>
    <n v="1291"/>
    <n v="1097"/>
    <n v="6"/>
    <n v="1091"/>
    <n v="26.3"/>
    <n v="8.3000000000000007"/>
    <n v="110.16"/>
    <n v="120845.51999999999"/>
    <n v="660.96"/>
    <s v="Pass"/>
  </r>
  <r>
    <x v="445"/>
    <d v="2025-11-23T00:00:00"/>
    <x v="11"/>
    <x v="1"/>
    <s v="Line C"/>
    <s v="Protective Coatings"/>
    <x v="1"/>
    <s v="M. Hassan"/>
    <n v="1348"/>
    <n v="1181"/>
    <n v="7"/>
    <n v="1174"/>
    <n v="74.400000000000006"/>
    <n v="7.8"/>
    <n v="110.44"/>
    <n v="130429.64"/>
    <n v="773.07999999999993"/>
    <s v="Pass"/>
  </r>
  <r>
    <x v="446"/>
    <d v="2025-05-01T00:00:00"/>
    <x v="7"/>
    <x v="1"/>
    <s v="Line B"/>
    <s v="Water Treatment Chemicals"/>
    <x v="0"/>
    <s v="S. Kiptoo"/>
    <n v="1748"/>
    <n v="1774"/>
    <n v="47"/>
    <n v="1727"/>
    <n v="68"/>
    <n v="6.2"/>
    <n v="110.68"/>
    <n v="196346.32"/>
    <n v="5201.96"/>
    <s v="Review"/>
  </r>
  <r>
    <x v="447"/>
    <d v="2025-06-16T00:00:00"/>
    <x v="6"/>
    <x v="1"/>
    <s v="Line B"/>
    <s v="Water Treatment Chemicals"/>
    <x v="0"/>
    <s v="D. Kamau"/>
    <n v="1513"/>
    <n v="1509"/>
    <n v="49"/>
    <n v="1460"/>
    <n v="45.9"/>
    <n v="6.6"/>
    <n v="110.69"/>
    <n v="167031.21"/>
    <n v="5423.8099999999995"/>
    <s v="Review"/>
  </r>
  <r>
    <x v="448"/>
    <d v="2025-09-13T00:00:00"/>
    <x v="8"/>
    <x v="0"/>
    <s v="Line C"/>
    <s v="Construction Additives"/>
    <x v="2"/>
    <s v="M. Hassan"/>
    <n v="1758"/>
    <n v="1360"/>
    <n v="26"/>
    <n v="1334"/>
    <n v="33"/>
    <n v="7.9"/>
    <n v="110.85"/>
    <n v="150756"/>
    <n v="2882.1"/>
    <s v="Pass"/>
  </r>
  <r>
    <x v="449"/>
    <d v="2025-01-12T00:00:00"/>
    <x v="5"/>
    <x v="2"/>
    <s v="Line C"/>
    <s v="Water Treatment Chemicals"/>
    <x v="2"/>
    <s v="A. Wanjiku"/>
    <n v="1667"/>
    <n v="1330"/>
    <n v="13"/>
    <n v="1317"/>
    <n v="20"/>
    <n v="8"/>
    <n v="111.52"/>
    <n v="148321.60000000001"/>
    <n v="1449.76"/>
    <s v="Pass"/>
  </r>
  <r>
    <x v="450"/>
    <d v="2025-02-03T00:00:00"/>
    <x v="0"/>
    <x v="1"/>
    <s v="Line D"/>
    <s v="Protective Coatings"/>
    <x v="0"/>
    <s v="M. Hassan"/>
    <n v="771"/>
    <n v="671"/>
    <n v="4"/>
    <n v="667"/>
    <n v="25.8"/>
    <n v="7"/>
    <n v="111.7"/>
    <n v="74950.7"/>
    <n v="446.8"/>
    <s v="Pass"/>
  </r>
  <r>
    <x v="451"/>
    <d v="2025-04-12T00:00:00"/>
    <x v="4"/>
    <x v="2"/>
    <s v="Line D"/>
    <s v="Packaging Resin"/>
    <x v="1"/>
    <s v="M. Hassan"/>
    <n v="1018"/>
    <n v="946"/>
    <n v="31"/>
    <n v="915"/>
    <n v="21"/>
    <n v="6.9"/>
    <n v="111.79"/>
    <n v="105753.34000000001"/>
    <n v="3465.4900000000002"/>
    <s v="Review"/>
  </r>
  <r>
    <x v="452"/>
    <d v="2025-06-30T00:00:00"/>
    <x v="6"/>
    <x v="1"/>
    <s v="Line E"/>
    <s v="Water Treatment Chemicals"/>
    <x v="1"/>
    <s v="F. Ali"/>
    <n v="1359"/>
    <n v="1438"/>
    <n v="25"/>
    <n v="1413"/>
    <n v="33.4"/>
    <n v="6.5"/>
    <n v="112.64"/>
    <n v="161976.32000000001"/>
    <n v="2816"/>
    <s v="Pass"/>
  </r>
  <r>
    <x v="453"/>
    <d v="2025-12-24T00:00:00"/>
    <x v="3"/>
    <x v="1"/>
    <s v="Line A"/>
    <s v="Construction Additives"/>
    <x v="0"/>
    <s v="P. Otieno"/>
    <n v="1308"/>
    <n v="1497"/>
    <n v="9"/>
    <n v="1488"/>
    <n v="23.8"/>
    <n v="7.5"/>
    <n v="112.77"/>
    <n v="168816.69"/>
    <n v="1014.93"/>
    <s v="Pass"/>
  </r>
  <r>
    <x v="454"/>
    <d v="2025-02-14T00:00:00"/>
    <x v="0"/>
    <x v="2"/>
    <s v="Line D"/>
    <s v="Construction Additives"/>
    <x v="2"/>
    <s v="P. Otieno"/>
    <n v="979"/>
    <n v="934"/>
    <n v="25"/>
    <n v="909"/>
    <n v="31.5"/>
    <n v="7.1"/>
    <n v="113.19"/>
    <n v="105719.45999999999"/>
    <n v="2829.75"/>
    <s v="Review"/>
  </r>
  <r>
    <x v="455"/>
    <d v="2025-04-04T00:00:00"/>
    <x v="4"/>
    <x v="1"/>
    <s v="Line D"/>
    <s v="Construction Additives"/>
    <x v="0"/>
    <s v="R. Njeri"/>
    <n v="1380"/>
    <n v="1560"/>
    <n v="5"/>
    <n v="1555"/>
    <n v="38.4"/>
    <n v="7.4"/>
    <n v="113.38"/>
    <n v="176872.8"/>
    <n v="566.9"/>
    <s v="Pass"/>
  </r>
  <r>
    <x v="456"/>
    <d v="2025-04-27T00:00:00"/>
    <x v="4"/>
    <x v="0"/>
    <s v="Line D"/>
    <s v="Water Treatment Chemicals"/>
    <x v="2"/>
    <s v="S. Kiptoo"/>
    <n v="1648"/>
    <n v="1648"/>
    <n v="31"/>
    <n v="1617"/>
    <n v="22.1"/>
    <n v="7.1"/>
    <n v="113.42"/>
    <n v="186916.16"/>
    <n v="3516.02"/>
    <s v="Pass"/>
  </r>
  <r>
    <x v="457"/>
    <d v="2025-02-08T00:00:00"/>
    <x v="0"/>
    <x v="0"/>
    <s v="Line D"/>
    <s v="Industrial Cleaners"/>
    <x v="0"/>
    <s v="J. Mwangi"/>
    <n v="1168"/>
    <n v="1129"/>
    <n v="6"/>
    <n v="1123"/>
    <n v="58.9"/>
    <n v="7.4"/>
    <n v="113.5"/>
    <n v="128141.5"/>
    <n v="681"/>
    <s v="Pass"/>
  </r>
  <r>
    <x v="458"/>
    <d v="2025-05-07T00:00:00"/>
    <x v="7"/>
    <x v="0"/>
    <s v="Line C"/>
    <s v="Protective Coatings"/>
    <x v="2"/>
    <s v="R. Njeri"/>
    <n v="1211"/>
    <n v="1118"/>
    <n v="12"/>
    <n v="1106"/>
    <n v="10.3"/>
    <n v="7"/>
    <n v="114.25"/>
    <n v="127731.5"/>
    <n v="1371"/>
    <s v="Pass"/>
  </r>
  <r>
    <x v="459"/>
    <d v="2025-02-04T00:00:00"/>
    <x v="0"/>
    <x v="2"/>
    <s v="Line D"/>
    <s v="Industrial Cleaners"/>
    <x v="0"/>
    <s v="M. Hassan"/>
    <n v="1166"/>
    <n v="1120"/>
    <n v="19"/>
    <n v="1101"/>
    <n v="61.8"/>
    <n v="6.6"/>
    <n v="114.44"/>
    <n v="128172.8"/>
    <n v="2174.36"/>
    <s v="Pass"/>
  </r>
  <r>
    <x v="460"/>
    <d v="2025-02-13T00:00:00"/>
    <x v="0"/>
    <x v="0"/>
    <s v="Line E"/>
    <s v="Protective Coatings"/>
    <x v="1"/>
    <s v="S. Kiptoo"/>
    <n v="1022"/>
    <n v="1115"/>
    <n v="33"/>
    <n v="1082"/>
    <n v="61.6"/>
    <n v="6.8"/>
    <n v="114.77"/>
    <n v="127968.54999999999"/>
    <n v="3787.41"/>
    <s v="Review"/>
  </r>
  <r>
    <x v="461"/>
    <d v="2025-02-11T00:00:00"/>
    <x v="0"/>
    <x v="0"/>
    <s v="Line D"/>
    <s v="Water Treatment Chemicals"/>
    <x v="0"/>
    <s v="S. Kiptoo"/>
    <n v="1640"/>
    <n v="1486"/>
    <n v="50"/>
    <n v="1436"/>
    <n v="49"/>
    <n v="7.9"/>
    <n v="115.11"/>
    <n v="171053.46"/>
    <n v="5755.5"/>
    <s v="Review"/>
  </r>
  <r>
    <x v="462"/>
    <d v="2025-08-30T00:00:00"/>
    <x v="9"/>
    <x v="0"/>
    <s v="Line E"/>
    <s v="Construction Additives"/>
    <x v="1"/>
    <s v="A. Wanjiku"/>
    <n v="1028"/>
    <n v="1147"/>
    <n v="34"/>
    <n v="1113"/>
    <n v="47.8"/>
    <n v="6.4"/>
    <n v="115.13"/>
    <n v="132054.10999999999"/>
    <n v="3914.42"/>
    <s v="Review"/>
  </r>
  <r>
    <x v="463"/>
    <d v="2025-10-31T00:00:00"/>
    <x v="2"/>
    <x v="2"/>
    <s v="Line C"/>
    <s v="Packaging Resin"/>
    <x v="0"/>
    <s v="F. Ali"/>
    <n v="1415"/>
    <n v="1571"/>
    <n v="16"/>
    <n v="1555"/>
    <n v="17.7"/>
    <n v="6.2"/>
    <n v="115.47"/>
    <n v="181403.37"/>
    <n v="1847.52"/>
    <s v="Pass"/>
  </r>
  <r>
    <x v="464"/>
    <d v="2025-10-04T00:00:00"/>
    <x v="2"/>
    <x v="0"/>
    <s v="Line A"/>
    <s v="Industrial Cleaners"/>
    <x v="0"/>
    <s v="S. Kiptoo"/>
    <n v="968"/>
    <n v="831"/>
    <n v="24"/>
    <n v="807"/>
    <n v="55"/>
    <n v="7.2"/>
    <n v="115.62"/>
    <n v="96080.22"/>
    <n v="2774.88"/>
    <s v="Review"/>
  </r>
  <r>
    <x v="465"/>
    <d v="2025-06-27T00:00:00"/>
    <x v="6"/>
    <x v="2"/>
    <s v="Line E"/>
    <s v="Protective Coatings"/>
    <x v="0"/>
    <s v="J. Mwangi"/>
    <n v="1685"/>
    <n v="1877"/>
    <n v="45"/>
    <n v="1832"/>
    <n v="39.6"/>
    <n v="6.1"/>
    <n v="115.81"/>
    <n v="217375.37"/>
    <n v="5211.45"/>
    <s v="Review"/>
  </r>
  <r>
    <x v="466"/>
    <d v="2025-11-21T00:00:00"/>
    <x v="11"/>
    <x v="2"/>
    <s v="Line B"/>
    <s v="Industrial Cleaners"/>
    <x v="2"/>
    <s v="F. Ali"/>
    <n v="1480"/>
    <n v="1314"/>
    <n v="44"/>
    <n v="1270"/>
    <n v="6.5"/>
    <n v="8.5"/>
    <n v="116.06"/>
    <n v="152502.84"/>
    <n v="5106.6400000000003"/>
    <s v="Review"/>
  </r>
  <r>
    <x v="467"/>
    <d v="2025-04-24T00:00:00"/>
    <x v="4"/>
    <x v="2"/>
    <s v="Line E"/>
    <s v="Industrial Cleaners"/>
    <x v="0"/>
    <s v="J. Mwangi"/>
    <n v="1120"/>
    <n v="1279"/>
    <n v="37"/>
    <n v="1242"/>
    <n v="6.3"/>
    <n v="7"/>
    <n v="116.11"/>
    <n v="148504.69"/>
    <n v="4296.07"/>
    <s v="Review"/>
  </r>
  <r>
    <x v="468"/>
    <d v="2025-03-13T00:00:00"/>
    <x v="1"/>
    <x v="1"/>
    <s v="Line D"/>
    <s v="Packaging Resin"/>
    <x v="1"/>
    <s v="F. Ali"/>
    <n v="1573"/>
    <n v="1244"/>
    <n v="30"/>
    <n v="1214"/>
    <n v="48.8"/>
    <n v="7.8"/>
    <n v="116.26"/>
    <n v="144627.44"/>
    <n v="3487.8"/>
    <s v="Review"/>
  </r>
  <r>
    <x v="469"/>
    <d v="2025-02-16T00:00:00"/>
    <x v="0"/>
    <x v="1"/>
    <s v="Line A"/>
    <s v="Industrial Cleaners"/>
    <x v="1"/>
    <s v="D. Kamau"/>
    <n v="1667"/>
    <n v="1727"/>
    <n v="18"/>
    <n v="1709"/>
    <n v="38.799999999999997"/>
    <n v="6.4"/>
    <n v="116.65"/>
    <n v="201454.55000000002"/>
    <n v="2099.7000000000003"/>
    <s v="Pass"/>
  </r>
  <r>
    <x v="470"/>
    <d v="2025-06-17T00:00:00"/>
    <x v="6"/>
    <x v="0"/>
    <s v="Line C"/>
    <s v="Packaging Resin"/>
    <x v="1"/>
    <s v="A. Wanjiku"/>
    <n v="1412"/>
    <n v="1302"/>
    <n v="17"/>
    <n v="1285"/>
    <n v="56.9"/>
    <n v="6.5"/>
    <n v="116.83"/>
    <n v="152112.66"/>
    <n v="1986.11"/>
    <s v="Pass"/>
  </r>
  <r>
    <x v="471"/>
    <d v="2025-08-01T00:00:00"/>
    <x v="9"/>
    <x v="2"/>
    <s v="Line A"/>
    <s v="Water Treatment Chemicals"/>
    <x v="2"/>
    <s v="D. Kamau"/>
    <n v="1761"/>
    <n v="1877"/>
    <n v="12"/>
    <n v="1865"/>
    <n v="25.6"/>
    <n v="7.6"/>
    <n v="117.18"/>
    <n v="219946.86000000002"/>
    <n v="1406.16"/>
    <s v="Pass"/>
  </r>
  <r>
    <x v="472"/>
    <d v="2025-02-09T00:00:00"/>
    <x v="0"/>
    <x v="2"/>
    <s v="Line B"/>
    <s v="Protective Coatings"/>
    <x v="2"/>
    <s v="A. Wanjiku"/>
    <n v="1101"/>
    <n v="894"/>
    <n v="3"/>
    <n v="891"/>
    <n v="19.100000000000001"/>
    <n v="8.5"/>
    <n v="117.35"/>
    <n v="104910.9"/>
    <n v="352.04999999999995"/>
    <s v="Pass"/>
  </r>
  <r>
    <x v="473"/>
    <d v="2025-04-10T00:00:00"/>
    <x v="4"/>
    <x v="1"/>
    <s v="Line A"/>
    <s v="Water Treatment Chemicals"/>
    <x v="1"/>
    <s v="J. Mwangi"/>
    <n v="1757"/>
    <n v="1896"/>
    <n v="58"/>
    <n v="1838"/>
    <n v="17"/>
    <n v="6.7"/>
    <n v="118.05"/>
    <n v="223822.8"/>
    <n v="6846.9"/>
    <s v="Review"/>
  </r>
  <r>
    <x v="474"/>
    <d v="2025-06-14T00:00:00"/>
    <x v="6"/>
    <x v="2"/>
    <s v="Line C"/>
    <s v="Packaging Resin"/>
    <x v="2"/>
    <s v="A. Wanjiku"/>
    <n v="962"/>
    <n v="1045"/>
    <n v="20"/>
    <n v="1025"/>
    <n v="48.8"/>
    <n v="6.5"/>
    <n v="118.99"/>
    <n v="124344.54999999999"/>
    <n v="2379.7999999999997"/>
    <s v="Pass"/>
  </r>
  <r>
    <x v="475"/>
    <d v="2025-01-19T00:00:00"/>
    <x v="5"/>
    <x v="0"/>
    <s v="Line B"/>
    <s v="Packaging Resin"/>
    <x v="0"/>
    <s v="D. Kamau"/>
    <n v="1227"/>
    <n v="1189"/>
    <n v="36"/>
    <n v="1153"/>
    <n v="28.4"/>
    <n v="7.8"/>
    <n v="119.05"/>
    <n v="141550.44999999998"/>
    <n v="4285.8"/>
    <s v="Review"/>
  </r>
  <r>
    <x v="476"/>
    <d v="2025-06-18T00:00:00"/>
    <x v="6"/>
    <x v="1"/>
    <s v="Line E"/>
    <s v="Construction Additives"/>
    <x v="2"/>
    <s v="P. Otieno"/>
    <n v="1730"/>
    <n v="1780"/>
    <n v="40"/>
    <n v="1740"/>
    <n v="39.6"/>
    <n v="6.5"/>
    <n v="119.67"/>
    <n v="213012.6"/>
    <n v="4786.8"/>
    <s v="Review"/>
  </r>
  <r>
    <x v="477"/>
    <d v="2025-02-08T00:00:00"/>
    <x v="0"/>
    <x v="0"/>
    <s v="Line C"/>
    <s v="Water Treatment Chemicals"/>
    <x v="0"/>
    <s v="J. Mwangi"/>
    <n v="1731"/>
    <n v="1514"/>
    <n v="25"/>
    <n v="1489"/>
    <n v="39.700000000000003"/>
    <n v="7.8"/>
    <n v="119.77"/>
    <n v="181331.78"/>
    <n v="2994.25"/>
    <s v="Pass"/>
  </r>
  <r>
    <x v="478"/>
    <d v="2025-10-20T00:00:00"/>
    <x v="2"/>
    <x v="2"/>
    <s v="Line E"/>
    <s v="Protective Coatings"/>
    <x v="0"/>
    <s v="S. Kiptoo"/>
    <n v="1448"/>
    <n v="1538"/>
    <n v="28"/>
    <n v="1510"/>
    <n v="31.7"/>
    <n v="8.3000000000000007"/>
    <n v="120.47"/>
    <n v="185282.86"/>
    <n v="3373.16"/>
    <s v="Pass"/>
  </r>
  <r>
    <x v="479"/>
    <d v="2025-07-09T00:00:00"/>
    <x v="10"/>
    <x v="0"/>
    <s v="Line B"/>
    <s v="Industrial Cleaners"/>
    <x v="2"/>
    <s v="S. Kiptoo"/>
    <n v="1119"/>
    <n v="1050"/>
    <n v="21"/>
    <n v="1029"/>
    <n v="53.4"/>
    <n v="7"/>
    <n v="121.16"/>
    <n v="127218"/>
    <n v="2544.36"/>
    <s v="Review"/>
  </r>
  <r>
    <x v="480"/>
    <d v="2025-05-14T00:00:00"/>
    <x v="7"/>
    <x v="1"/>
    <s v="Line C"/>
    <s v="Water Treatment Chemicals"/>
    <x v="2"/>
    <s v="M. Hassan"/>
    <n v="975"/>
    <n v="919"/>
    <n v="32"/>
    <n v="887"/>
    <n v="59.3"/>
    <n v="7.7"/>
    <n v="121.46"/>
    <n v="111621.73999999999"/>
    <n v="3886.72"/>
    <s v="Review"/>
  </r>
  <r>
    <x v="481"/>
    <d v="2025-11-22T00:00:00"/>
    <x v="11"/>
    <x v="1"/>
    <s v="Line A"/>
    <s v="Water Treatment Chemicals"/>
    <x v="0"/>
    <s v="R. Njeri"/>
    <n v="1587"/>
    <n v="1461"/>
    <n v="27"/>
    <n v="1434"/>
    <n v="3.8"/>
    <n v="7.2"/>
    <n v="121.87"/>
    <n v="178052.07"/>
    <n v="3290.4900000000002"/>
    <s v="Pass"/>
  </r>
  <r>
    <x v="482"/>
    <d v="2025-05-17T00:00:00"/>
    <x v="7"/>
    <x v="0"/>
    <s v="Line C"/>
    <s v="Packaging Resin"/>
    <x v="2"/>
    <s v="M. Hassan"/>
    <n v="1771"/>
    <n v="1658"/>
    <n v="22"/>
    <n v="1636"/>
    <n v="9.5"/>
    <n v="7"/>
    <n v="122.15"/>
    <n v="202524.7"/>
    <n v="2687.3"/>
    <s v="Pass"/>
  </r>
  <r>
    <x v="483"/>
    <d v="2025-10-14T00:00:00"/>
    <x v="2"/>
    <x v="0"/>
    <s v="Line E"/>
    <s v="Packaging Resin"/>
    <x v="0"/>
    <s v="M. Hassan"/>
    <n v="1566"/>
    <n v="1531"/>
    <n v="47"/>
    <n v="1484"/>
    <n v="48.9"/>
    <n v="8.3000000000000007"/>
    <n v="122.34"/>
    <n v="187302.54"/>
    <n v="5749.9800000000005"/>
    <s v="Review"/>
  </r>
  <r>
    <x v="484"/>
    <d v="2025-08-31T00:00:00"/>
    <x v="9"/>
    <x v="0"/>
    <s v="Line D"/>
    <s v="Protective Coatings"/>
    <x v="0"/>
    <s v="F. Ali"/>
    <n v="1670"/>
    <n v="1608"/>
    <n v="43"/>
    <n v="1565"/>
    <n v="25.3"/>
    <n v="6.8"/>
    <n v="122.35"/>
    <n v="196738.8"/>
    <n v="5261.05"/>
    <s v="Review"/>
  </r>
  <r>
    <x v="485"/>
    <d v="2025-01-06T00:00:00"/>
    <x v="5"/>
    <x v="0"/>
    <s v="Line B"/>
    <s v="Water Treatment Chemicals"/>
    <x v="0"/>
    <s v="D. Kamau"/>
    <n v="1663"/>
    <n v="1748"/>
    <n v="39"/>
    <n v="1709"/>
    <n v="16.600000000000001"/>
    <n v="8"/>
    <n v="122.38"/>
    <n v="213920.24"/>
    <n v="4772.82"/>
    <s v="Review"/>
  </r>
  <r>
    <x v="486"/>
    <d v="2025-12-29T00:00:00"/>
    <x v="3"/>
    <x v="2"/>
    <s v="Line B"/>
    <s v="Protective Coatings"/>
    <x v="0"/>
    <s v="P. Otieno"/>
    <n v="1316"/>
    <n v="1253"/>
    <n v="22"/>
    <n v="1231"/>
    <n v="43.5"/>
    <n v="6.5"/>
    <n v="122.51"/>
    <n v="153505.03"/>
    <n v="2695.2200000000003"/>
    <s v="Pass"/>
  </r>
  <r>
    <x v="487"/>
    <d v="2025-10-29T00:00:00"/>
    <x v="2"/>
    <x v="2"/>
    <s v="Line B"/>
    <s v="Protective Coatings"/>
    <x v="1"/>
    <s v="R. Njeri"/>
    <n v="778"/>
    <n v="747"/>
    <n v="26"/>
    <n v="721"/>
    <n v="39.6"/>
    <n v="6.2"/>
    <n v="123.03"/>
    <n v="91903.41"/>
    <n v="3198.78"/>
    <s v="Review"/>
  </r>
  <r>
    <x v="488"/>
    <d v="2025-07-22T00:00:00"/>
    <x v="10"/>
    <x v="0"/>
    <s v="Line A"/>
    <s v="Protective Coatings"/>
    <x v="1"/>
    <s v="M. Hassan"/>
    <n v="1406"/>
    <n v="1274"/>
    <n v="12"/>
    <n v="1262"/>
    <n v="13.7"/>
    <n v="7.8"/>
    <n v="123.08"/>
    <n v="156803.91999999998"/>
    <n v="1476.96"/>
    <s v="Pass"/>
  </r>
  <r>
    <x v="489"/>
    <d v="2025-04-13T00:00:00"/>
    <x v="4"/>
    <x v="1"/>
    <s v="Line C"/>
    <s v="Protective Coatings"/>
    <x v="1"/>
    <s v="Not Found"/>
    <n v="797"/>
    <n v="725"/>
    <n v="25"/>
    <n v="700"/>
    <n v="116.2"/>
    <n v="6.4"/>
    <n v="123.5"/>
    <n v="89537.5"/>
    <n v="3087.5"/>
    <s v="Review"/>
  </r>
  <r>
    <x v="490"/>
    <d v="2025-09-03T00:00:00"/>
    <x v="8"/>
    <x v="0"/>
    <s v="Line A"/>
    <s v="Packaging Resin"/>
    <x v="1"/>
    <s v="F. Ali"/>
    <n v="1459"/>
    <n v="1576"/>
    <n v="8"/>
    <n v="1568"/>
    <n v="22.2"/>
    <n v="8.1999999999999993"/>
    <n v="124.11"/>
    <n v="195597.36"/>
    <n v="992.88"/>
    <s v="Pass"/>
  </r>
  <r>
    <x v="491"/>
    <d v="2025-01-31T00:00:00"/>
    <x v="5"/>
    <x v="1"/>
    <s v="Line C"/>
    <s v="Packaging Resin"/>
    <x v="0"/>
    <s v="R. Njeri"/>
    <n v="1061"/>
    <n v="1008"/>
    <n v="27"/>
    <n v="981"/>
    <n v="21.3"/>
    <n v="7.9"/>
    <n v="125.22"/>
    <n v="126221.75999999999"/>
    <n v="3380.94"/>
    <s v="Review"/>
  </r>
  <r>
    <x v="492"/>
    <d v="2025-09-07T00:00:00"/>
    <x v="8"/>
    <x v="2"/>
    <s v="Line A"/>
    <s v="Construction Additives"/>
    <x v="1"/>
    <s v="M. Hassan"/>
    <n v="1509"/>
    <n v="1354"/>
    <n v="8"/>
    <n v="1346"/>
    <n v="124.2"/>
    <n v="6.7"/>
    <n v="125.5"/>
    <n v="169927"/>
    <n v="1004"/>
    <s v="Pass"/>
  </r>
  <r>
    <x v="493"/>
    <d v="2025-09-24T00:00:00"/>
    <x v="8"/>
    <x v="2"/>
    <s v="Line E"/>
    <s v="Construction Additives"/>
    <x v="0"/>
    <s v="J. Mwangi"/>
    <n v="1652"/>
    <n v="1671"/>
    <n v="12"/>
    <n v="1659"/>
    <n v="1.9"/>
    <n v="7.7"/>
    <n v="125.65"/>
    <n v="209961.15000000002"/>
    <n v="1507.8000000000002"/>
    <s v="Pass"/>
  </r>
  <r>
    <x v="494"/>
    <d v="2025-12-13T00:00:00"/>
    <x v="3"/>
    <x v="0"/>
    <s v="Line C"/>
    <s v="Water Treatment Chemicals"/>
    <x v="1"/>
    <s v="A. Wanjiku"/>
    <n v="1076"/>
    <n v="1139"/>
    <n v="19"/>
    <n v="1120"/>
    <n v="66.2"/>
    <n v="8.1"/>
    <n v="125.91"/>
    <n v="143411.49"/>
    <n v="2392.29"/>
    <s v="Pass"/>
  </r>
  <r>
    <x v="495"/>
    <d v="2025-04-07T00:00:00"/>
    <x v="4"/>
    <x v="1"/>
    <s v="Line E"/>
    <s v="Construction Additives"/>
    <x v="1"/>
    <s v="J. Mwangi"/>
    <n v="981"/>
    <n v="998"/>
    <n v="9"/>
    <n v="989"/>
    <n v="33.5"/>
    <n v="8.3000000000000007"/>
    <n v="126.08"/>
    <n v="125827.84"/>
    <n v="1134.72"/>
    <s v="Pass"/>
  </r>
  <r>
    <x v="496"/>
    <d v="2025-06-23T00:00:00"/>
    <x v="6"/>
    <x v="1"/>
    <s v="Line A"/>
    <s v="Packaging Resin"/>
    <x v="0"/>
    <s v="F. Ali"/>
    <n v="1597"/>
    <n v="1392"/>
    <n v="48"/>
    <n v="1344"/>
    <n v="69.2"/>
    <n v="7.9"/>
    <n v="126.23"/>
    <n v="175712.16"/>
    <n v="6059.04"/>
    <s v="Review"/>
  </r>
  <r>
    <x v="497"/>
    <d v="2025-11-08T00:00:00"/>
    <x v="11"/>
    <x v="1"/>
    <s v="Line D"/>
    <s v="Water Treatment Chemicals"/>
    <x v="1"/>
    <s v="P. Otieno"/>
    <n v="760"/>
    <n v="528"/>
    <n v="12"/>
    <n v="516"/>
    <n v="7.7"/>
    <n v="6.3"/>
    <n v="126.25"/>
    <n v="66660"/>
    <n v="1515"/>
    <s v="Review"/>
  </r>
  <r>
    <x v="498"/>
    <d v="2025-07-01T00:00:00"/>
    <x v="10"/>
    <x v="2"/>
    <s v="Line A"/>
    <s v="Protective Coatings"/>
    <x v="0"/>
    <s v="M. Hassan"/>
    <n v="1489"/>
    <n v="1505"/>
    <n v="25"/>
    <n v="1480"/>
    <n v="29.5"/>
    <n v="7.6"/>
    <n v="126.74"/>
    <n v="190743.69999999998"/>
    <n v="3168.5"/>
    <s v="Pass"/>
  </r>
  <r>
    <x v="499"/>
    <d v="2025-05-13T00:00:00"/>
    <x v="7"/>
    <x v="0"/>
    <s v="Line A"/>
    <s v="Packaging Resin"/>
    <x v="2"/>
    <s v="D. Kamau"/>
    <n v="708"/>
    <n v="588"/>
    <n v="6"/>
    <n v="582"/>
    <n v="55.3"/>
    <n v="7.6"/>
    <n v="126.98"/>
    <n v="74664.240000000005"/>
    <n v="761.88"/>
    <s v="Pass"/>
  </r>
  <r>
    <x v="500"/>
    <d v="2025-08-09T00:00:00"/>
    <x v="9"/>
    <x v="2"/>
    <s v="Line E"/>
    <s v="Industrial Cleaners"/>
    <x v="2"/>
    <s v="R. Njeri"/>
    <n v="870"/>
    <n v="715"/>
    <n v="4"/>
    <n v="711"/>
    <n v="47.2"/>
    <n v="8.1"/>
    <n v="127.69"/>
    <n v="91298.349999999991"/>
    <n v="510.76"/>
    <s v="Pass"/>
  </r>
  <r>
    <x v="501"/>
    <d v="2025-06-12T00:00:00"/>
    <x v="6"/>
    <x v="1"/>
    <s v="Line D"/>
    <s v="Industrial Cleaners"/>
    <x v="0"/>
    <s v="R. Njeri"/>
    <n v="1667"/>
    <n v="1558"/>
    <n v="52"/>
    <n v="1506"/>
    <n v="43"/>
    <n v="8"/>
    <n v="128.08000000000001"/>
    <n v="199548.64"/>
    <n v="6660.1600000000008"/>
    <s v="Review"/>
  </r>
  <r>
    <x v="502"/>
    <d v="2025-08-18T00:00:00"/>
    <x v="9"/>
    <x v="2"/>
    <s v="Line B"/>
    <s v="Industrial Cleaners"/>
    <x v="0"/>
    <s v="S. Kiptoo"/>
    <n v="1459"/>
    <n v="1602"/>
    <n v="13"/>
    <n v="1589"/>
    <n v="37.9"/>
    <n v="7"/>
    <n v="128.26"/>
    <n v="205472.52"/>
    <n v="1667.3799999999999"/>
    <s v="Pass"/>
  </r>
  <r>
    <x v="503"/>
    <d v="2025-01-08T00:00:00"/>
    <x v="5"/>
    <x v="1"/>
    <s v="Line C"/>
    <s v="Construction Additives"/>
    <x v="0"/>
    <s v="D. Kamau"/>
    <n v="1573"/>
    <n v="1373"/>
    <n v="26"/>
    <n v="1347"/>
    <n v="32.6"/>
    <n v="7.8"/>
    <n v="128.41"/>
    <n v="176306.93"/>
    <n v="3338.66"/>
    <s v="Pass"/>
  </r>
  <r>
    <x v="504"/>
    <d v="2025-02-11T00:00:00"/>
    <x v="0"/>
    <x v="2"/>
    <s v="Line A"/>
    <s v="Industrial Cleaners"/>
    <x v="1"/>
    <s v="J. Mwangi"/>
    <n v="1190"/>
    <n v="1019"/>
    <n v="4"/>
    <n v="1015"/>
    <n v="47.9"/>
    <n v="8.5"/>
    <n v="128.41999999999999"/>
    <n v="130859.97999999998"/>
    <n v="513.67999999999995"/>
    <s v="Pass"/>
  </r>
  <r>
    <x v="505"/>
    <d v="2025-05-17T00:00:00"/>
    <x v="7"/>
    <x v="0"/>
    <s v="Line C"/>
    <s v="Protective Coatings"/>
    <x v="2"/>
    <s v="A. Wanjiku"/>
    <n v="1096"/>
    <n v="842"/>
    <n v="26"/>
    <n v="816"/>
    <n v="8.8000000000000007"/>
    <n v="8"/>
    <n v="128.44999999999999"/>
    <n v="108154.9"/>
    <n v="3339.7"/>
    <s v="Review"/>
  </r>
  <r>
    <x v="506"/>
    <d v="2025-02-21T00:00:00"/>
    <x v="0"/>
    <x v="2"/>
    <s v="Line E"/>
    <s v="Packaging Resin"/>
    <x v="2"/>
    <s v="D. Kamau"/>
    <n v="908"/>
    <n v="808"/>
    <n v="9"/>
    <n v="799"/>
    <n v="14.3"/>
    <n v="7.3"/>
    <n v="128.87"/>
    <n v="104126.96"/>
    <n v="1159.83"/>
    <s v="Pass"/>
  </r>
  <r>
    <x v="507"/>
    <d v="2025-08-21T00:00:00"/>
    <x v="9"/>
    <x v="0"/>
    <s v="Line E"/>
    <s v="Packaging Resin"/>
    <x v="0"/>
    <s v="R. Njeri"/>
    <n v="1380"/>
    <n v="1379"/>
    <n v="35"/>
    <n v="1344"/>
    <n v="49.4"/>
    <n v="8.1"/>
    <n v="129.07"/>
    <n v="177987.53"/>
    <n v="4517.45"/>
    <s v="Review"/>
  </r>
  <r>
    <x v="508"/>
    <d v="2025-06-02T00:00:00"/>
    <x v="6"/>
    <x v="0"/>
    <s v="Line C"/>
    <s v="Packaging Resin"/>
    <x v="1"/>
    <s v="R. Njeri"/>
    <n v="1602"/>
    <n v="1696"/>
    <n v="34"/>
    <n v="1662"/>
    <n v="19.399999999999999"/>
    <n v="8.3000000000000007"/>
    <n v="129.1"/>
    <n v="218953.59999999998"/>
    <n v="4389.3999999999996"/>
    <s v="Review"/>
  </r>
  <r>
    <x v="509"/>
    <d v="2025-04-06T00:00:00"/>
    <x v="4"/>
    <x v="0"/>
    <s v="Line E"/>
    <s v="Water Treatment Chemicals"/>
    <x v="0"/>
    <s v="D. Kamau"/>
    <n v="1291"/>
    <n v="1237"/>
    <n v="32"/>
    <n v="1205"/>
    <n v="40.4"/>
    <n v="7.1"/>
    <n v="129.34"/>
    <n v="159993.58000000002"/>
    <n v="4138.88"/>
    <s v="Review"/>
  </r>
  <r>
    <x v="510"/>
    <d v="2025-11-03T00:00:00"/>
    <x v="11"/>
    <x v="2"/>
    <s v="Line E"/>
    <s v="Construction Additives"/>
    <x v="2"/>
    <s v="D. Kamau"/>
    <n v="818"/>
    <n v="951"/>
    <n v="13"/>
    <n v="938"/>
    <n v="12"/>
    <n v="8"/>
    <n v="129.55000000000001"/>
    <n v="123202.05000000002"/>
    <n v="1684.15"/>
    <s v="Pass"/>
  </r>
  <r>
    <x v="511"/>
    <d v="2025-08-20T00:00:00"/>
    <x v="9"/>
    <x v="2"/>
    <s v="Line A"/>
    <s v="Packaging Resin"/>
    <x v="0"/>
    <s v="J. Mwangi"/>
    <n v="1440"/>
    <n v="1596"/>
    <n v="50"/>
    <n v="1546"/>
    <n v="25.6"/>
    <n v="6.4"/>
    <n v="129.63999999999999"/>
    <n v="206905.43999999997"/>
    <n v="6481.9999999999991"/>
    <s v="Review"/>
  </r>
  <r>
    <x v="512"/>
    <d v="2025-07-26T00:00:00"/>
    <x v="10"/>
    <x v="0"/>
    <s v="Line B"/>
    <s v="Industrial Cleaners"/>
    <x v="0"/>
    <s v="S. Kiptoo"/>
    <n v="991"/>
    <n v="943"/>
    <n v="6"/>
    <n v="937"/>
    <n v="107.8"/>
    <n v="8.1999999999999993"/>
    <n v="129.81"/>
    <n v="122410.83"/>
    <n v="778.86"/>
    <s v="Pass"/>
  </r>
  <r>
    <x v="513"/>
    <d v="2025-02-25T00:00:00"/>
    <x v="0"/>
    <x v="0"/>
    <s v="Line A"/>
    <s v="Water Treatment Chemicals"/>
    <x v="0"/>
    <s v="R. Njeri"/>
    <n v="1115"/>
    <n v="1178"/>
    <n v="36"/>
    <n v="1142"/>
    <n v="30"/>
    <n v="6.7"/>
    <n v="129.97"/>
    <n v="153104.66"/>
    <n v="4678.92"/>
    <s v="Review"/>
  </r>
  <r>
    <x v="514"/>
    <d v="2025-12-31T00:00:00"/>
    <x v="3"/>
    <x v="1"/>
    <s v="Line C"/>
    <s v="Protective Coatings"/>
    <x v="2"/>
    <s v="P. Otieno"/>
    <n v="1153"/>
    <n v="1459"/>
    <n v="14"/>
    <n v="1445"/>
    <n v="11.1"/>
    <n v="7.4"/>
    <n v="130"/>
    <n v="189670"/>
    <n v="1820"/>
    <s v="Pass"/>
  </r>
  <r>
    <x v="515"/>
    <d v="2025-03-02T00:00:00"/>
    <x v="1"/>
    <x v="2"/>
    <s v="Line A"/>
    <s v="Water Treatment Chemicals"/>
    <x v="2"/>
    <s v="Not Found"/>
    <n v="1320"/>
    <n v="1074"/>
    <n v="13"/>
    <n v="1061"/>
    <n v="22.9"/>
    <n v="7.3"/>
    <n v="130.12"/>
    <n v="139748.88"/>
    <n v="1691.56"/>
    <s v="Pass"/>
  </r>
  <r>
    <x v="516"/>
    <d v="2025-10-30T00:00:00"/>
    <x v="2"/>
    <x v="2"/>
    <s v="Line B"/>
    <s v="Water Treatment Chemicals"/>
    <x v="0"/>
    <s v="D. Kamau"/>
    <n v="1256"/>
    <n v="1085"/>
    <n v="5"/>
    <n v="1080"/>
    <n v="12.5"/>
    <n v="8.3000000000000007"/>
    <n v="130.22999999999999"/>
    <n v="141299.54999999999"/>
    <n v="651.15"/>
    <s v="Pass"/>
  </r>
  <r>
    <x v="517"/>
    <d v="2025-11-09T00:00:00"/>
    <x v="11"/>
    <x v="2"/>
    <s v="Line D"/>
    <s v="Industrial Cleaners"/>
    <x v="2"/>
    <s v="F. Ali"/>
    <n v="1666"/>
    <n v="1838"/>
    <n v="52"/>
    <n v="1786"/>
    <n v="39.200000000000003"/>
    <n v="6.7"/>
    <n v="130.38"/>
    <n v="239638.44"/>
    <n v="6779.76"/>
    <s v="Review"/>
  </r>
  <r>
    <x v="518"/>
    <d v="2025-08-03T00:00:00"/>
    <x v="9"/>
    <x v="0"/>
    <s v="Line A"/>
    <s v="Packaging Resin"/>
    <x v="2"/>
    <s v="D. Kamau"/>
    <n v="778"/>
    <n v="667"/>
    <n v="15"/>
    <n v="652"/>
    <s v=""/>
    <n v="6.3"/>
    <n v="130.41"/>
    <n v="86983.47"/>
    <n v="1956.1499999999999"/>
    <s v="Review"/>
  </r>
  <r>
    <x v="519"/>
    <d v="2025-12-20T00:00:00"/>
    <x v="3"/>
    <x v="1"/>
    <s v="Line D"/>
    <s v="Industrial Cleaners"/>
    <x v="0"/>
    <s v="J. Mwangi"/>
    <n v="1486"/>
    <n v="1157"/>
    <n v="6"/>
    <n v="1151"/>
    <n v="46.5"/>
    <n v="7.2"/>
    <n v="130.75"/>
    <n v="151277.75"/>
    <n v="784.5"/>
    <s v="Pass"/>
  </r>
  <r>
    <x v="520"/>
    <d v="2025-04-12T00:00:00"/>
    <x v="4"/>
    <x v="0"/>
    <s v="Line E"/>
    <s v="Packaging Resin"/>
    <x v="2"/>
    <s v="R. Njeri"/>
    <n v="1136"/>
    <n v="1005"/>
    <n v="27"/>
    <n v="978"/>
    <n v="98.8"/>
    <n v="6.7"/>
    <n v="130.94"/>
    <n v="131594.70000000001"/>
    <n v="3535.38"/>
    <s v="Review"/>
  </r>
  <r>
    <x v="521"/>
    <d v="2025-02-01T00:00:00"/>
    <x v="0"/>
    <x v="0"/>
    <s v="Line A"/>
    <s v="Protective Coatings"/>
    <x v="2"/>
    <s v="A. Wanjiku"/>
    <n v="1225"/>
    <n v="1058"/>
    <n v="36"/>
    <n v="1022"/>
    <n v="56.6"/>
    <n v="8.1999999999999993"/>
    <n v="131.02000000000001"/>
    <n v="138619.16"/>
    <n v="4716.72"/>
    <s v="Review"/>
  </r>
  <r>
    <x v="522"/>
    <d v="2025-12-30T00:00:00"/>
    <x v="3"/>
    <x v="0"/>
    <s v="Line B"/>
    <s v="Protective Coatings"/>
    <x v="2"/>
    <s v="Not Found"/>
    <n v="1660"/>
    <n v="1653"/>
    <n v="16"/>
    <n v="1637"/>
    <n v="30.4"/>
    <n v="8.3000000000000007"/>
    <n v="131.03"/>
    <n v="216592.59"/>
    <n v="2096.48"/>
    <s v="Pass"/>
  </r>
  <r>
    <x v="523"/>
    <d v="2025-06-20T00:00:00"/>
    <x v="6"/>
    <x v="0"/>
    <s v="Line C"/>
    <s v="Industrial Cleaners"/>
    <x v="1"/>
    <s v="M. Hassan"/>
    <n v="1652"/>
    <n v="1591"/>
    <n v="6"/>
    <n v="1585"/>
    <n v="40"/>
    <n v="7"/>
    <n v="131.75"/>
    <n v="209614.25"/>
    <n v="790.5"/>
    <s v="Pass"/>
  </r>
  <r>
    <x v="524"/>
    <d v="2025-12-15T00:00:00"/>
    <x v="3"/>
    <x v="0"/>
    <s v="Line E"/>
    <s v="Industrial Cleaners"/>
    <x v="1"/>
    <s v="M. Hassan"/>
    <n v="1420"/>
    <n v="1275"/>
    <n v="20"/>
    <n v="1255"/>
    <n v="14.5"/>
    <n v="6.5"/>
    <n v="132.09"/>
    <n v="168414.75"/>
    <n v="2641.8"/>
    <s v="Pass"/>
  </r>
  <r>
    <x v="525"/>
    <d v="2025-02-08T00:00:00"/>
    <x v="0"/>
    <x v="2"/>
    <s v="Line A"/>
    <s v="Water Treatment Chemicals"/>
    <x v="2"/>
    <s v="S. Kiptoo"/>
    <n v="1381"/>
    <n v="1104"/>
    <n v="22"/>
    <n v="1082"/>
    <n v="31.6"/>
    <n v="7.4"/>
    <n v="132.16"/>
    <n v="145904.63999999998"/>
    <n v="2907.52"/>
    <s v="Pass"/>
  </r>
  <r>
    <x v="526"/>
    <d v="2025-01-31T00:00:00"/>
    <x v="5"/>
    <x v="1"/>
    <s v="Line A"/>
    <s v="Protective Coatings"/>
    <x v="2"/>
    <s v="P. Otieno"/>
    <n v="1452"/>
    <n v="1262"/>
    <n v="41"/>
    <n v="1221"/>
    <n v="30.3"/>
    <n v="7.1"/>
    <n v="132.44"/>
    <n v="167139.28"/>
    <n v="5430.04"/>
    <s v="Review"/>
  </r>
  <r>
    <x v="527"/>
    <d v="2025-04-20T00:00:00"/>
    <x v="4"/>
    <x v="0"/>
    <s v="Line B"/>
    <s v="Industrial Cleaners"/>
    <x v="1"/>
    <s v="A. Wanjiku"/>
    <n v="1042"/>
    <n v="960"/>
    <n v="29"/>
    <n v="931"/>
    <n v="2.4"/>
    <n v="8.1"/>
    <n v="132.57"/>
    <n v="127267.2"/>
    <n v="3844.5299999999997"/>
    <s v="Review"/>
  </r>
  <r>
    <x v="528"/>
    <d v="2025-03-15T00:00:00"/>
    <x v="1"/>
    <x v="0"/>
    <s v="Line E"/>
    <s v="Packaging Resin"/>
    <x v="1"/>
    <s v="F. Ali"/>
    <n v="1138"/>
    <n v="1167"/>
    <n v="9"/>
    <n v="1158"/>
    <n v="32.700000000000003"/>
    <n v="8.3000000000000007"/>
    <n v="132.62"/>
    <n v="154767.54"/>
    <n v="1193.58"/>
    <s v="Pass"/>
  </r>
  <r>
    <x v="529"/>
    <d v="2025-10-21T00:00:00"/>
    <x v="2"/>
    <x v="1"/>
    <s v="Line C"/>
    <s v="Packaging Resin"/>
    <x v="1"/>
    <s v="S. Kiptoo"/>
    <n v="1469"/>
    <n v="1364"/>
    <n v="40"/>
    <n v="1324"/>
    <n v="36.9"/>
    <n v="7.3"/>
    <n v="133.21"/>
    <n v="181698.44"/>
    <n v="5328.4000000000005"/>
    <s v="Review"/>
  </r>
  <r>
    <x v="530"/>
    <d v="2025-06-10T00:00:00"/>
    <x v="6"/>
    <x v="2"/>
    <s v="Line B"/>
    <s v="Construction Additives"/>
    <x v="0"/>
    <s v="R. Njeri"/>
    <n v="1124"/>
    <n v="1059"/>
    <n v="35"/>
    <n v="1024"/>
    <n v="34.700000000000003"/>
    <n v="7.3"/>
    <n v="133.54"/>
    <n v="141418.85999999999"/>
    <n v="4673.8999999999996"/>
    <s v="Review"/>
  </r>
  <r>
    <x v="531"/>
    <d v="2025-05-24T00:00:00"/>
    <x v="7"/>
    <x v="0"/>
    <s v="Line E"/>
    <s v="Protective Coatings"/>
    <x v="1"/>
    <s v="D. Kamau"/>
    <n v="1299"/>
    <n v="1146"/>
    <n v="33"/>
    <n v="1113"/>
    <n v="87.4"/>
    <n v="6.3"/>
    <n v="133.56"/>
    <n v="153059.76"/>
    <n v="4407.4800000000005"/>
    <s v="Review"/>
  </r>
  <r>
    <x v="532"/>
    <d v="2025-04-14T00:00:00"/>
    <x v="4"/>
    <x v="2"/>
    <s v="Line B"/>
    <s v="Protective Coatings"/>
    <x v="1"/>
    <s v="A. Wanjiku"/>
    <n v="1528"/>
    <n v="1308"/>
    <n v="15"/>
    <n v="1293"/>
    <n v="6"/>
    <n v="7.7"/>
    <n v="133.58000000000001"/>
    <n v="174722.64"/>
    <n v="2003.7000000000003"/>
    <s v="Pass"/>
  </r>
  <r>
    <x v="533"/>
    <d v="2025-10-15T00:00:00"/>
    <x v="2"/>
    <x v="2"/>
    <s v="Line A"/>
    <s v="Construction Additives"/>
    <x v="0"/>
    <s v="A. Wanjiku"/>
    <n v="1786"/>
    <n v="1724"/>
    <n v="26"/>
    <n v="1698"/>
    <n v="29.2"/>
    <n v="8"/>
    <n v="133.97"/>
    <n v="230964.28"/>
    <n v="3483.22"/>
    <s v="Pass"/>
  </r>
  <r>
    <x v="534"/>
    <d v="2025-05-04T00:00:00"/>
    <x v="7"/>
    <x v="1"/>
    <s v="Line D"/>
    <s v="Construction Additives"/>
    <x v="0"/>
    <s v="P. Otieno"/>
    <n v="765"/>
    <n v="686"/>
    <n v="19"/>
    <n v="667"/>
    <n v="16.5"/>
    <n v="6.7"/>
    <n v="133.99"/>
    <n v="91917.14"/>
    <n v="2545.8100000000004"/>
    <s v="Review"/>
  </r>
  <r>
    <x v="535"/>
    <d v="2025-07-02T00:00:00"/>
    <x v="10"/>
    <x v="2"/>
    <s v="Line B"/>
    <s v="Protective Coatings"/>
    <x v="0"/>
    <s v="P. Otieno"/>
    <n v="1215"/>
    <n v="1126"/>
    <n v="3"/>
    <n v="1123"/>
    <n v="15"/>
    <n v="6.6"/>
    <n v="134.08000000000001"/>
    <n v="150974.08000000002"/>
    <n v="402.24"/>
    <s v="Pass"/>
  </r>
  <r>
    <x v="536"/>
    <d v="2025-10-18T00:00:00"/>
    <x v="2"/>
    <x v="1"/>
    <s v="Line C"/>
    <s v="Protective Coatings"/>
    <x v="1"/>
    <s v="S. Kiptoo"/>
    <n v="1231"/>
    <n v="1043"/>
    <n v="4"/>
    <n v="1039"/>
    <n v="45.7"/>
    <n v="6.3"/>
    <n v="134.69"/>
    <n v="140481.66999999998"/>
    <n v="538.76"/>
    <s v="Pass"/>
  </r>
  <r>
    <x v="537"/>
    <d v="2025-06-14T00:00:00"/>
    <x v="6"/>
    <x v="0"/>
    <s v="Line B"/>
    <s v="Packaging Resin"/>
    <x v="0"/>
    <s v="J. Mwangi"/>
    <n v="916"/>
    <n v="879"/>
    <n v="23"/>
    <n v="856"/>
    <n v="162.80000000000001"/>
    <n v="8.1999999999999993"/>
    <n v="134.97"/>
    <n v="118638.63"/>
    <n v="3104.31"/>
    <s v="Review"/>
  </r>
  <r>
    <x v="538"/>
    <d v="2025-10-04T00:00:00"/>
    <x v="2"/>
    <x v="1"/>
    <s v="Line B"/>
    <s v="Packaging Resin"/>
    <x v="0"/>
    <s v="R. Njeri"/>
    <n v="1537"/>
    <n v="1303"/>
    <n v="25"/>
    <n v="1278"/>
    <n v="89"/>
    <n v="7.2"/>
    <n v="135.05000000000001"/>
    <n v="175970.15000000002"/>
    <n v="3376.2500000000005"/>
    <s v="Pass"/>
  </r>
  <r>
    <x v="539"/>
    <d v="2025-08-31T00:00:00"/>
    <x v="9"/>
    <x v="0"/>
    <s v="Line A"/>
    <s v="Protective Coatings"/>
    <x v="0"/>
    <s v="S. Kiptoo"/>
    <n v="1717"/>
    <n v="1807"/>
    <n v="41"/>
    <n v="1766"/>
    <n v="33.200000000000003"/>
    <n v="7"/>
    <n v="135.08000000000001"/>
    <n v="244089.56000000003"/>
    <n v="5538.2800000000007"/>
    <s v="Review"/>
  </r>
  <r>
    <x v="540"/>
    <d v="2025-10-21T00:00:00"/>
    <x v="2"/>
    <x v="1"/>
    <s v="Line C"/>
    <s v="Construction Additives"/>
    <x v="2"/>
    <s v="S. Kiptoo"/>
    <n v="1713"/>
    <n v="1684"/>
    <n v="51"/>
    <n v="1633"/>
    <n v="39"/>
    <n v="6.9"/>
    <n v="135.21"/>
    <n v="227693.64"/>
    <n v="6895.71"/>
    <s v="Review"/>
  </r>
  <r>
    <x v="541"/>
    <d v="2025-06-30T00:00:00"/>
    <x v="6"/>
    <x v="1"/>
    <s v="Line A"/>
    <s v="Water Treatment Chemicals"/>
    <x v="1"/>
    <s v="A. Wanjiku"/>
    <n v="1364"/>
    <n v="1162"/>
    <n v="38"/>
    <n v="1124"/>
    <n v="19.600000000000001"/>
    <n v="6"/>
    <n v="135.47"/>
    <n v="157416.13999999998"/>
    <n v="5147.8599999999997"/>
    <s v="Review"/>
  </r>
  <r>
    <x v="542"/>
    <d v="2025-04-16T00:00:00"/>
    <x v="4"/>
    <x v="1"/>
    <s v="Line E"/>
    <s v="Industrial Cleaners"/>
    <x v="1"/>
    <s v="P. Otieno"/>
    <n v="1412"/>
    <n v="1137"/>
    <n v="32"/>
    <n v="1105"/>
    <n v="24.8"/>
    <n v="7.2"/>
    <n v="135.58000000000001"/>
    <n v="154154.46000000002"/>
    <n v="4338.5600000000004"/>
    <s v="Review"/>
  </r>
  <r>
    <x v="543"/>
    <d v="2025-12-28T00:00:00"/>
    <x v="3"/>
    <x v="0"/>
    <s v="Line A"/>
    <s v="Packaging Resin"/>
    <x v="1"/>
    <s v="S. Kiptoo"/>
    <n v="1223"/>
    <n v="1241"/>
    <n v="37"/>
    <n v="1204"/>
    <n v="4.8"/>
    <n v="6.3"/>
    <n v="135.63"/>
    <n v="168316.83"/>
    <n v="5018.3099999999995"/>
    <s v="Review"/>
  </r>
  <r>
    <x v="544"/>
    <d v="2025-06-14T00:00:00"/>
    <x v="6"/>
    <x v="2"/>
    <s v="Line D"/>
    <s v="Packaging Resin"/>
    <x v="1"/>
    <s v="F. Ali"/>
    <n v="918"/>
    <n v="762"/>
    <n v="3"/>
    <n v="759"/>
    <n v="6.7"/>
    <n v="8"/>
    <n v="135.83000000000001"/>
    <n v="103502.46"/>
    <n v="407.49"/>
    <s v="Pass"/>
  </r>
  <r>
    <x v="545"/>
    <d v="2025-12-03T00:00:00"/>
    <x v="3"/>
    <x v="1"/>
    <s v="Line B"/>
    <s v="Water Treatment Chemicals"/>
    <x v="0"/>
    <s v="F. Ali"/>
    <n v="1600"/>
    <n v="1324"/>
    <n v="13"/>
    <n v="1311"/>
    <s v=""/>
    <n v="7.3"/>
    <n v="135.84"/>
    <n v="179852.16"/>
    <n v="1765.92"/>
    <s v="Pass"/>
  </r>
  <r>
    <x v="546"/>
    <d v="2025-04-20T00:00:00"/>
    <x v="4"/>
    <x v="0"/>
    <s v="Line B"/>
    <s v="Packaging Resin"/>
    <x v="1"/>
    <s v="F. Ali"/>
    <n v="1309"/>
    <n v="1329"/>
    <n v="42"/>
    <n v="1287"/>
    <n v="31.1"/>
    <n v="7.6"/>
    <n v="135.88999999999999"/>
    <n v="180597.80999999997"/>
    <n v="5707.3799999999992"/>
    <s v="Review"/>
  </r>
  <r>
    <x v="547"/>
    <d v="2025-01-24T00:00:00"/>
    <x v="5"/>
    <x v="2"/>
    <s v="Line B"/>
    <s v="Protective Coatings"/>
    <x v="2"/>
    <s v="F. Ali"/>
    <n v="1076"/>
    <n v="1076"/>
    <n v="29"/>
    <n v="1047"/>
    <n v="43.7"/>
    <n v="8.5"/>
    <n v="135.91999999999999"/>
    <n v="146249.91999999998"/>
    <n v="3941.68"/>
    <s v="Review"/>
  </r>
  <r>
    <x v="548"/>
    <d v="2025-04-08T00:00:00"/>
    <x v="4"/>
    <x v="2"/>
    <s v="Line A"/>
    <s v="Packaging Resin"/>
    <x v="1"/>
    <s v="D. Kamau"/>
    <n v="1346"/>
    <n v="1467"/>
    <n v="8"/>
    <n v="1459"/>
    <n v="52.3"/>
    <n v="6.3"/>
    <n v="136.06"/>
    <n v="199600.02"/>
    <n v="1088.48"/>
    <s v="Pass"/>
  </r>
  <r>
    <x v="549"/>
    <d v="2025-12-29T00:00:00"/>
    <x v="3"/>
    <x v="0"/>
    <s v="Line B"/>
    <s v="Water Treatment Chemicals"/>
    <x v="1"/>
    <s v="D. Kamau"/>
    <n v="968"/>
    <n v="1150"/>
    <n v="11"/>
    <n v="1139"/>
    <n v="40.9"/>
    <n v="8.1999999999999993"/>
    <n v="136.07"/>
    <n v="156480.5"/>
    <n v="1496.77"/>
    <s v="Pass"/>
  </r>
  <r>
    <x v="550"/>
    <d v="2025-06-21T00:00:00"/>
    <x v="6"/>
    <x v="1"/>
    <s v="Line C"/>
    <s v="Industrial Cleaners"/>
    <x v="2"/>
    <s v="A. Wanjiku"/>
    <n v="1238"/>
    <n v="906"/>
    <n v="9"/>
    <n v="897"/>
    <n v="6.6"/>
    <n v="6.8"/>
    <n v="136.16"/>
    <n v="123360.95999999999"/>
    <n v="1225.44"/>
    <s v="Pass"/>
  </r>
  <r>
    <x v="551"/>
    <d v="2025-09-30T00:00:00"/>
    <x v="8"/>
    <x v="2"/>
    <s v="Line A"/>
    <s v="Water Treatment Chemicals"/>
    <x v="0"/>
    <s v="M. Hassan"/>
    <n v="936"/>
    <n v="838"/>
    <n v="13"/>
    <n v="825"/>
    <n v="25.8"/>
    <n v="7.4"/>
    <n v="136.19999999999999"/>
    <n v="114135.59999999999"/>
    <n v="1770.6"/>
    <s v="Pass"/>
  </r>
  <r>
    <x v="552"/>
    <d v="2025-08-13T00:00:00"/>
    <x v="9"/>
    <x v="2"/>
    <s v="Line E"/>
    <s v="Water Treatment Chemicals"/>
    <x v="2"/>
    <s v="R. Njeri"/>
    <n v="916"/>
    <n v="1111"/>
    <n v="22"/>
    <n v="1089"/>
    <n v="89.9"/>
    <n v="6.2"/>
    <n v="136.30000000000001"/>
    <n v="151429.30000000002"/>
    <n v="2998.6000000000004"/>
    <s v="Pass"/>
  </r>
  <r>
    <x v="553"/>
    <d v="2025-08-20T00:00:00"/>
    <x v="9"/>
    <x v="2"/>
    <s v="Line B"/>
    <s v="Industrial Cleaners"/>
    <x v="2"/>
    <s v="P. Otieno"/>
    <n v="1532"/>
    <n v="1565"/>
    <n v="34"/>
    <n v="1531"/>
    <n v="7"/>
    <n v="6.2"/>
    <n v="136.54"/>
    <n v="213685.09999999998"/>
    <n v="4642.3599999999997"/>
    <s v="Review"/>
  </r>
  <r>
    <x v="554"/>
    <d v="2025-11-10T00:00:00"/>
    <x v="11"/>
    <x v="2"/>
    <s v="Line C"/>
    <s v="Construction Additives"/>
    <x v="2"/>
    <s v="P. Otieno"/>
    <n v="1585"/>
    <n v="1491"/>
    <n v="39"/>
    <n v="1452"/>
    <n v="74.599999999999994"/>
    <n v="6.2"/>
    <n v="136.86000000000001"/>
    <n v="204058.26"/>
    <n v="5337.5400000000009"/>
    <s v="Review"/>
  </r>
  <r>
    <x v="555"/>
    <d v="2025-02-21T00:00:00"/>
    <x v="0"/>
    <x v="0"/>
    <s v="Line E"/>
    <s v="Construction Additives"/>
    <x v="0"/>
    <s v="J. Mwangi"/>
    <n v="1371"/>
    <n v="1382"/>
    <n v="31"/>
    <n v="1351"/>
    <n v="20.100000000000001"/>
    <n v="7.1"/>
    <n v="136.86000000000001"/>
    <n v="189140.52000000002"/>
    <n v="4242.6600000000008"/>
    <s v="Review"/>
  </r>
  <r>
    <x v="556"/>
    <d v="2025-11-25T00:00:00"/>
    <x v="11"/>
    <x v="0"/>
    <s v="Line C"/>
    <s v="Industrial Cleaners"/>
    <x v="0"/>
    <s v="D. Kamau"/>
    <n v="904"/>
    <n v="785"/>
    <n v="20"/>
    <n v="765"/>
    <n v="59.6"/>
    <n v="6.4"/>
    <n v="136.96"/>
    <n v="107513.60000000001"/>
    <n v="2739.2000000000003"/>
    <s v="Review"/>
  </r>
  <r>
    <x v="557"/>
    <d v="2025-10-23T00:00:00"/>
    <x v="2"/>
    <x v="1"/>
    <s v="Line D"/>
    <s v="Construction Additives"/>
    <x v="1"/>
    <s v="S. Kiptoo"/>
    <n v="1274"/>
    <n v="1321"/>
    <n v="6"/>
    <n v="1315"/>
    <n v="59.4"/>
    <n v="8.4"/>
    <n v="137.01"/>
    <n v="180990.21"/>
    <n v="822.06"/>
    <s v="Pass"/>
  </r>
  <r>
    <x v="558"/>
    <d v="2025-11-22T00:00:00"/>
    <x v="11"/>
    <x v="1"/>
    <s v="Line B"/>
    <s v="Packaging Resin"/>
    <x v="2"/>
    <s v="F. Ali"/>
    <n v="1491"/>
    <n v="1422"/>
    <n v="18"/>
    <n v="1404"/>
    <n v="19.2"/>
    <n v="7.9"/>
    <n v="137.32"/>
    <n v="195269.03999999998"/>
    <n v="2471.7599999999998"/>
    <s v="Pass"/>
  </r>
  <r>
    <x v="559"/>
    <d v="2025-02-21T00:00:00"/>
    <x v="0"/>
    <x v="0"/>
    <s v="Line D"/>
    <s v="Construction Additives"/>
    <x v="0"/>
    <s v="S. Kiptoo"/>
    <n v="897"/>
    <n v="774"/>
    <n v="8"/>
    <n v="766"/>
    <n v="48.5"/>
    <n v="6.4"/>
    <n v="137.38"/>
    <n v="106332.12"/>
    <n v="1099.04"/>
    <s v="Pass"/>
  </r>
  <r>
    <x v="560"/>
    <d v="2025-08-07T00:00:00"/>
    <x v="9"/>
    <x v="0"/>
    <s v="Line E"/>
    <s v="Industrial Cleaners"/>
    <x v="0"/>
    <s v="R. Njeri"/>
    <n v="938"/>
    <n v="973"/>
    <n v="9"/>
    <n v="964"/>
    <n v="56.8"/>
    <n v="6.1"/>
    <n v="137.55000000000001"/>
    <n v="133836.15000000002"/>
    <n v="1237.95"/>
    <s v="Pass"/>
  </r>
  <r>
    <x v="561"/>
    <d v="2025-09-22T00:00:00"/>
    <x v="8"/>
    <x v="2"/>
    <s v="Line E"/>
    <s v="Industrial Cleaners"/>
    <x v="2"/>
    <s v="J. Mwangi"/>
    <n v="1305"/>
    <n v="1366"/>
    <n v="26"/>
    <n v="1340"/>
    <n v="37.5"/>
    <n v="6.6"/>
    <n v="137.91"/>
    <n v="188385.06"/>
    <n v="3585.66"/>
    <s v="Pass"/>
  </r>
  <r>
    <x v="562"/>
    <d v="2025-05-16T00:00:00"/>
    <x v="7"/>
    <x v="1"/>
    <s v="Line B"/>
    <s v="Packaging Resin"/>
    <x v="2"/>
    <s v="M. Hassan"/>
    <n v="1353"/>
    <n v="1508"/>
    <n v="13"/>
    <n v="1495"/>
    <n v="22"/>
    <n v="6.9"/>
    <n v="137.91"/>
    <n v="207968.28"/>
    <n v="1792.83"/>
    <s v="Pass"/>
  </r>
  <r>
    <x v="563"/>
    <d v="2025-06-13T00:00:00"/>
    <x v="6"/>
    <x v="1"/>
    <s v="Line A"/>
    <s v="Packaging Resin"/>
    <x v="0"/>
    <s v="D. Kamau"/>
    <n v="1366"/>
    <n v="1224"/>
    <n v="4"/>
    <n v="1220"/>
    <n v="52.5"/>
    <n v="7"/>
    <n v="138.03"/>
    <n v="168948.72"/>
    <n v="552.12"/>
    <s v="Pass"/>
  </r>
  <r>
    <x v="564"/>
    <d v="2025-02-01T00:00:00"/>
    <x v="0"/>
    <x v="0"/>
    <s v="Line C"/>
    <s v="Construction Additives"/>
    <x v="2"/>
    <s v="S. Kiptoo"/>
    <n v="1496"/>
    <n v="1260"/>
    <n v="35"/>
    <n v="1225"/>
    <n v="20.3"/>
    <n v="8"/>
    <n v="138.15"/>
    <n v="174069"/>
    <n v="4835.25"/>
    <s v="Review"/>
  </r>
  <r>
    <x v="565"/>
    <d v="2025-11-23T00:00:00"/>
    <x v="11"/>
    <x v="2"/>
    <s v="Line D"/>
    <s v="Packaging Resin"/>
    <x v="0"/>
    <s v="F. Ali"/>
    <n v="1520"/>
    <n v="1664"/>
    <n v="18"/>
    <n v="1646"/>
    <n v="89.2"/>
    <n v="7.3"/>
    <n v="138.47999999999999"/>
    <n v="230430.71999999997"/>
    <n v="2492.64"/>
    <s v="Pass"/>
  </r>
  <r>
    <x v="566"/>
    <d v="2025-08-27T00:00:00"/>
    <x v="9"/>
    <x v="0"/>
    <s v="Line A"/>
    <s v="Protective Coatings"/>
    <x v="2"/>
    <s v="A. Wanjiku"/>
    <n v="1072"/>
    <n v="1121"/>
    <n v="27"/>
    <n v="1094"/>
    <n v="24.3"/>
    <n v="6.7"/>
    <n v="138.5"/>
    <n v="155258.5"/>
    <n v="3739.5"/>
    <s v="Review"/>
  </r>
  <r>
    <x v="567"/>
    <d v="2025-08-15T00:00:00"/>
    <x v="9"/>
    <x v="1"/>
    <s v="Line C"/>
    <s v="Protective Coatings"/>
    <x v="2"/>
    <s v="P. Otieno"/>
    <n v="1189"/>
    <n v="1232"/>
    <n v="23"/>
    <n v="1209"/>
    <n v="15.9"/>
    <n v="7.6"/>
    <n v="138.65"/>
    <n v="170816.80000000002"/>
    <n v="3188.9500000000003"/>
    <s v="Pass"/>
  </r>
  <r>
    <x v="568"/>
    <d v="2025-06-22T00:00:00"/>
    <x v="6"/>
    <x v="0"/>
    <s v="Line B"/>
    <s v="Industrial Cleaners"/>
    <x v="1"/>
    <s v="R. Njeri"/>
    <n v="1413"/>
    <n v="1209"/>
    <n v="26"/>
    <n v="1183"/>
    <n v="71.599999999999994"/>
    <n v="7.2"/>
    <n v="138.66"/>
    <n v="167639.94"/>
    <n v="3605.16"/>
    <s v="Review"/>
  </r>
  <r>
    <x v="569"/>
    <d v="2025-03-02T00:00:00"/>
    <x v="1"/>
    <x v="2"/>
    <s v="Line D"/>
    <s v="Packaging Resin"/>
    <x v="1"/>
    <s v="J. Mwangi"/>
    <n v="1068"/>
    <n v="1136"/>
    <n v="18"/>
    <n v="1118"/>
    <n v="14.3"/>
    <n v="8.4"/>
    <n v="138.72999999999999"/>
    <n v="157597.28"/>
    <n v="2497.14"/>
    <s v="Pass"/>
  </r>
  <r>
    <x v="570"/>
    <d v="2025-02-04T00:00:00"/>
    <x v="0"/>
    <x v="2"/>
    <s v="Line B"/>
    <s v="Protective Coatings"/>
    <x v="0"/>
    <s v="J. Mwangi"/>
    <n v="1073"/>
    <n v="1068"/>
    <n v="14"/>
    <n v="1054"/>
    <n v="7.9"/>
    <n v="7.2"/>
    <n v="138.78"/>
    <n v="148217.04"/>
    <n v="1942.92"/>
    <s v="Pass"/>
  </r>
  <r>
    <x v="571"/>
    <d v="2025-07-27T00:00:00"/>
    <x v="10"/>
    <x v="1"/>
    <s v="Line D"/>
    <s v="Packaging Resin"/>
    <x v="1"/>
    <s v="R. Njeri"/>
    <n v="1647"/>
    <n v="1637"/>
    <n v="33"/>
    <n v="1604"/>
    <n v="41.4"/>
    <n v="7.8"/>
    <n v="139.02000000000001"/>
    <n v="227575.74000000002"/>
    <n v="4587.6600000000008"/>
    <s v="Review"/>
  </r>
  <r>
    <x v="572"/>
    <d v="2025-05-22T00:00:00"/>
    <x v="7"/>
    <x v="0"/>
    <s v="Line A"/>
    <s v="Protective Coatings"/>
    <x v="0"/>
    <s v="M. Hassan"/>
    <n v="1230"/>
    <n v="1168"/>
    <n v="40"/>
    <n v="1128"/>
    <n v="31.5"/>
    <n v="8.5"/>
    <n v="139.03"/>
    <n v="162387.04"/>
    <n v="5561.2"/>
    <s v="Review"/>
  </r>
  <r>
    <x v="573"/>
    <d v="2025-07-17T00:00:00"/>
    <x v="10"/>
    <x v="1"/>
    <s v="Line A"/>
    <s v="Packaging Resin"/>
    <x v="0"/>
    <s v="P. Otieno"/>
    <n v="1537"/>
    <n v="1448"/>
    <n v="34"/>
    <n v="1414"/>
    <n v="57"/>
    <n v="7.5"/>
    <n v="139.81"/>
    <n v="202444.88"/>
    <n v="4753.54"/>
    <s v="Review"/>
  </r>
  <r>
    <x v="574"/>
    <d v="2025-12-01T00:00:00"/>
    <x v="3"/>
    <x v="0"/>
    <s v="Line D"/>
    <s v="Water Treatment Chemicals"/>
    <x v="1"/>
    <s v="P. Otieno"/>
    <n v="1428"/>
    <n v="1431"/>
    <n v="7"/>
    <n v="1424"/>
    <n v="165"/>
    <n v="7.9"/>
    <n v="140.15"/>
    <n v="200554.65"/>
    <n v="981.05000000000007"/>
    <s v="Pass"/>
  </r>
  <r>
    <x v="575"/>
    <d v="2025-12-18T00:00:00"/>
    <x v="3"/>
    <x v="1"/>
    <s v="Line E"/>
    <s v="Construction Additives"/>
    <x v="0"/>
    <s v="P. Otieno"/>
    <n v="1618"/>
    <n v="1575"/>
    <n v="16"/>
    <n v="1559"/>
    <n v="15"/>
    <n v="6.7"/>
    <n v="140.49"/>
    <n v="221271.75"/>
    <n v="2247.84"/>
    <s v="Pass"/>
  </r>
  <r>
    <x v="576"/>
    <d v="2025-07-23T00:00:00"/>
    <x v="10"/>
    <x v="1"/>
    <s v="Line C"/>
    <s v="Industrial Cleaners"/>
    <x v="2"/>
    <s v="R. Njeri"/>
    <n v="1212"/>
    <n v="1184"/>
    <n v="22"/>
    <n v="1162"/>
    <n v="21.9"/>
    <n v="7.3"/>
    <n v="140.61000000000001"/>
    <n v="166482.24000000002"/>
    <n v="3093.42"/>
    <s v="Pass"/>
  </r>
  <r>
    <x v="577"/>
    <d v="2025-07-22T00:00:00"/>
    <x v="10"/>
    <x v="1"/>
    <s v="Line E"/>
    <s v="Packaging Resin"/>
    <x v="2"/>
    <s v="S. Kiptoo"/>
    <n v="803"/>
    <n v="808"/>
    <n v="15"/>
    <n v="793"/>
    <n v="8.4"/>
    <n v="7.2"/>
    <n v="140.72"/>
    <n v="113701.75999999999"/>
    <n v="2110.8000000000002"/>
    <s v="Pass"/>
  </r>
  <r>
    <x v="578"/>
    <d v="2025-11-22T00:00:00"/>
    <x v="11"/>
    <x v="1"/>
    <s v="Line B"/>
    <s v="Industrial Cleaners"/>
    <x v="2"/>
    <s v="F. Ali"/>
    <n v="1225"/>
    <n v="1263"/>
    <n v="26"/>
    <n v="1237"/>
    <n v="120.1"/>
    <n v="7.6"/>
    <n v="141.16999999999999"/>
    <n v="178297.71"/>
    <n v="3670.4199999999996"/>
    <s v="Review"/>
  </r>
  <r>
    <x v="579"/>
    <d v="2025-04-17T00:00:00"/>
    <x v="4"/>
    <x v="2"/>
    <s v="Line D"/>
    <s v="Industrial Cleaners"/>
    <x v="1"/>
    <s v="A. Wanjiku"/>
    <n v="1754"/>
    <n v="1832"/>
    <n v="36"/>
    <n v="1796"/>
    <n v="84.7"/>
    <n v="6.9"/>
    <n v="141.18"/>
    <n v="258641.76"/>
    <n v="5082.4800000000005"/>
    <s v="Pass"/>
  </r>
  <r>
    <x v="580"/>
    <d v="2025-07-10T00:00:00"/>
    <x v="10"/>
    <x v="0"/>
    <s v="Line D"/>
    <s v="Construction Additives"/>
    <x v="1"/>
    <s v="M. Hassan"/>
    <n v="845"/>
    <n v="901"/>
    <n v="28"/>
    <n v="873"/>
    <n v="54.3"/>
    <n v="7.2"/>
    <n v="141.36000000000001"/>
    <n v="127365.36000000002"/>
    <n v="3958.0800000000004"/>
    <s v="Review"/>
  </r>
  <r>
    <x v="581"/>
    <d v="2025-06-21T00:00:00"/>
    <x v="6"/>
    <x v="0"/>
    <s v="Line C"/>
    <s v="Industrial Cleaners"/>
    <x v="0"/>
    <s v="D. Kamau"/>
    <n v="1316"/>
    <n v="1453"/>
    <n v="12"/>
    <n v="1441"/>
    <n v="28.3"/>
    <n v="7.6"/>
    <n v="141.44"/>
    <n v="205512.32000000001"/>
    <n v="1697.28"/>
    <s v="Pass"/>
  </r>
  <r>
    <x v="582"/>
    <d v="2025-09-14T00:00:00"/>
    <x v="8"/>
    <x v="0"/>
    <s v="Line C"/>
    <s v="Industrial Cleaners"/>
    <x v="0"/>
    <s v="M. Hassan"/>
    <n v="1041"/>
    <n v="982"/>
    <n v="21"/>
    <n v="961"/>
    <n v="19.100000000000001"/>
    <n v="6.4"/>
    <n v="141.49"/>
    <n v="138943.18000000002"/>
    <n v="2971.29"/>
    <s v="Review"/>
  </r>
  <r>
    <x v="583"/>
    <d v="2025-01-09T00:00:00"/>
    <x v="5"/>
    <x v="2"/>
    <s v="Line A"/>
    <s v="Protective Coatings"/>
    <x v="2"/>
    <s v="S. Kiptoo"/>
    <n v="1137"/>
    <n v="963"/>
    <n v="24"/>
    <n v="939"/>
    <s v=""/>
    <n v="8.1"/>
    <n v="141.94"/>
    <n v="136688.22"/>
    <n v="3406.56"/>
    <s v="Review"/>
  </r>
  <r>
    <x v="584"/>
    <d v="2025-10-12T00:00:00"/>
    <x v="2"/>
    <x v="1"/>
    <s v="Line A"/>
    <s v="Water Treatment Chemicals"/>
    <x v="2"/>
    <s v="R. Njeri"/>
    <n v="1774"/>
    <n v="1529"/>
    <n v="31"/>
    <n v="1498"/>
    <n v="67.7"/>
    <n v="6.6"/>
    <n v="141.97999999999999"/>
    <n v="217087.41999999998"/>
    <n v="4401.38"/>
    <s v="Review"/>
  </r>
  <r>
    <x v="585"/>
    <d v="2025-03-05T00:00:00"/>
    <x v="1"/>
    <x v="0"/>
    <s v="Line A"/>
    <s v="Water Treatment Chemicals"/>
    <x v="0"/>
    <s v="J. Mwangi"/>
    <n v="854"/>
    <n v="888"/>
    <n v="21"/>
    <n v="867"/>
    <n v="40.200000000000003"/>
    <n v="6.5"/>
    <n v="142.36000000000001"/>
    <n v="126415.68000000001"/>
    <n v="2989.5600000000004"/>
    <s v="Review"/>
  </r>
  <r>
    <x v="586"/>
    <d v="2025-12-05T00:00:00"/>
    <x v="3"/>
    <x v="1"/>
    <s v="Line B"/>
    <s v="Industrial Cleaners"/>
    <x v="0"/>
    <s v="P. Otieno"/>
    <n v="998"/>
    <n v="944"/>
    <n v="5"/>
    <n v="939"/>
    <n v="3.9"/>
    <n v="6.5"/>
    <n v="142.46"/>
    <n v="134482.24000000002"/>
    <n v="712.30000000000007"/>
    <s v="Pass"/>
  </r>
  <r>
    <x v="587"/>
    <d v="2025-08-01T00:00:00"/>
    <x v="9"/>
    <x v="1"/>
    <s v="Line C"/>
    <s v="Industrial Cleaners"/>
    <x v="0"/>
    <s v="P. Otieno"/>
    <n v="1079"/>
    <n v="1045"/>
    <n v="24"/>
    <n v="1021"/>
    <n v="43.9"/>
    <n v="8.3000000000000007"/>
    <n v="142.59"/>
    <n v="149006.55000000002"/>
    <n v="3422.16"/>
    <s v="Review"/>
  </r>
  <r>
    <x v="588"/>
    <d v="2025-09-26T00:00:00"/>
    <x v="8"/>
    <x v="1"/>
    <s v="Line D"/>
    <s v="Packaging Resin"/>
    <x v="1"/>
    <s v="Not Found"/>
    <n v="840"/>
    <n v="743"/>
    <n v="13"/>
    <n v="730"/>
    <n v="14.9"/>
    <n v="6.9"/>
    <n v="143.30000000000001"/>
    <n v="106471.90000000001"/>
    <n v="1862.9"/>
    <s v="Pass"/>
  </r>
  <r>
    <x v="589"/>
    <d v="2025-07-27T00:00:00"/>
    <x v="10"/>
    <x v="2"/>
    <s v="Line A"/>
    <s v="Water Treatment Chemicals"/>
    <x v="1"/>
    <s v="M. Hassan"/>
    <n v="785"/>
    <n v="701"/>
    <n v="3"/>
    <n v="698"/>
    <n v="64.2"/>
    <n v="7.5"/>
    <n v="143.30000000000001"/>
    <n v="100453.3"/>
    <n v="429.90000000000003"/>
    <s v="Pass"/>
  </r>
  <r>
    <x v="590"/>
    <d v="2025-09-20T00:00:00"/>
    <x v="8"/>
    <x v="2"/>
    <s v="Line B"/>
    <s v="Construction Additives"/>
    <x v="0"/>
    <s v="A. Wanjiku"/>
    <n v="1138"/>
    <n v="1093"/>
    <n v="24"/>
    <n v="1069"/>
    <n v="29.3"/>
    <n v="7.5"/>
    <n v="143.31"/>
    <n v="156637.83000000002"/>
    <n v="3439.44"/>
    <s v="Review"/>
  </r>
  <r>
    <x v="591"/>
    <d v="2025-09-23T00:00:00"/>
    <x v="8"/>
    <x v="2"/>
    <s v="Line B"/>
    <s v="Construction Additives"/>
    <x v="1"/>
    <s v="F. Ali"/>
    <n v="1101"/>
    <n v="886"/>
    <n v="3"/>
    <n v="883"/>
    <n v="39.700000000000003"/>
    <n v="7.9"/>
    <n v="143.37"/>
    <n v="127025.82"/>
    <n v="430.11"/>
    <s v="Pass"/>
  </r>
  <r>
    <x v="592"/>
    <d v="2025-01-03T00:00:00"/>
    <x v="5"/>
    <x v="1"/>
    <s v="Line A"/>
    <s v="Packaging Resin"/>
    <x v="2"/>
    <s v="F. Ali"/>
    <n v="1310"/>
    <n v="1321"/>
    <n v="26"/>
    <n v="1295"/>
    <n v="76"/>
    <n v="6.5"/>
    <n v="143.55000000000001"/>
    <n v="189629.55000000002"/>
    <n v="3732.3"/>
    <s v="Pass"/>
  </r>
  <r>
    <x v="593"/>
    <d v="2025-07-15T00:00:00"/>
    <x v="10"/>
    <x v="0"/>
    <s v="Line C"/>
    <s v="Construction Additives"/>
    <x v="2"/>
    <s v="A. Wanjiku"/>
    <n v="757"/>
    <n v="619"/>
    <n v="6"/>
    <n v="613"/>
    <n v="1.5"/>
    <n v="7.2"/>
    <n v="143.79"/>
    <n v="89006.01"/>
    <n v="862.74"/>
    <s v="Pass"/>
  </r>
  <r>
    <x v="594"/>
    <d v="2025-04-26T00:00:00"/>
    <x v="4"/>
    <x v="0"/>
    <s v="Line C"/>
    <s v="Protective Coatings"/>
    <x v="2"/>
    <s v="S. Kiptoo"/>
    <n v="1481"/>
    <n v="1265"/>
    <n v="12"/>
    <n v="1253"/>
    <n v="3.5"/>
    <n v="7.3"/>
    <n v="143.84"/>
    <n v="181957.6"/>
    <n v="1726.08"/>
    <s v="Pass"/>
  </r>
  <r>
    <x v="595"/>
    <d v="2025-02-04T00:00:00"/>
    <x v="0"/>
    <x v="2"/>
    <s v="Line D"/>
    <s v="Protective Coatings"/>
    <x v="2"/>
    <s v="F. Ali"/>
    <n v="1468"/>
    <n v="1531"/>
    <n v="37"/>
    <n v="1494"/>
    <n v="75.3"/>
    <n v="8.1"/>
    <n v="143.86000000000001"/>
    <n v="220249.66000000003"/>
    <n v="5322.8200000000006"/>
    <s v="Review"/>
  </r>
  <r>
    <x v="596"/>
    <d v="2025-03-24T00:00:00"/>
    <x v="1"/>
    <x v="1"/>
    <s v="Line A"/>
    <s v="Construction Additives"/>
    <x v="1"/>
    <s v="R. Njeri"/>
    <n v="882"/>
    <n v="847"/>
    <n v="7"/>
    <n v="840"/>
    <n v="38"/>
    <n v="7.3"/>
    <n v="143.96"/>
    <n v="121934.12000000001"/>
    <n v="1007.72"/>
    <s v="Pass"/>
  </r>
  <r>
    <x v="597"/>
    <d v="2025-11-02T00:00:00"/>
    <x v="11"/>
    <x v="2"/>
    <s v="Line D"/>
    <s v="Protective Coatings"/>
    <x v="1"/>
    <s v="D. Kamau"/>
    <n v="1485"/>
    <n v="1402"/>
    <n v="47"/>
    <n v="1355"/>
    <n v="28.2"/>
    <n v="7.8"/>
    <n v="144.44999999999999"/>
    <n v="202518.9"/>
    <n v="6789.15"/>
    <s v="Review"/>
  </r>
  <r>
    <x v="598"/>
    <d v="2025-10-14T00:00:00"/>
    <x v="2"/>
    <x v="2"/>
    <s v="Line B"/>
    <s v="Protective Coatings"/>
    <x v="2"/>
    <s v="F. Ali"/>
    <n v="1347"/>
    <n v="1186"/>
    <n v="33"/>
    <n v="1153"/>
    <n v="45.5"/>
    <n v="6.3"/>
    <n v="144.62"/>
    <n v="171519.32"/>
    <n v="4772.46"/>
    <s v="Review"/>
  </r>
  <r>
    <x v="599"/>
    <d v="2025-04-13T00:00:00"/>
    <x v="4"/>
    <x v="0"/>
    <s v="Line B"/>
    <s v="Protective Coatings"/>
    <x v="0"/>
    <s v="P. Otieno"/>
    <n v="830"/>
    <n v="783"/>
    <n v="3"/>
    <n v="780"/>
    <n v="87.4"/>
    <n v="7.8"/>
    <n v="144.91999999999999"/>
    <n v="113472.35999999999"/>
    <n v="434.76"/>
    <s v="Pas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BAT-0434"/>
    <x v="0"/>
    <x v="0"/>
    <s v="Athi River Plant"/>
    <s v="Line E"/>
    <s v="Packaging Resin"/>
    <s v="Night"/>
    <s v="M. Hassan"/>
    <n v="1555"/>
    <n v="1525"/>
    <n v="46"/>
    <n v="1479"/>
    <n v="5.9"/>
    <n v="6.5"/>
    <n v="18.100000000000001"/>
    <n v="27602.500000000004"/>
    <n v="832.6"/>
    <s v="Review"/>
    <n v="1525"/>
  </r>
  <r>
    <s v="BAT-0544"/>
    <x v="1"/>
    <x v="1"/>
    <s v="Athi River Plant"/>
    <s v="Line D"/>
    <s v="Industrial Cleaners"/>
    <s v="Evening"/>
    <s v="F. Ali"/>
    <n v="1745"/>
    <n v="1510"/>
    <n v="52"/>
    <n v="1458"/>
    <n v="83.3"/>
    <n v="7"/>
    <n v="18.25"/>
    <n v="27557.5"/>
    <n v="949"/>
    <s v="Review"/>
    <n v="1510"/>
  </r>
  <r>
    <s v="BAT-0370"/>
    <x v="2"/>
    <x v="2"/>
    <s v="Mombasa Plant"/>
    <s v="Line C"/>
    <s v="Water Treatment Chemicals"/>
    <s v="Evening"/>
    <s v="D. Kamau"/>
    <n v="713"/>
    <n v="582"/>
    <n v="9"/>
    <n v="573"/>
    <n v="22.3"/>
    <n v="8.1999999999999993"/>
    <n v="18.34"/>
    <n v="10673.88"/>
    <n v="165.06"/>
    <s v="Pass"/>
    <n v="582"/>
  </r>
  <r>
    <s v="BAT-0438"/>
    <x v="3"/>
    <x v="3"/>
    <s v="Nakuru Plant"/>
    <s v="Line D"/>
    <s v="Industrial Cleaners"/>
    <s v="Evening"/>
    <s v="S. Kiptoo"/>
    <n v="1361"/>
    <n v="1217"/>
    <n v="37"/>
    <n v="1180"/>
    <n v="12.1"/>
    <n v="6.9"/>
    <n v="18.55"/>
    <n v="22575.350000000002"/>
    <n v="686.35"/>
    <s v="Review"/>
    <n v="1217"/>
  </r>
  <r>
    <s v="BAT-0481"/>
    <x v="4"/>
    <x v="4"/>
    <s v="Athi River Plant"/>
    <s v="Line E"/>
    <s v="Protective Coatings"/>
    <s v="Night"/>
    <s v="R. Njeri"/>
    <n v="1025"/>
    <n v="955"/>
    <n v="16"/>
    <n v="939"/>
    <n v="38.700000000000003"/>
    <n v="8"/>
    <n v="18.850000000000001"/>
    <n v="18001.75"/>
    <n v="301.60000000000002"/>
    <s v="Pass"/>
    <n v="955"/>
  </r>
  <r>
    <s v="BAT-0036"/>
    <x v="5"/>
    <x v="5"/>
    <s v="Mombasa Plant"/>
    <s v="Line C"/>
    <s v="Protective Coatings"/>
    <s v="Night"/>
    <s v="D. Kamau"/>
    <n v="869"/>
    <n v="785"/>
    <n v="12"/>
    <n v="773"/>
    <n v="46.3"/>
    <n v="7.6"/>
    <n v="19.36"/>
    <n v="15197.6"/>
    <n v="232.32"/>
    <s v="Pass"/>
    <n v="785"/>
  </r>
  <r>
    <s v="BAT-0319"/>
    <x v="6"/>
    <x v="3"/>
    <s v="Mombasa Plant"/>
    <s v="Line A"/>
    <s v="Protective Coatings"/>
    <s v="Evening"/>
    <s v="A. Wanjiku"/>
    <n v="996"/>
    <n v="1060"/>
    <n v="28"/>
    <n v="1032"/>
    <n v="60.4"/>
    <n v="6.9"/>
    <n v="19.39"/>
    <n v="20553.400000000001"/>
    <n v="542.92000000000007"/>
    <s v="Review"/>
    <n v="1060"/>
  </r>
  <r>
    <s v="BAT-0246"/>
    <x v="7"/>
    <x v="5"/>
    <s v="Mombasa Plant"/>
    <s v="Line D"/>
    <s v="Protective Coatings"/>
    <s v="Evening"/>
    <s v="R. Njeri"/>
    <n v="771"/>
    <n v="790"/>
    <n v="22"/>
    <n v="768"/>
    <n v="11.1"/>
    <n v="8.1999999999999993"/>
    <n v="19.399999999999999"/>
    <n v="15325.999999999998"/>
    <n v="426.79999999999995"/>
    <s v="Review"/>
    <n v="790"/>
  </r>
  <r>
    <s v="BAT-0402"/>
    <x v="8"/>
    <x v="2"/>
    <s v="Nakuru Plant"/>
    <s v="Line B"/>
    <s v="Water Treatment Chemicals"/>
    <s v="Evening"/>
    <s v="M. Hassan"/>
    <n v="1347"/>
    <n v="1370"/>
    <n v="7"/>
    <n v="1363"/>
    <n v="3.9"/>
    <n v="6.6"/>
    <n v="19.420000000000002"/>
    <n v="26605.4"/>
    <n v="135.94"/>
    <s v="Pass"/>
    <n v="1370"/>
  </r>
  <r>
    <s v="BAT-0444"/>
    <x v="9"/>
    <x v="6"/>
    <s v="Athi River Plant"/>
    <s v="Line D"/>
    <s v="Protective Coatings"/>
    <s v="Night"/>
    <s v="D. Kamau"/>
    <n v="1158"/>
    <n v="1173"/>
    <n v="31"/>
    <n v="1142"/>
    <n v="118.5"/>
    <n v="6.9"/>
    <n v="19.649999999999999"/>
    <n v="23049.449999999997"/>
    <n v="609.15"/>
    <s v="Review"/>
    <n v="1173"/>
  </r>
  <r>
    <s v="BAT-0194"/>
    <x v="10"/>
    <x v="7"/>
    <s v="Athi River Plant"/>
    <s v="Line D"/>
    <s v="Water Treatment Chemicals"/>
    <s v="Day"/>
    <s v="J. Mwangi"/>
    <n v="1540"/>
    <n v="1442"/>
    <n v="25"/>
    <n v="1417"/>
    <n v="27.5"/>
    <n v="6.2"/>
    <n v="20.010000000000002"/>
    <n v="28854.420000000002"/>
    <n v="500.25000000000006"/>
    <s v="Pass"/>
    <n v="1442"/>
  </r>
  <r>
    <s v="BAT-0422"/>
    <x v="11"/>
    <x v="8"/>
    <s v="Mombasa Plant"/>
    <s v="Line E"/>
    <s v="Packaging Resin"/>
    <s v="Evening"/>
    <s v="J. Mwangi"/>
    <n v="937"/>
    <n v="854"/>
    <n v="22"/>
    <n v="832"/>
    <n v="15.9"/>
    <n v="7.1"/>
    <n v="20.059999999999999"/>
    <n v="17131.239999999998"/>
    <n v="441.32"/>
    <s v="Review"/>
    <n v="854"/>
  </r>
  <r>
    <s v="BAT-0267"/>
    <x v="12"/>
    <x v="6"/>
    <s v="Mombasa Plant"/>
    <s v="Line C"/>
    <s v="Industrial Cleaners"/>
    <s v="Night"/>
    <s v="R. Njeri"/>
    <n v="1511"/>
    <n v="1349"/>
    <n v="18"/>
    <n v="1331"/>
    <n v="45.3"/>
    <n v="8.5"/>
    <n v="20.059999999999999"/>
    <n v="27060.94"/>
    <n v="361.08"/>
    <s v="Pass"/>
    <n v="1349"/>
  </r>
  <r>
    <s v="BAT-0491"/>
    <x v="13"/>
    <x v="3"/>
    <s v="Mombasa Plant"/>
    <s v="Line A"/>
    <s v="Protective Coatings"/>
    <s v="Evening"/>
    <s v="J. Mwangi"/>
    <n v="1791"/>
    <n v="1917"/>
    <n v="35"/>
    <n v="1882"/>
    <s v=""/>
    <n v="6.1"/>
    <n v="20.09"/>
    <n v="38512.53"/>
    <n v="703.15"/>
    <s v="Pass"/>
    <n v="1917"/>
  </r>
  <r>
    <s v="BAT-0340"/>
    <x v="14"/>
    <x v="3"/>
    <s v="Athi River Plant"/>
    <s v="Line E"/>
    <s v="Water Treatment Chemicals"/>
    <s v="Night"/>
    <s v="D. Kamau"/>
    <n v="1320"/>
    <n v="1147"/>
    <n v="26"/>
    <n v="1121"/>
    <n v="33.200000000000003"/>
    <n v="7.7"/>
    <n v="20.09"/>
    <n v="23043.23"/>
    <n v="522.34"/>
    <s v="Review"/>
    <n v="1147"/>
  </r>
  <r>
    <s v="BAT-0076"/>
    <x v="15"/>
    <x v="6"/>
    <s v="Mombasa Plant"/>
    <s v="Line A"/>
    <s v="Protective Coatings"/>
    <s v="Day"/>
    <s v="P. Otieno"/>
    <n v="1784"/>
    <n v="1825"/>
    <n v="7"/>
    <n v="1818"/>
    <n v="56.3"/>
    <n v="6.9"/>
    <n v="20.420000000000002"/>
    <n v="37266.5"/>
    <n v="142.94"/>
    <s v="Pass"/>
    <n v="1825"/>
  </r>
  <r>
    <s v="BAT-0531"/>
    <x v="16"/>
    <x v="9"/>
    <s v="Nakuru Plant"/>
    <s v="Line A"/>
    <s v="Packaging Resin"/>
    <s v="Night"/>
    <s v="J. Mwangi"/>
    <n v="914"/>
    <n v="872"/>
    <n v="8"/>
    <n v="864"/>
    <n v="13.9"/>
    <n v="6.8"/>
    <n v="20.96"/>
    <n v="18277.12"/>
    <n v="167.68"/>
    <s v="Pass"/>
    <n v="872"/>
  </r>
  <r>
    <s v="BAT-0440"/>
    <x v="17"/>
    <x v="7"/>
    <s v="Nakuru Plant"/>
    <s v="Line B"/>
    <s v="Packaging Resin"/>
    <s v="Day"/>
    <s v="A. Wanjiku"/>
    <n v="1258"/>
    <n v="1410"/>
    <n v="17"/>
    <n v="1393"/>
    <n v="57.8"/>
    <n v="6.5"/>
    <n v="21.41"/>
    <n v="30188.1"/>
    <n v="363.97"/>
    <s v="Pass"/>
    <n v="1410"/>
  </r>
  <r>
    <s v="BAT-0574"/>
    <x v="18"/>
    <x v="5"/>
    <s v="Athi River Plant"/>
    <s v="Line A"/>
    <s v="Packaging Resin"/>
    <s v="Evening"/>
    <s v="R. Njeri"/>
    <n v="877"/>
    <n v="867"/>
    <n v="14"/>
    <n v="853"/>
    <n v="41.3"/>
    <n v="6.4"/>
    <n v="21.69"/>
    <n v="18805.23"/>
    <n v="303.66000000000003"/>
    <s v="Pass"/>
    <n v="867"/>
  </r>
  <r>
    <s v="BAT-0508"/>
    <x v="19"/>
    <x v="4"/>
    <s v="Nakuru Plant"/>
    <s v="Line D"/>
    <s v="Construction Additives"/>
    <s v="Day"/>
    <s v="R. Njeri"/>
    <n v="908"/>
    <n v="965"/>
    <n v="19"/>
    <n v="946"/>
    <n v="4.8"/>
    <n v="6.7"/>
    <n v="21.84"/>
    <n v="21075.599999999999"/>
    <n v="414.96"/>
    <s v="Pass"/>
    <n v="965"/>
  </r>
  <r>
    <s v="BAT-0344"/>
    <x v="20"/>
    <x v="10"/>
    <s v="Athi River Plant"/>
    <s v="Line E"/>
    <s v="Water Treatment Chemicals"/>
    <s v="Day"/>
    <s v="D. Kamau"/>
    <n v="890"/>
    <n v="805"/>
    <n v="9"/>
    <n v="796"/>
    <n v="77.5"/>
    <n v="7.2"/>
    <n v="21.94"/>
    <n v="17661.7"/>
    <n v="197.46"/>
    <s v="Pass"/>
    <n v="805"/>
  </r>
  <r>
    <s v="BAT-0271"/>
    <x v="21"/>
    <x v="4"/>
    <s v="Athi River Plant"/>
    <s v="Line C"/>
    <s v="Packaging Resin"/>
    <s v="Evening"/>
    <s v="D. Kamau"/>
    <n v="1155"/>
    <n v="1132"/>
    <n v="10"/>
    <n v="1122"/>
    <n v="21.1"/>
    <n v="6.8"/>
    <n v="21.95"/>
    <n v="24847.399999999998"/>
    <n v="219.5"/>
    <s v="Pass"/>
    <n v="1132"/>
  </r>
  <r>
    <s v="BAT-0585"/>
    <x v="22"/>
    <x v="7"/>
    <s v="Mombasa Plant"/>
    <s v="Line D"/>
    <s v="Construction Additives"/>
    <s v="Night"/>
    <s v="F. Ali"/>
    <n v="1398"/>
    <n v="1262"/>
    <n v="22"/>
    <n v="1240"/>
    <n v="27.8"/>
    <n v="6.6"/>
    <n v="21.97"/>
    <n v="27726.14"/>
    <n v="483.34"/>
    <s v="Pass"/>
    <n v="1262"/>
  </r>
  <r>
    <s v="BAT-0365"/>
    <x v="23"/>
    <x v="0"/>
    <s v="Mombasa Plant"/>
    <s v="Line A"/>
    <s v="Packaging Resin"/>
    <s v="Night"/>
    <s v="F. Ali"/>
    <n v="1127"/>
    <n v="1082"/>
    <n v="8"/>
    <n v="1074"/>
    <n v="73.2"/>
    <n v="8"/>
    <n v="22.08"/>
    <n v="23890.559999999998"/>
    <n v="176.64"/>
    <s v="Pass"/>
    <n v="1082"/>
  </r>
  <r>
    <s v="BAT-0051"/>
    <x v="24"/>
    <x v="2"/>
    <s v="Nakuru Plant"/>
    <s v="Line E"/>
    <s v="Industrial Cleaners"/>
    <s v="Day"/>
    <s v="A. Wanjiku"/>
    <n v="781"/>
    <n v="849"/>
    <n v="27"/>
    <n v="822"/>
    <n v="18.3"/>
    <n v="8.1"/>
    <n v="22.7"/>
    <n v="19272.3"/>
    <n v="612.9"/>
    <s v="Review"/>
    <n v="849"/>
  </r>
  <r>
    <s v="BAT-0155"/>
    <x v="25"/>
    <x v="6"/>
    <s v="Athi River Plant"/>
    <s v="Line C"/>
    <s v="Water Treatment Chemicals"/>
    <s v="Day"/>
    <s v="A. Wanjiku"/>
    <n v="1792"/>
    <n v="1980"/>
    <n v="42"/>
    <n v="1938"/>
    <n v="23.3"/>
    <n v="6"/>
    <n v="22.89"/>
    <n v="45322.200000000004"/>
    <n v="961.38"/>
    <s v="Review"/>
    <n v="1980"/>
  </r>
  <r>
    <s v="BAT-0202"/>
    <x v="26"/>
    <x v="11"/>
    <s v="Athi River Plant"/>
    <s v="Line C"/>
    <s v="Industrial Cleaners"/>
    <s v="Night"/>
    <s v="F. Ali"/>
    <n v="991"/>
    <n v="807"/>
    <n v="17"/>
    <n v="790"/>
    <n v="9"/>
    <n v="8.5"/>
    <n v="22.91"/>
    <n v="18488.37"/>
    <n v="389.47"/>
    <s v="Review"/>
    <n v="807"/>
  </r>
  <r>
    <s v="BAT-0304"/>
    <x v="27"/>
    <x v="11"/>
    <s v="Nakuru Plant"/>
    <s v="Line D"/>
    <s v="Construction Additives"/>
    <s v="Night"/>
    <s v="A. Wanjiku"/>
    <n v="1474"/>
    <n v="1596"/>
    <n v="20"/>
    <n v="1576"/>
    <n v="15.2"/>
    <n v="6.7"/>
    <n v="23.02"/>
    <n v="36739.919999999998"/>
    <n v="460.4"/>
    <s v="Pass"/>
    <n v="1596"/>
  </r>
  <r>
    <s v="BAT-0538"/>
    <x v="23"/>
    <x v="0"/>
    <s v="Athi River Plant"/>
    <s v="Line A"/>
    <s v="Protective Coatings"/>
    <s v="Night"/>
    <s v="D. Kamau"/>
    <n v="1300"/>
    <n v="1200"/>
    <n v="20"/>
    <n v="1180"/>
    <n v="5.0999999999999996"/>
    <n v="7.7"/>
    <n v="23.07"/>
    <n v="27684"/>
    <n v="461.4"/>
    <s v="Pass"/>
    <n v="1200"/>
  </r>
  <r>
    <s v="BAT-0478"/>
    <x v="28"/>
    <x v="5"/>
    <s v="Mombasa Plant"/>
    <s v="Line D"/>
    <s v="Packaging Resin"/>
    <s v="Day"/>
    <s v="F. Ali"/>
    <n v="1319"/>
    <n v="1288"/>
    <n v="14"/>
    <n v="1274"/>
    <n v="30.8"/>
    <n v="6.5"/>
    <n v="23.13"/>
    <n v="29791.439999999999"/>
    <n v="323.82"/>
    <s v="Pass"/>
    <n v="1288"/>
  </r>
  <r>
    <s v="BAT-0166"/>
    <x v="29"/>
    <x v="2"/>
    <s v="Athi River Plant"/>
    <s v="Line A"/>
    <s v="Protective Coatings"/>
    <s v="Day"/>
    <s v="A. Wanjiku"/>
    <n v="1590"/>
    <n v="1594"/>
    <n v="55"/>
    <n v="1539"/>
    <n v="45.4"/>
    <n v="8.4"/>
    <n v="23.13"/>
    <n v="36869.22"/>
    <n v="1272.1499999999999"/>
    <s v="Review"/>
    <n v="1594"/>
  </r>
  <r>
    <s v="BAT-0049"/>
    <x v="30"/>
    <x v="8"/>
    <s v="Athi River Plant"/>
    <s v="Line B"/>
    <s v="Packaging Resin"/>
    <s v="Evening"/>
    <s v="F. Ali"/>
    <n v="818"/>
    <n v="805"/>
    <n v="11"/>
    <n v="794"/>
    <n v="109.2"/>
    <n v="6.3"/>
    <n v="23.2"/>
    <n v="18676"/>
    <n v="255.2"/>
    <s v="Pass"/>
    <n v="805"/>
  </r>
  <r>
    <s v="BAT-0065"/>
    <x v="31"/>
    <x v="7"/>
    <s v="Mombasa Plant"/>
    <s v="Line D"/>
    <s v="Industrial Cleaners"/>
    <s v="Night"/>
    <s v="A. Wanjiku"/>
    <n v="1051"/>
    <n v="1041"/>
    <n v="35"/>
    <n v="1006"/>
    <n v="26.2"/>
    <n v="6.3"/>
    <n v="23.22"/>
    <n v="24172.02"/>
    <n v="812.69999999999993"/>
    <s v="Review"/>
    <n v="1041"/>
  </r>
  <r>
    <s v="BAT-0345"/>
    <x v="32"/>
    <x v="11"/>
    <s v="Mombasa Plant"/>
    <s v="Line D"/>
    <s v="Industrial Cleaners"/>
    <s v="Evening"/>
    <s v="J. Mwangi"/>
    <n v="1598"/>
    <n v="1681"/>
    <n v="37"/>
    <n v="1644"/>
    <n v="92.2"/>
    <n v="7"/>
    <n v="23.24"/>
    <n v="39066.439999999995"/>
    <n v="859.88"/>
    <s v="Review"/>
    <n v="1681"/>
  </r>
  <r>
    <s v="BAT-0023"/>
    <x v="33"/>
    <x v="1"/>
    <s v="Mombasa Plant"/>
    <s v="Line E"/>
    <s v="Packaging Resin"/>
    <s v="Evening"/>
    <s v="A. Wanjiku"/>
    <n v="717"/>
    <n v="745"/>
    <n v="3"/>
    <n v="742"/>
    <n v="103.3"/>
    <n v="7.5"/>
    <n v="23.38"/>
    <n v="17418.099999999999"/>
    <n v="70.14"/>
    <s v="Pass"/>
    <n v="745"/>
  </r>
  <r>
    <s v="BAT-0283"/>
    <x v="34"/>
    <x v="8"/>
    <s v="Nakuru Plant"/>
    <s v="Line C"/>
    <s v="Protective Coatings"/>
    <s v="Day"/>
    <s v="P. Otieno"/>
    <n v="1513"/>
    <n v="1664"/>
    <n v="19"/>
    <n v="1645"/>
    <n v="11.6"/>
    <n v="7"/>
    <n v="23.39"/>
    <n v="38920.959999999999"/>
    <n v="444.41"/>
    <s v="Pass"/>
    <n v="1664"/>
  </r>
  <r>
    <s v="BAT-0039"/>
    <x v="35"/>
    <x v="4"/>
    <s v="Mombasa Plant"/>
    <s v="Line B"/>
    <s v="Industrial Cleaners"/>
    <s v="Day"/>
    <s v="R. Njeri"/>
    <n v="1619"/>
    <n v="1596"/>
    <n v="14"/>
    <n v="1582"/>
    <n v="94.5"/>
    <n v="8.3000000000000007"/>
    <n v="23.67"/>
    <n v="37777.32"/>
    <n v="331.38"/>
    <s v="Pass"/>
    <n v="1596"/>
  </r>
  <r>
    <s v="BAT-0092"/>
    <x v="36"/>
    <x v="2"/>
    <s v="Mombasa Plant"/>
    <s v="Line E"/>
    <s v="Construction Additives"/>
    <s v="Night"/>
    <s v="S. Kiptoo"/>
    <n v="879"/>
    <n v="916"/>
    <n v="16"/>
    <n v="900"/>
    <n v="8.1"/>
    <n v="6.6"/>
    <n v="23.74"/>
    <n v="21745.84"/>
    <n v="379.84"/>
    <s v="Pass"/>
    <n v="916"/>
  </r>
  <r>
    <s v="BAT-0105"/>
    <x v="37"/>
    <x v="2"/>
    <s v="Mombasa Plant"/>
    <s v="Line D"/>
    <s v="Protective Coatings"/>
    <s v="Evening"/>
    <s v="S. Kiptoo"/>
    <n v="856"/>
    <n v="509"/>
    <n v="16"/>
    <n v="493"/>
    <n v="4.7"/>
    <n v="6.9"/>
    <n v="24.36"/>
    <n v="12399.24"/>
    <n v="389.76"/>
    <s v="Review"/>
    <n v="509"/>
  </r>
  <r>
    <s v="BAT-0066"/>
    <x v="38"/>
    <x v="4"/>
    <s v="Nakuru Plant"/>
    <s v="Line B"/>
    <s v="Industrial Cleaners"/>
    <s v="Night"/>
    <s v="M. Hassan"/>
    <n v="1751"/>
    <n v="1274"/>
    <n v="24"/>
    <n v="1250"/>
    <n v="12.8"/>
    <n v="6.8"/>
    <n v="24.47"/>
    <n v="31174.78"/>
    <n v="587.28"/>
    <s v="Pass"/>
    <n v="1274"/>
  </r>
  <r>
    <s v="BAT-0128"/>
    <x v="39"/>
    <x v="2"/>
    <s v="Athi River Plant"/>
    <s v="Line C"/>
    <s v="Water Treatment Chemicals"/>
    <s v="Day"/>
    <s v="F. Ali"/>
    <n v="1251"/>
    <n v="1262"/>
    <n v="22"/>
    <n v="1240"/>
    <n v="65.8"/>
    <n v="7.1"/>
    <n v="24.53"/>
    <n v="30956.86"/>
    <n v="539.66000000000008"/>
    <s v="Pass"/>
    <n v="1262"/>
  </r>
  <r>
    <s v="BAT-0384"/>
    <x v="40"/>
    <x v="1"/>
    <s v="Mombasa Plant"/>
    <s v="Line E"/>
    <s v="Protective Coatings"/>
    <s v="Evening"/>
    <s v="D. Kamau"/>
    <n v="882"/>
    <n v="941"/>
    <n v="11"/>
    <n v="930"/>
    <n v="9.6999999999999993"/>
    <n v="7.7"/>
    <n v="24.86"/>
    <n v="23393.26"/>
    <n v="273.45999999999998"/>
    <s v="Pass"/>
    <n v="941"/>
  </r>
  <r>
    <s v="BAT-0432"/>
    <x v="41"/>
    <x v="8"/>
    <s v="Athi River Plant"/>
    <s v="Line E"/>
    <s v="Water Treatment Chemicals"/>
    <s v="Evening"/>
    <s v="P. Otieno"/>
    <n v="912"/>
    <n v="814"/>
    <n v="22"/>
    <n v="792"/>
    <n v="24.6"/>
    <n v="8.1"/>
    <n v="25.22"/>
    <n v="20529.079999999998"/>
    <n v="554.83999999999992"/>
    <s v="Review"/>
    <n v="814"/>
  </r>
  <r>
    <s v="BAT-0435"/>
    <x v="25"/>
    <x v="6"/>
    <s v="Athi River Plant"/>
    <s v="Line E"/>
    <s v="Protective Coatings"/>
    <s v="Night"/>
    <s v="F. Ali"/>
    <n v="881"/>
    <n v="734"/>
    <n v="9"/>
    <n v="725"/>
    <n v="69"/>
    <n v="6.2"/>
    <n v="25.23"/>
    <n v="18518.82"/>
    <n v="227.07"/>
    <s v="Pass"/>
    <n v="734"/>
  </r>
  <r>
    <s v="BAT-0397"/>
    <x v="42"/>
    <x v="5"/>
    <s v="Athi River Plant"/>
    <s v="Line D"/>
    <s v="Protective Coatings"/>
    <s v="Night"/>
    <s v="A. Wanjiku"/>
    <n v="1181"/>
    <n v="1161"/>
    <n v="27"/>
    <n v="1134"/>
    <n v="75.8"/>
    <n v="8.4"/>
    <n v="25.32"/>
    <n v="29396.52"/>
    <n v="683.64"/>
    <s v="Review"/>
    <n v="1161"/>
  </r>
  <r>
    <s v="BAT-0041"/>
    <x v="43"/>
    <x v="1"/>
    <s v="Mombasa Plant"/>
    <s v="Line A"/>
    <s v="Industrial Cleaners"/>
    <s v="Day"/>
    <s v="A. Wanjiku"/>
    <n v="996"/>
    <n v="873"/>
    <n v="21"/>
    <n v="852"/>
    <n v="39.299999999999997"/>
    <n v="7.9"/>
    <n v="25.38"/>
    <n v="22156.739999999998"/>
    <n v="532.98"/>
    <s v="Review"/>
    <n v="873"/>
  </r>
  <r>
    <s v="BAT-0142"/>
    <x v="44"/>
    <x v="1"/>
    <s v="Mombasa Plant"/>
    <s v="Line E"/>
    <s v="Construction Additives"/>
    <s v="Night"/>
    <s v="M. Hassan"/>
    <n v="1321"/>
    <n v="1349"/>
    <n v="24"/>
    <n v="1325"/>
    <n v="28.7"/>
    <n v="8.3000000000000007"/>
    <n v="25.55"/>
    <n v="34466.950000000004"/>
    <n v="613.20000000000005"/>
    <s v="Pass"/>
    <n v="1349"/>
  </r>
  <r>
    <s v="BAT-0381"/>
    <x v="45"/>
    <x v="5"/>
    <s v="Mombasa Plant"/>
    <s v="Line A"/>
    <s v="Industrial Cleaners"/>
    <s v="Day"/>
    <s v="R. Njeri"/>
    <n v="1281"/>
    <n v="1178"/>
    <n v="41"/>
    <n v="1137"/>
    <n v="13.1"/>
    <n v="7.2"/>
    <n v="25.79"/>
    <n v="30380.62"/>
    <n v="1057.3899999999999"/>
    <s v="Review"/>
    <n v="1178"/>
  </r>
  <r>
    <s v="BAT-0507"/>
    <x v="46"/>
    <x v="10"/>
    <s v="Athi River Plant"/>
    <s v="Line A"/>
    <s v="Water Treatment Chemicals"/>
    <s v="Night"/>
    <s v="P. Otieno"/>
    <n v="857"/>
    <n v="960"/>
    <n v="15"/>
    <n v="945"/>
    <n v="69.099999999999994"/>
    <n v="7.5"/>
    <n v="25.85"/>
    <n v="24816"/>
    <n v="387.75"/>
    <s v="Pass"/>
    <n v="960"/>
  </r>
  <r>
    <s v="BAT-0107"/>
    <x v="47"/>
    <x v="2"/>
    <s v="Mombasa Plant"/>
    <s v="Line D"/>
    <s v="Industrial Cleaners"/>
    <s v="Day"/>
    <s v="P. Otieno"/>
    <n v="931"/>
    <n v="800"/>
    <n v="27"/>
    <n v="773"/>
    <n v="29.4"/>
    <n v="6.7"/>
    <n v="25.88"/>
    <n v="20704"/>
    <n v="698.76"/>
    <s v="Review"/>
    <n v="800"/>
  </r>
  <r>
    <s v="BAT-0416"/>
    <x v="30"/>
    <x v="8"/>
    <s v="Athi River Plant"/>
    <s v="Line A"/>
    <s v="Packaging Resin"/>
    <s v="Evening"/>
    <s v="F. Ali"/>
    <n v="1059"/>
    <n v="1036"/>
    <n v="15"/>
    <n v="1021"/>
    <n v="117.2"/>
    <n v="8"/>
    <n v="26.19"/>
    <n v="27132.84"/>
    <n v="392.85"/>
    <s v="Pass"/>
    <n v="1036"/>
  </r>
  <r>
    <s v="BAT-0308"/>
    <x v="48"/>
    <x v="10"/>
    <s v="Mombasa Plant"/>
    <s v="Line A"/>
    <s v="Packaging Resin"/>
    <s v="Day"/>
    <s v="M. Hassan"/>
    <n v="1688"/>
    <n v="1723"/>
    <n v="55"/>
    <n v="1668"/>
    <n v="26.9"/>
    <n v="6.1"/>
    <n v="26.51"/>
    <n v="45676.73"/>
    <n v="1458.0500000000002"/>
    <s v="Review"/>
    <n v="1723"/>
  </r>
  <r>
    <s v="BAT-0311"/>
    <x v="49"/>
    <x v="8"/>
    <s v="Nakuru Plant"/>
    <s v="Line E"/>
    <s v="Protective Coatings"/>
    <s v="Evening"/>
    <s v="R. Njeri"/>
    <n v="805"/>
    <n v="828"/>
    <n v="4"/>
    <n v="824"/>
    <n v="138.9"/>
    <n v="6.4"/>
    <n v="26.78"/>
    <n v="22173.84"/>
    <n v="107.12"/>
    <s v="Pass"/>
    <n v="828"/>
  </r>
  <r>
    <s v="BAT-0596"/>
    <x v="50"/>
    <x v="2"/>
    <s v="Athi River Plant"/>
    <s v="Line C"/>
    <s v="Protective Coatings"/>
    <s v="Evening"/>
    <s v="A. Wanjiku"/>
    <n v="1526"/>
    <n v="1636"/>
    <n v="14"/>
    <n v="1622"/>
    <n v="65.8"/>
    <n v="7.7"/>
    <n v="27.04"/>
    <n v="44237.439999999995"/>
    <n v="378.56"/>
    <s v="Pass"/>
    <n v="1636"/>
  </r>
  <r>
    <s v="BAT-0228"/>
    <x v="51"/>
    <x v="10"/>
    <s v="Nakuru Plant"/>
    <s v="Line A"/>
    <s v="Protective Coatings"/>
    <s v="Night"/>
    <s v="F. Ali"/>
    <n v="1192"/>
    <n v="1320"/>
    <n v="32"/>
    <n v="1288"/>
    <n v="47.7"/>
    <n v="8.1"/>
    <n v="27.87"/>
    <n v="36788.400000000001"/>
    <n v="891.84"/>
    <s v="Review"/>
    <n v="1320"/>
  </r>
  <r>
    <s v="BAT-0038"/>
    <x v="52"/>
    <x v="2"/>
    <s v="Nakuru Plant"/>
    <s v="Line C"/>
    <s v="Construction Additives"/>
    <s v="Evening"/>
    <s v="F. Ali"/>
    <n v="930"/>
    <n v="810"/>
    <n v="14"/>
    <n v="796"/>
    <n v="82.5"/>
    <n v="7"/>
    <n v="28.17"/>
    <n v="22817.7"/>
    <n v="394.38"/>
    <s v="Pass"/>
    <n v="810"/>
  </r>
  <r>
    <s v="BAT-0439"/>
    <x v="53"/>
    <x v="5"/>
    <s v="Nakuru Plant"/>
    <s v="Line D"/>
    <s v="Industrial Cleaners"/>
    <s v="Day"/>
    <s v="D. Kamau"/>
    <n v="740"/>
    <n v="766"/>
    <n v="6"/>
    <n v="760"/>
    <n v="35.9"/>
    <n v="6.1"/>
    <n v="28.23"/>
    <n v="21624.18"/>
    <n v="169.38"/>
    <s v="Pass"/>
    <n v="766"/>
  </r>
  <r>
    <s v="BAT-0040"/>
    <x v="54"/>
    <x v="9"/>
    <s v="Nakuru Plant"/>
    <s v="Line E"/>
    <s v="Industrial Cleaners"/>
    <s v="Day"/>
    <s v="S. Kiptoo"/>
    <n v="1531"/>
    <n v="1230"/>
    <n v="26"/>
    <n v="1204"/>
    <n v="52.4"/>
    <n v="7.2"/>
    <n v="28.68"/>
    <n v="35276.400000000001"/>
    <n v="745.68"/>
    <s v="Review"/>
    <n v="1230"/>
  </r>
  <r>
    <s v="BAT-0412"/>
    <x v="55"/>
    <x v="1"/>
    <s v="Athi River Plant"/>
    <s v="Line D"/>
    <s v="Packaging Resin"/>
    <s v="Evening"/>
    <s v="F. Ali"/>
    <n v="1040"/>
    <n v="1120"/>
    <n v="12"/>
    <n v="1108"/>
    <n v="69.400000000000006"/>
    <n v="7.9"/>
    <n v="28.73"/>
    <n v="32177.600000000002"/>
    <n v="344.76"/>
    <s v="Pass"/>
    <n v="1120"/>
  </r>
  <r>
    <s v="BAT-0231"/>
    <x v="56"/>
    <x v="6"/>
    <s v="Nakuru Plant"/>
    <s v="Line A"/>
    <s v="Industrial Cleaners"/>
    <s v="Evening"/>
    <s v="F. Ali"/>
    <n v="1060"/>
    <n v="935"/>
    <n v="16"/>
    <n v="919"/>
    <n v="18.2"/>
    <n v="7"/>
    <n v="29.01"/>
    <n v="27124.350000000002"/>
    <n v="464.16"/>
    <s v="Pass"/>
    <n v="935"/>
  </r>
  <r>
    <s v="BAT-0224"/>
    <x v="57"/>
    <x v="1"/>
    <s v="Nakuru Plant"/>
    <s v="Line C"/>
    <s v="Construction Additives"/>
    <s v="Evening"/>
    <s v="M. Hassan"/>
    <n v="921"/>
    <n v="895"/>
    <n v="7"/>
    <n v="888"/>
    <n v="19.100000000000001"/>
    <n v="6.5"/>
    <n v="29.43"/>
    <n v="26339.85"/>
    <n v="206.01"/>
    <s v="Pass"/>
    <n v="895"/>
  </r>
  <r>
    <s v="BAT-0414"/>
    <x v="58"/>
    <x v="0"/>
    <s v="Nakuru Plant"/>
    <s v="Line C"/>
    <s v="Water Treatment Chemicals"/>
    <s v="Evening"/>
    <s v="P. Otieno"/>
    <n v="1552"/>
    <n v="1525"/>
    <n v="39"/>
    <n v="1486"/>
    <n v="96.4"/>
    <n v="8.4"/>
    <n v="29.63"/>
    <n v="45185.75"/>
    <n v="1155.57"/>
    <s v="Review"/>
    <n v="1525"/>
  </r>
  <r>
    <s v="BAT-0299"/>
    <x v="59"/>
    <x v="4"/>
    <s v="Athi River Plant"/>
    <s v="Line A"/>
    <s v="Industrial Cleaners"/>
    <s v="Evening"/>
    <s v="J. Mwangi"/>
    <n v="1703"/>
    <n v="1738"/>
    <n v="60"/>
    <n v="1678"/>
    <n v="22"/>
    <n v="7.1"/>
    <n v="29.78"/>
    <n v="51757.64"/>
    <n v="1786.8000000000002"/>
    <s v="Review"/>
    <n v="1738"/>
  </r>
  <r>
    <s v="BAT-0393"/>
    <x v="60"/>
    <x v="7"/>
    <s v="Mombasa Plant"/>
    <s v="Line B"/>
    <s v="Industrial Cleaners"/>
    <s v="Day"/>
    <s v="F. Ali"/>
    <n v="1669"/>
    <n v="1541"/>
    <n v="4"/>
    <n v="1537"/>
    <n v="22.3"/>
    <n v="6.4"/>
    <n v="29.88"/>
    <n v="46045.08"/>
    <n v="119.52"/>
    <s v="Pass"/>
    <n v="1541"/>
  </r>
  <r>
    <s v="BAT-0281"/>
    <x v="61"/>
    <x v="4"/>
    <s v="Athi River Plant"/>
    <s v="Line E"/>
    <s v="Industrial Cleaners"/>
    <s v="Day"/>
    <s v="D. Kamau"/>
    <n v="1227"/>
    <n v="1278"/>
    <n v="16"/>
    <n v="1262"/>
    <n v="34.9"/>
    <n v="8.3000000000000007"/>
    <n v="29.98"/>
    <n v="38314.44"/>
    <n v="479.68"/>
    <s v="Pass"/>
    <n v="1278"/>
  </r>
  <r>
    <s v="BAT-0235"/>
    <x v="62"/>
    <x v="6"/>
    <s v="Nakuru Plant"/>
    <s v="Line C"/>
    <s v="Protective Coatings"/>
    <s v="Day"/>
    <s v="M. Hassan"/>
    <n v="1068"/>
    <n v="1154"/>
    <n v="10"/>
    <n v="1144"/>
    <n v="71.8"/>
    <n v="6.5"/>
    <n v="30.09"/>
    <n v="34723.86"/>
    <n v="300.89999999999998"/>
    <s v="Pass"/>
    <n v="1154"/>
  </r>
  <r>
    <s v="BAT-0127"/>
    <x v="63"/>
    <x v="5"/>
    <s v="Athi River Plant"/>
    <s v="Line C"/>
    <s v="Packaging Resin"/>
    <s v="Evening"/>
    <s v="D. Kamau"/>
    <n v="968"/>
    <n v="1006"/>
    <n v="35"/>
    <n v="971"/>
    <n v="37.299999999999997"/>
    <n v="7.3"/>
    <n v="30.09"/>
    <n v="30270.54"/>
    <n v="1053.1500000000001"/>
    <s v="Review"/>
    <n v="1006"/>
  </r>
  <r>
    <s v="BAT-0419"/>
    <x v="64"/>
    <x v="4"/>
    <s v="Nakuru Plant"/>
    <s v="Line C"/>
    <s v="Water Treatment Chemicals"/>
    <s v="Day"/>
    <s v="P. Otieno"/>
    <n v="931"/>
    <n v="820"/>
    <n v="8"/>
    <n v="812"/>
    <n v="29"/>
    <n v="8.1999999999999993"/>
    <n v="30.39"/>
    <n v="24919.8"/>
    <n v="243.12"/>
    <s v="Pass"/>
    <n v="820"/>
  </r>
  <r>
    <s v="BAT-0087"/>
    <x v="65"/>
    <x v="0"/>
    <s v="Nakuru Plant"/>
    <s v="Line E"/>
    <s v="Water Treatment Chemicals"/>
    <s v="Evening"/>
    <s v="R. Njeri"/>
    <n v="1287"/>
    <n v="1436"/>
    <n v="44"/>
    <n v="1392"/>
    <n v="10.6"/>
    <n v="8"/>
    <n v="30.68"/>
    <n v="44056.480000000003"/>
    <n v="1349.92"/>
    <s v="Review"/>
    <n v="1436"/>
  </r>
  <r>
    <s v="BAT-0159"/>
    <x v="66"/>
    <x v="10"/>
    <s v="Athi River Plant"/>
    <s v="Line A"/>
    <s v="Packaging Resin"/>
    <s v="Night"/>
    <s v="P. Otieno"/>
    <n v="784"/>
    <n v="700"/>
    <n v="21"/>
    <n v="679"/>
    <n v="10.199999999999999"/>
    <n v="6.9"/>
    <n v="30.84"/>
    <n v="21588"/>
    <n v="647.64"/>
    <s v="Review"/>
    <n v="700"/>
  </r>
  <r>
    <s v="BAT-0450"/>
    <x v="67"/>
    <x v="4"/>
    <s v="Mombasa Plant"/>
    <s v="Line E"/>
    <s v="Water Treatment Chemicals"/>
    <s v="Night"/>
    <s v="D. Kamau"/>
    <n v="826"/>
    <n v="864"/>
    <n v="3"/>
    <n v="861"/>
    <n v="37.200000000000003"/>
    <n v="8"/>
    <n v="30.88"/>
    <n v="26680.32"/>
    <n v="92.64"/>
    <s v="Pass"/>
    <n v="864"/>
  </r>
  <r>
    <s v="BAT-0459"/>
    <x v="68"/>
    <x v="11"/>
    <s v="Nakuru Plant"/>
    <s v="Line D"/>
    <s v="Construction Additives"/>
    <s v="Evening"/>
    <s v="S. Kiptoo"/>
    <n v="1587"/>
    <n v="1610"/>
    <n v="8"/>
    <n v="1602"/>
    <n v="71.2"/>
    <n v="7.8"/>
    <n v="30.93"/>
    <n v="49797.3"/>
    <n v="247.44"/>
    <s v="Pass"/>
    <n v="1610"/>
  </r>
  <r>
    <s v="BAT-0463"/>
    <x v="69"/>
    <x v="2"/>
    <s v="Mombasa Plant"/>
    <s v="Line C"/>
    <s v="Construction Additives"/>
    <s v="Day"/>
    <s v="J. Mwangi"/>
    <n v="1319"/>
    <n v="1122"/>
    <n v="32"/>
    <n v="1090"/>
    <n v="41.9"/>
    <n v="6.4"/>
    <n v="31.15"/>
    <n v="34950.299999999996"/>
    <n v="996.8"/>
    <s v="Review"/>
    <n v="1122"/>
  </r>
  <r>
    <s v="BAT-0359"/>
    <x v="70"/>
    <x v="0"/>
    <s v="Athi River Plant"/>
    <s v="Line A"/>
    <s v="Protective Coatings"/>
    <s v="Night"/>
    <s v="J. Mwangi"/>
    <n v="957"/>
    <n v="764"/>
    <n v="11"/>
    <n v="753"/>
    <n v="14.9"/>
    <n v="7.4"/>
    <n v="31.45"/>
    <n v="24027.8"/>
    <n v="345.95"/>
    <s v="Pass"/>
    <n v="764"/>
  </r>
  <r>
    <s v="BAT-0195"/>
    <x v="71"/>
    <x v="3"/>
    <s v="Mombasa Plant"/>
    <s v="Line B"/>
    <s v="Protective Coatings"/>
    <s v="Evening"/>
    <s v="J. Mwangi"/>
    <n v="1339"/>
    <n v="1368"/>
    <n v="28"/>
    <n v="1340"/>
    <n v="49.4"/>
    <n v="8.1"/>
    <n v="31.8"/>
    <n v="43502.400000000001"/>
    <n v="890.4"/>
    <s v="Review"/>
    <n v="1368"/>
  </r>
  <r>
    <s v="BAT-0471"/>
    <x v="41"/>
    <x v="8"/>
    <s v="Mombasa Plant"/>
    <s v="Line B"/>
    <s v="Industrial Cleaners"/>
    <s v="Evening"/>
    <s v="R. Njeri"/>
    <n v="1137"/>
    <n v="1189"/>
    <n v="38"/>
    <n v="1151"/>
    <n v="28.1"/>
    <n v="6.2"/>
    <n v="31.99"/>
    <n v="38036.11"/>
    <n v="1215.6199999999999"/>
    <s v="Review"/>
    <n v="1189"/>
  </r>
  <r>
    <s v="BAT-0123"/>
    <x v="72"/>
    <x v="9"/>
    <s v="Athi River Plant"/>
    <s v="Line B"/>
    <s v="Packaging Resin"/>
    <s v="Night"/>
    <s v="J. Mwangi"/>
    <n v="1102"/>
    <n v="939"/>
    <n v="6"/>
    <n v="933"/>
    <n v="46"/>
    <n v="7.9"/>
    <n v="32.69"/>
    <n v="30695.909999999996"/>
    <n v="196.14"/>
    <s v="Pass"/>
    <n v="939"/>
  </r>
  <r>
    <s v="BAT-0167"/>
    <x v="73"/>
    <x v="4"/>
    <s v="Athi River Plant"/>
    <s v="Line E"/>
    <s v="Protective Coatings"/>
    <s v="Night"/>
    <s v="S. Kiptoo"/>
    <n v="923"/>
    <n v="970"/>
    <n v="31"/>
    <n v="939"/>
    <n v="29.4"/>
    <n v="8.1"/>
    <n v="32.92"/>
    <n v="31932.400000000001"/>
    <n v="1020.5200000000001"/>
    <s v="Review"/>
    <n v="970"/>
  </r>
  <r>
    <s v="BAT-0212"/>
    <x v="74"/>
    <x v="8"/>
    <s v="Athi River Plant"/>
    <s v="Line E"/>
    <s v="Industrial Cleaners"/>
    <s v="Evening"/>
    <s v="R. Njeri"/>
    <n v="1536"/>
    <n v="1443"/>
    <n v="38"/>
    <n v="1405"/>
    <n v="6.8"/>
    <n v="6.7"/>
    <n v="32.97"/>
    <n v="47575.71"/>
    <n v="1252.8599999999999"/>
    <s v="Review"/>
    <n v="1443"/>
  </r>
  <r>
    <s v="BAT-0392"/>
    <x v="75"/>
    <x v="1"/>
    <s v="Mombasa Plant"/>
    <s v="Line B"/>
    <s v="Water Treatment Chemicals"/>
    <s v="Evening"/>
    <s v="S. Kiptoo"/>
    <n v="1049"/>
    <n v="1018"/>
    <n v="3"/>
    <n v="1015"/>
    <n v="103.6"/>
    <n v="6.6"/>
    <n v="33.049999999999997"/>
    <n v="33644.899999999994"/>
    <n v="99.149999999999991"/>
    <s v="Pass"/>
    <n v="1018"/>
  </r>
  <r>
    <s v="BAT-0014"/>
    <x v="24"/>
    <x v="2"/>
    <s v="Mombasa Plant"/>
    <s v="Line C"/>
    <s v="Water Treatment Chemicals"/>
    <s v="Evening"/>
    <s v="S. Kiptoo"/>
    <n v="1503"/>
    <n v="1571"/>
    <n v="47"/>
    <n v="1524"/>
    <n v="60.3"/>
    <n v="7.6"/>
    <n v="33.479999999999997"/>
    <n v="52597.079999999994"/>
    <n v="1573.56"/>
    <s v="Review"/>
    <n v="1571"/>
  </r>
  <r>
    <s v="BAT-0274"/>
    <x v="76"/>
    <x v="3"/>
    <s v="Mombasa Plant"/>
    <s v="Line A"/>
    <s v="Construction Additives"/>
    <s v="Day"/>
    <s v="Not Found"/>
    <n v="1091"/>
    <n v="1101"/>
    <n v="4"/>
    <n v="1097"/>
    <n v="35.1"/>
    <n v="7.2"/>
    <n v="33.74"/>
    <n v="37147.740000000005"/>
    <n v="134.96"/>
    <s v="Pass"/>
    <n v="1101"/>
  </r>
  <r>
    <s v="BAT-0407"/>
    <x v="25"/>
    <x v="6"/>
    <s v="Mombasa Plant"/>
    <s v="Line A"/>
    <s v="Protective Coatings"/>
    <s v="Day"/>
    <s v="J. Mwangi"/>
    <n v="1072"/>
    <n v="969"/>
    <n v="17"/>
    <n v="952"/>
    <n v="7.4"/>
    <n v="7.6"/>
    <n v="34.28"/>
    <n v="33217.32"/>
    <n v="582.76"/>
    <s v="Pass"/>
    <n v="969"/>
  </r>
  <r>
    <s v="BAT-0090"/>
    <x v="77"/>
    <x v="2"/>
    <s v="Athi River Plant"/>
    <s v="Line E"/>
    <s v="Water Treatment Chemicals"/>
    <s v="Night"/>
    <s v="A. Wanjiku"/>
    <n v="1677"/>
    <n v="1549"/>
    <n v="23"/>
    <n v="1526"/>
    <n v="20.9"/>
    <n v="7"/>
    <n v="34.65"/>
    <n v="53672.85"/>
    <n v="796.94999999999993"/>
    <s v="Pass"/>
    <n v="1549"/>
  </r>
  <r>
    <s v="BAT-0230"/>
    <x v="78"/>
    <x v="1"/>
    <s v="Nakuru Plant"/>
    <s v="Line C"/>
    <s v="Packaging Resin"/>
    <s v="Night"/>
    <s v="P. Otieno"/>
    <n v="1542"/>
    <n v="1649"/>
    <n v="37"/>
    <n v="1612"/>
    <n v="52.1"/>
    <n v="7.6"/>
    <n v="35.159999999999997"/>
    <n v="57978.84"/>
    <n v="1300.9199999999998"/>
    <s v="Review"/>
    <n v="1649"/>
  </r>
  <r>
    <s v="BAT-0534"/>
    <x v="59"/>
    <x v="4"/>
    <s v="Mombasa Plant"/>
    <s v="Line E"/>
    <s v="Industrial Cleaners"/>
    <s v="Evening"/>
    <s v="R. Njeri"/>
    <n v="1001"/>
    <n v="989"/>
    <n v="28"/>
    <n v="961"/>
    <n v="33.5"/>
    <n v="7.4"/>
    <n v="35.47"/>
    <n v="35079.83"/>
    <n v="993.16"/>
    <s v="Review"/>
    <n v="989"/>
  </r>
  <r>
    <s v="BAT-0470"/>
    <x v="13"/>
    <x v="3"/>
    <s v="Nakuru Plant"/>
    <s v="Line C"/>
    <s v="Construction Additives"/>
    <s v="Day"/>
    <s v="D. Kamau"/>
    <n v="711"/>
    <n v="610"/>
    <n v="10"/>
    <n v="600"/>
    <n v="21.8"/>
    <n v="6.7"/>
    <n v="35.56"/>
    <n v="21691.600000000002"/>
    <n v="355.6"/>
    <s v="Pass"/>
    <n v="610"/>
  </r>
  <r>
    <s v="BAT-0445"/>
    <x v="79"/>
    <x v="10"/>
    <s v="Mombasa Plant"/>
    <s v="Line D"/>
    <s v="Water Treatment Chemicals"/>
    <s v="Night"/>
    <s v="R. Njeri"/>
    <n v="1600"/>
    <n v="1472"/>
    <n v="40"/>
    <n v="1432"/>
    <n v="43.2"/>
    <n v="7.7"/>
    <n v="35.65"/>
    <n v="52476.799999999996"/>
    <n v="1426"/>
    <s v="Review"/>
    <n v="1472"/>
  </r>
  <r>
    <s v="BAT-0261"/>
    <x v="80"/>
    <x v="2"/>
    <s v="Mombasa Plant"/>
    <s v="Line A"/>
    <s v="Protective Coatings"/>
    <s v="Evening"/>
    <s v="F. Ali"/>
    <n v="1459"/>
    <n v="1361"/>
    <n v="6"/>
    <n v="1355"/>
    <n v="26.4"/>
    <n v="6.7"/>
    <n v="35.75"/>
    <n v="48655.75"/>
    <n v="214.5"/>
    <s v="Pass"/>
    <n v="1361"/>
  </r>
  <r>
    <s v="BAT-0452"/>
    <x v="81"/>
    <x v="3"/>
    <s v="Nakuru Plant"/>
    <s v="Line A"/>
    <s v="Water Treatment Chemicals"/>
    <s v="Evening"/>
    <s v="F. Ali"/>
    <n v="1039"/>
    <n v="855"/>
    <n v="23"/>
    <n v="832"/>
    <n v="7.3"/>
    <n v="8.4"/>
    <n v="35.799999999999997"/>
    <n v="30608.999999999996"/>
    <n v="823.4"/>
    <s v="Review"/>
    <n v="855"/>
  </r>
  <r>
    <s v="BAT-0415"/>
    <x v="28"/>
    <x v="5"/>
    <s v="Nakuru Plant"/>
    <s v="Line E"/>
    <s v="Water Treatment Chemicals"/>
    <s v="Day"/>
    <s v="R. Njeri"/>
    <n v="1341"/>
    <n v="1247"/>
    <n v="26"/>
    <n v="1221"/>
    <n v="0.9"/>
    <n v="6.8"/>
    <n v="35.94"/>
    <n v="44817.18"/>
    <n v="934.43999999999994"/>
    <s v="Review"/>
    <n v="1247"/>
  </r>
  <r>
    <s v="BAT-0546"/>
    <x v="82"/>
    <x v="5"/>
    <s v="Athi River Plant"/>
    <s v="Line D"/>
    <s v="Industrial Cleaners"/>
    <s v="Night"/>
    <s v="R. Njeri"/>
    <n v="1749"/>
    <n v="1649"/>
    <n v="53"/>
    <n v="1596"/>
    <n v="5.2"/>
    <n v="6.6"/>
    <n v="36.090000000000003"/>
    <n v="59512.41"/>
    <n v="1912.7700000000002"/>
    <s v="Review"/>
    <n v="1649"/>
  </r>
  <r>
    <s v="BAT-0132"/>
    <x v="48"/>
    <x v="10"/>
    <s v="Mombasa Plant"/>
    <s v="Line D"/>
    <s v="Packaging Resin"/>
    <s v="Night"/>
    <s v="A. Wanjiku"/>
    <n v="805"/>
    <n v="753"/>
    <n v="22"/>
    <n v="731"/>
    <n v="27.6"/>
    <n v="6.4"/>
    <n v="36.65"/>
    <n v="27597.45"/>
    <n v="806.3"/>
    <s v="Review"/>
    <n v="753"/>
  </r>
  <r>
    <s v="BAT-0188"/>
    <x v="83"/>
    <x v="7"/>
    <s v="Nakuru Plant"/>
    <s v="Line D"/>
    <s v="Construction Additives"/>
    <s v="Evening"/>
    <s v="D. Kamau"/>
    <n v="821"/>
    <n v="815"/>
    <n v="11"/>
    <n v="804"/>
    <n v="57.7"/>
    <n v="7.2"/>
    <n v="36.72"/>
    <n v="29926.799999999999"/>
    <n v="403.91999999999996"/>
    <s v="Pass"/>
    <n v="815"/>
  </r>
  <r>
    <s v="BAT-0404"/>
    <x v="84"/>
    <x v="3"/>
    <s v="Nakuru Plant"/>
    <s v="Line C"/>
    <s v="Packaging Resin"/>
    <s v="Night"/>
    <s v="A. Wanjiku"/>
    <n v="1786"/>
    <n v="1848"/>
    <n v="14"/>
    <n v="1834"/>
    <n v="73.2"/>
    <n v="7.9"/>
    <n v="36.79"/>
    <n v="67987.92"/>
    <n v="515.05999999999995"/>
    <s v="Pass"/>
    <n v="1848"/>
  </r>
  <r>
    <s v="BAT-0084"/>
    <x v="77"/>
    <x v="2"/>
    <s v="Mombasa Plant"/>
    <s v="Line B"/>
    <s v="Construction Additives"/>
    <s v="Evening"/>
    <s v="R. Njeri"/>
    <n v="1535"/>
    <n v="1396"/>
    <n v="21"/>
    <n v="1375"/>
    <n v="18.3"/>
    <n v="7.7"/>
    <n v="36.97"/>
    <n v="51610.119999999995"/>
    <n v="776.37"/>
    <s v="Pass"/>
    <n v="1396"/>
  </r>
  <r>
    <s v="BAT-0420"/>
    <x v="66"/>
    <x v="10"/>
    <s v="Nakuru Plant"/>
    <s v="Line D"/>
    <s v="Construction Additives"/>
    <s v="Evening"/>
    <s v="M. Hassan"/>
    <n v="1773"/>
    <n v="1667"/>
    <n v="31"/>
    <n v="1636"/>
    <n v="39.700000000000003"/>
    <n v="7.5"/>
    <n v="37.26"/>
    <n v="62112.42"/>
    <n v="1155.06"/>
    <s v="Pass"/>
    <n v="1667"/>
  </r>
  <r>
    <s v="BAT-0564"/>
    <x v="33"/>
    <x v="1"/>
    <s v="Nakuru Plant"/>
    <s v="Line E"/>
    <s v="Construction Additives"/>
    <s v="Night"/>
    <s v="D. Kamau"/>
    <n v="715"/>
    <n v="783"/>
    <n v="6"/>
    <n v="777"/>
    <n v="149.4"/>
    <n v="7.2"/>
    <n v="37.36"/>
    <n v="29252.880000000001"/>
    <n v="224.16"/>
    <s v="Pass"/>
    <n v="783"/>
  </r>
  <r>
    <s v="BAT-0227"/>
    <x v="85"/>
    <x v="2"/>
    <s v="Mombasa Plant"/>
    <s v="Line D"/>
    <s v="Water Treatment Chemicals"/>
    <s v="Evening"/>
    <s v="J. Mwangi"/>
    <n v="1156"/>
    <n v="1215"/>
    <n v="34"/>
    <n v="1181"/>
    <n v="7.8"/>
    <n v="6.7"/>
    <n v="37.5"/>
    <n v="45562.5"/>
    <n v="1275"/>
    <s v="Review"/>
    <n v="1215"/>
  </r>
  <r>
    <s v="BAT-0441"/>
    <x v="86"/>
    <x v="3"/>
    <s v="Mombasa Plant"/>
    <s v="Line D"/>
    <s v="Packaging Resin"/>
    <s v="Evening"/>
    <s v="D. Kamau"/>
    <n v="969"/>
    <n v="809"/>
    <n v="16"/>
    <n v="793"/>
    <n v="42"/>
    <n v="6.2"/>
    <n v="37.6"/>
    <n v="30418.400000000001"/>
    <n v="601.6"/>
    <s v="Pass"/>
    <n v="809"/>
  </r>
  <r>
    <s v="BAT-0533"/>
    <x v="87"/>
    <x v="0"/>
    <s v="Nakuru Plant"/>
    <s v="Line B"/>
    <s v="Packaging Resin"/>
    <s v="Day"/>
    <s v="P. Otieno"/>
    <n v="716"/>
    <n v="693"/>
    <n v="6"/>
    <n v="687"/>
    <n v="15.6"/>
    <n v="6.1"/>
    <n v="38"/>
    <n v="26334"/>
    <n v="228"/>
    <s v="Pass"/>
    <n v="693"/>
  </r>
  <r>
    <s v="BAT-0073"/>
    <x v="88"/>
    <x v="6"/>
    <s v="Mombasa Plant"/>
    <s v="Line A"/>
    <s v="Water Treatment Chemicals"/>
    <s v="Night"/>
    <s v="D. Kamau"/>
    <n v="797"/>
    <n v="683"/>
    <n v="20"/>
    <n v="663"/>
    <n v="3.8"/>
    <n v="7.5"/>
    <n v="38.67"/>
    <n v="26411.61"/>
    <n v="773.40000000000009"/>
    <s v="Review"/>
    <n v="683"/>
  </r>
  <r>
    <s v="BAT-0338"/>
    <x v="89"/>
    <x v="4"/>
    <s v="Nakuru Plant"/>
    <s v="Line B"/>
    <s v="Packaging Resin"/>
    <s v="Evening"/>
    <s v="F. Ali"/>
    <n v="1286"/>
    <n v="1065"/>
    <n v="21"/>
    <n v="1044"/>
    <n v="28.3"/>
    <n v="6.5"/>
    <n v="38.729999999999997"/>
    <n v="41247.449999999997"/>
    <n v="813.32999999999993"/>
    <s v="Pass"/>
    <n v="1065"/>
  </r>
  <r>
    <s v="BAT-0162"/>
    <x v="90"/>
    <x v="9"/>
    <s v="Athi River Plant"/>
    <s v="Line D"/>
    <s v="Protective Coatings"/>
    <s v="Evening"/>
    <s v="F. Ali"/>
    <n v="1107"/>
    <n v="1265"/>
    <n v="22"/>
    <n v="1243"/>
    <n v="27.2"/>
    <n v="7.7"/>
    <n v="38.75"/>
    <n v="49018.75"/>
    <n v="852.5"/>
    <s v="Pass"/>
    <n v="1265"/>
  </r>
  <r>
    <s v="BAT-0102"/>
    <x v="91"/>
    <x v="1"/>
    <s v="Nakuru Plant"/>
    <s v="Line E"/>
    <s v="Water Treatment Chemicals"/>
    <s v="Evening"/>
    <s v="A. Wanjiku"/>
    <n v="1677"/>
    <n v="1622"/>
    <n v="29"/>
    <n v="1593"/>
    <n v="32.4"/>
    <n v="8.4"/>
    <n v="38.770000000000003"/>
    <n v="62884.94"/>
    <n v="1124.3300000000002"/>
    <s v="Pass"/>
    <n v="1622"/>
  </r>
  <r>
    <s v="BAT-0526"/>
    <x v="92"/>
    <x v="4"/>
    <s v="Mombasa Plant"/>
    <s v="Line C"/>
    <s v="Packaging Resin"/>
    <s v="Night"/>
    <s v="D. Kamau"/>
    <n v="1664"/>
    <n v="1414"/>
    <n v="16"/>
    <n v="1398"/>
    <n v="4.5999999999999996"/>
    <n v="8.3000000000000007"/>
    <n v="38.96"/>
    <n v="55089.440000000002"/>
    <n v="623.36"/>
    <s v="Pass"/>
    <n v="1414"/>
  </r>
  <r>
    <s v="BAT-0122"/>
    <x v="49"/>
    <x v="8"/>
    <s v="Athi River Plant"/>
    <s v="Line C"/>
    <s v="Industrial Cleaners"/>
    <s v="Night"/>
    <s v="D. Kamau"/>
    <n v="1539"/>
    <n v="1545"/>
    <n v="44"/>
    <n v="1501"/>
    <n v="28.3"/>
    <n v="8.1999999999999993"/>
    <n v="39.299999999999997"/>
    <n v="60718.499999999993"/>
    <n v="1729.1999999999998"/>
    <s v="Review"/>
    <n v="1545"/>
  </r>
  <r>
    <s v="BAT-0369"/>
    <x v="93"/>
    <x v="5"/>
    <s v="Athi River Plant"/>
    <s v="Line A"/>
    <s v="Water Treatment Chemicals"/>
    <s v="Night"/>
    <s v="R. Njeri"/>
    <n v="1144"/>
    <n v="989"/>
    <n v="14"/>
    <n v="975"/>
    <n v="27.7"/>
    <n v="7"/>
    <n v="39.33"/>
    <n v="38897.369999999995"/>
    <n v="550.62"/>
    <s v="Pass"/>
    <n v="989"/>
  </r>
  <r>
    <s v="BAT-0287"/>
    <x v="94"/>
    <x v="0"/>
    <s v="Athi River Plant"/>
    <s v="Line D"/>
    <s v="Construction Additives"/>
    <s v="Evening"/>
    <s v="P. Otieno"/>
    <n v="1437"/>
    <n v="1325"/>
    <n v="10"/>
    <n v="1315"/>
    <n v="41.7"/>
    <n v="7.3"/>
    <n v="39.590000000000003"/>
    <n v="52456.750000000007"/>
    <n v="395.90000000000003"/>
    <s v="Pass"/>
    <n v="1325"/>
  </r>
  <r>
    <s v="BAT-0514"/>
    <x v="95"/>
    <x v="2"/>
    <s v="Athi River Plant"/>
    <s v="Line B"/>
    <s v="Packaging Resin"/>
    <s v="Evening"/>
    <s v="A. Wanjiku"/>
    <n v="1333"/>
    <n v="1459"/>
    <n v="6"/>
    <n v="1453"/>
    <n v="108"/>
    <n v="7.8"/>
    <n v="39.72"/>
    <n v="57951.479999999996"/>
    <n v="238.32"/>
    <s v="Pass"/>
    <n v="1459"/>
  </r>
  <r>
    <s v="BAT-0033"/>
    <x v="70"/>
    <x v="0"/>
    <s v="Athi River Plant"/>
    <s v="Line B"/>
    <s v="Water Treatment Chemicals"/>
    <s v="Day"/>
    <s v="S. Kiptoo"/>
    <n v="745"/>
    <n v="764"/>
    <n v="9"/>
    <n v="755"/>
    <n v="70.7"/>
    <n v="6.8"/>
    <n v="39.97"/>
    <n v="30537.079999999998"/>
    <n v="359.73"/>
    <s v="Pass"/>
    <n v="764"/>
  </r>
  <r>
    <s v="BAT-0593"/>
    <x v="40"/>
    <x v="1"/>
    <s v="Mombasa Plant"/>
    <s v="Line D"/>
    <s v="Water Treatment Chemicals"/>
    <s v="Day"/>
    <s v="M. Hassan"/>
    <n v="1795"/>
    <n v="1869"/>
    <n v="12"/>
    <n v="1857"/>
    <n v="45.3"/>
    <n v="8.1999999999999993"/>
    <n v="40.229999999999997"/>
    <n v="75189.87"/>
    <n v="482.76"/>
    <s v="Pass"/>
    <n v="1869"/>
  </r>
  <r>
    <s v="BAT-0135"/>
    <x v="37"/>
    <x v="2"/>
    <s v="Athi River Plant"/>
    <s v="Line A"/>
    <s v="Packaging Resin"/>
    <s v="Night"/>
    <s v="J. Mwangi"/>
    <n v="1153"/>
    <n v="1044"/>
    <n v="6"/>
    <n v="1038"/>
    <n v="32.700000000000003"/>
    <n v="6.4"/>
    <n v="40.270000000000003"/>
    <n v="42041.880000000005"/>
    <n v="241.62"/>
    <s v="Pass"/>
    <n v="1044"/>
  </r>
  <r>
    <s v="BAT-0251"/>
    <x v="75"/>
    <x v="1"/>
    <s v="Nakuru Plant"/>
    <s v="Line C"/>
    <s v="Protective Coatings"/>
    <s v="Day"/>
    <s v="Not Found"/>
    <n v="1383"/>
    <n v="1029"/>
    <n v="18"/>
    <n v="1011"/>
    <n v="25.7"/>
    <n v="7"/>
    <n v="40.44"/>
    <n v="41612.759999999995"/>
    <n v="727.92"/>
    <s v="Pass"/>
    <n v="1029"/>
  </r>
  <r>
    <s v="BAT-0044"/>
    <x v="96"/>
    <x v="7"/>
    <s v="Nakuru Plant"/>
    <s v="Line D"/>
    <s v="Protective Coatings"/>
    <s v="Day"/>
    <s v="F. Ali"/>
    <n v="1638"/>
    <n v="1488"/>
    <n v="48"/>
    <n v="1440"/>
    <n v="13.9"/>
    <n v="7.6"/>
    <n v="40.54"/>
    <n v="60323.519999999997"/>
    <n v="1945.92"/>
    <s v="Review"/>
    <n v="1488"/>
  </r>
  <r>
    <s v="BAT-0276"/>
    <x v="97"/>
    <x v="6"/>
    <s v="Nakuru Plant"/>
    <s v="Line E"/>
    <s v="Protective Coatings"/>
    <s v="Evening"/>
    <s v="A. Wanjiku"/>
    <n v="962"/>
    <n v="784"/>
    <n v="15"/>
    <n v="769"/>
    <n v="103.3"/>
    <n v="7.3"/>
    <n v="40.590000000000003"/>
    <n v="31822.560000000001"/>
    <n v="608.85"/>
    <s v="Pass"/>
    <n v="784"/>
  </r>
  <r>
    <s v="BAT-0382"/>
    <x v="98"/>
    <x v="3"/>
    <s v="Athi River Plant"/>
    <s v="Line E"/>
    <s v="Water Treatment Chemicals"/>
    <s v="Day"/>
    <s v="P. Otieno"/>
    <n v="1390"/>
    <n v="1424"/>
    <n v="19"/>
    <n v="1405"/>
    <n v="14.8"/>
    <n v="7.8"/>
    <n v="41.34"/>
    <n v="58868.160000000003"/>
    <n v="785.46"/>
    <s v="Pass"/>
    <n v="1424"/>
  </r>
  <r>
    <s v="BAT-0417"/>
    <x v="99"/>
    <x v="3"/>
    <s v="Mombasa Plant"/>
    <s v="Line A"/>
    <s v="Packaging Resin"/>
    <s v="Day"/>
    <s v="M. Hassan"/>
    <n v="1110"/>
    <n v="888"/>
    <n v="20"/>
    <n v="868"/>
    <n v="86.3"/>
    <n v="6"/>
    <n v="41.41"/>
    <n v="36772.079999999994"/>
    <n v="828.19999999999993"/>
    <s v="Review"/>
    <n v="888"/>
  </r>
  <r>
    <s v="BAT-0496"/>
    <x v="100"/>
    <x v="7"/>
    <s v="Mombasa Plant"/>
    <s v="Line A"/>
    <s v="Packaging Resin"/>
    <s v="Evening"/>
    <s v="F. Ali"/>
    <n v="1309"/>
    <n v="976"/>
    <n v="18"/>
    <n v="958"/>
    <n v="26.7"/>
    <n v="8.3000000000000007"/>
    <n v="41.42"/>
    <n v="40425.919999999998"/>
    <n v="745.56000000000006"/>
    <s v="Pass"/>
    <n v="976"/>
  </r>
  <r>
    <s v="BAT-0430"/>
    <x v="74"/>
    <x v="8"/>
    <s v="Athi River Plant"/>
    <s v="Line B"/>
    <s v="Protective Coatings"/>
    <s v="Day"/>
    <s v="D. Kamau"/>
    <n v="1482"/>
    <n v="1367"/>
    <n v="18"/>
    <n v="1349"/>
    <n v="47"/>
    <n v="7.1"/>
    <n v="42.18"/>
    <n v="57660.06"/>
    <n v="759.24"/>
    <s v="Pass"/>
    <n v="1367"/>
  </r>
  <r>
    <s v="BAT-0554"/>
    <x v="101"/>
    <x v="4"/>
    <s v="Mombasa Plant"/>
    <s v="Line D"/>
    <s v="Industrial Cleaners"/>
    <s v="Day"/>
    <s v="A. Wanjiku"/>
    <n v="1285"/>
    <n v="1221"/>
    <n v="6"/>
    <n v="1215"/>
    <n v="174.1"/>
    <n v="6.5"/>
    <n v="42.24"/>
    <n v="51575.040000000001"/>
    <n v="253.44"/>
    <s v="Pass"/>
    <n v="1221"/>
  </r>
  <r>
    <s v="BAT-0022"/>
    <x v="102"/>
    <x v="7"/>
    <s v="Athi River Plant"/>
    <s v="Line E"/>
    <s v="Protective Coatings"/>
    <s v="Evening"/>
    <s v="R. Njeri"/>
    <n v="1550"/>
    <n v="1697"/>
    <n v="13"/>
    <n v="1684"/>
    <n v="34.799999999999997"/>
    <n v="7.8"/>
    <n v="42.52"/>
    <n v="72156.44"/>
    <n v="552.76"/>
    <s v="Pass"/>
    <n v="1697"/>
  </r>
  <r>
    <s v="BAT-0175"/>
    <x v="103"/>
    <x v="8"/>
    <s v="Mombasa Plant"/>
    <s v="Line B"/>
    <s v="Construction Additives"/>
    <s v="Evening"/>
    <s v="S. Kiptoo"/>
    <n v="1431"/>
    <n v="1172"/>
    <n v="9"/>
    <n v="1163"/>
    <n v="75.099999999999994"/>
    <n v="6.2"/>
    <n v="42.78"/>
    <n v="50138.16"/>
    <n v="385.02"/>
    <s v="Pass"/>
    <n v="1172"/>
  </r>
  <r>
    <s v="BAT-0559"/>
    <x v="80"/>
    <x v="2"/>
    <s v="Nakuru Plant"/>
    <s v="Line C"/>
    <s v="Industrial Cleaners"/>
    <s v="Day"/>
    <s v="A. Wanjiku"/>
    <n v="776"/>
    <n v="643"/>
    <n v="5"/>
    <n v="638"/>
    <n v="40.799999999999997"/>
    <n v="6.2"/>
    <n v="43.69"/>
    <n v="28092.67"/>
    <n v="218.45"/>
    <s v="Pass"/>
    <n v="643"/>
  </r>
  <r>
    <s v="BAT-0469"/>
    <x v="33"/>
    <x v="1"/>
    <s v="Nakuru Plant"/>
    <s v="Line B"/>
    <s v="Water Treatment Chemicals"/>
    <s v="Day"/>
    <s v="D. Kamau"/>
    <n v="1373"/>
    <n v="1393"/>
    <n v="45"/>
    <n v="1348"/>
    <n v="65.900000000000006"/>
    <n v="7.4"/>
    <n v="43.74"/>
    <n v="60929.82"/>
    <n v="1968.3000000000002"/>
    <s v="Review"/>
    <n v="1393"/>
  </r>
  <r>
    <s v="BAT-0097"/>
    <x v="40"/>
    <x v="1"/>
    <s v="Nakuru Plant"/>
    <s v="Line B"/>
    <s v="Construction Additives"/>
    <s v="Night"/>
    <s v="M. Hassan"/>
    <n v="1276"/>
    <n v="1286"/>
    <n v="35"/>
    <n v="1251"/>
    <n v="6.2"/>
    <n v="7.9"/>
    <n v="44.27"/>
    <n v="56931.22"/>
    <n v="1549.45"/>
    <s v="Review"/>
    <n v="1286"/>
  </r>
  <r>
    <s v="BAT-0143"/>
    <x v="61"/>
    <x v="4"/>
    <s v="Nakuru Plant"/>
    <s v="Line D"/>
    <s v="Protective Coatings"/>
    <s v="Evening"/>
    <s v="D. Kamau"/>
    <n v="1074"/>
    <n v="1241"/>
    <n v="12"/>
    <n v="1229"/>
    <n v="9.4"/>
    <n v="6.2"/>
    <n v="44.29"/>
    <n v="54963.89"/>
    <n v="531.48"/>
    <s v="Pass"/>
    <n v="1241"/>
  </r>
  <r>
    <s v="BAT-0587"/>
    <x v="104"/>
    <x v="8"/>
    <s v="Mombasa Plant"/>
    <s v="Line C"/>
    <s v="Protective Coatings"/>
    <s v="Night"/>
    <s v="A. Wanjiku"/>
    <n v="1219"/>
    <n v="1242"/>
    <n v="6"/>
    <n v="1236"/>
    <n v="29.7"/>
    <n v="7.1"/>
    <n v="44.34"/>
    <n v="55070.280000000006"/>
    <n v="266.04000000000002"/>
    <s v="Pass"/>
    <n v="1242"/>
  </r>
  <r>
    <s v="BAT-0485"/>
    <x v="88"/>
    <x v="6"/>
    <s v="Athi River Plant"/>
    <s v="Line A"/>
    <s v="Protective Coatings"/>
    <s v="Night"/>
    <s v="F. Ali"/>
    <n v="789"/>
    <n v="659"/>
    <n v="16"/>
    <n v="643"/>
    <n v="55.1"/>
    <n v="7.9"/>
    <n v="44.5"/>
    <n v="29325.5"/>
    <n v="712"/>
    <s v="Review"/>
    <n v="659"/>
  </r>
  <r>
    <s v="BAT-0523"/>
    <x v="105"/>
    <x v="1"/>
    <s v="Athi River Plant"/>
    <s v="Line C"/>
    <s v="Water Treatment Chemicals"/>
    <s v="Night"/>
    <s v="F. Ali"/>
    <n v="1695"/>
    <n v="1858"/>
    <n v="52"/>
    <n v="1806"/>
    <n v="33.700000000000003"/>
    <n v="7.1"/>
    <n v="44.82"/>
    <n v="83275.56"/>
    <n v="2330.64"/>
    <s v="Review"/>
    <n v="1858"/>
  </r>
  <r>
    <s v="BAT-0106"/>
    <x v="106"/>
    <x v="2"/>
    <s v="Athi River Plant"/>
    <s v="Line D"/>
    <s v="Construction Additives"/>
    <s v="Day"/>
    <s v="P. Otieno"/>
    <n v="1600"/>
    <n v="1755"/>
    <n v="47"/>
    <n v="1708"/>
    <n v="21"/>
    <n v="8"/>
    <n v="44.92"/>
    <n v="78834.600000000006"/>
    <n v="2111.2400000000002"/>
    <s v="Review"/>
    <n v="1755"/>
  </r>
  <r>
    <s v="BAT-0163"/>
    <x v="31"/>
    <x v="7"/>
    <s v="Mombasa Plant"/>
    <s v="Line A"/>
    <s v="Water Treatment Chemicals"/>
    <s v="Evening"/>
    <s v="F. Ali"/>
    <n v="1389"/>
    <n v="1330"/>
    <n v="23"/>
    <n v="1307"/>
    <n v="6"/>
    <n v="7.3"/>
    <n v="45.22"/>
    <n v="60142.6"/>
    <n v="1040.06"/>
    <s v="Pass"/>
    <n v="1330"/>
  </r>
  <r>
    <s v="BAT-0256"/>
    <x v="107"/>
    <x v="0"/>
    <s v="Athi River Plant"/>
    <s v="Line B"/>
    <s v="Packaging Resin"/>
    <s v="Night"/>
    <s v="J. Mwangi"/>
    <n v="1634"/>
    <n v="1688"/>
    <n v="55"/>
    <n v="1633"/>
    <n v="4.7"/>
    <n v="7.8"/>
    <n v="45.34"/>
    <n v="76533.920000000013"/>
    <n v="2493.7000000000003"/>
    <s v="Review"/>
    <n v="1688"/>
  </r>
  <r>
    <s v="BAT-0220"/>
    <x v="108"/>
    <x v="11"/>
    <s v="Nakuru Plant"/>
    <s v="Line B"/>
    <s v="Protective Coatings"/>
    <s v="Evening"/>
    <s v="P. Otieno"/>
    <n v="1245"/>
    <n v="1128"/>
    <n v="30"/>
    <n v="1098"/>
    <n v="5.9"/>
    <n v="8.1999999999999993"/>
    <n v="45.42"/>
    <n v="51233.760000000002"/>
    <n v="1362.6000000000001"/>
    <s v="Review"/>
    <n v="1128"/>
  </r>
  <r>
    <s v="BAT-0075"/>
    <x v="109"/>
    <x v="8"/>
    <s v="Mombasa Plant"/>
    <s v="Line D"/>
    <s v="Water Treatment Chemicals"/>
    <s v="Night"/>
    <s v="D. Kamau"/>
    <n v="1701"/>
    <n v="1826"/>
    <n v="52"/>
    <n v="1774"/>
    <n v="13.4"/>
    <n v="7.5"/>
    <n v="45.48"/>
    <n v="83046.48"/>
    <n v="2364.96"/>
    <s v="Review"/>
    <n v="1826"/>
  </r>
  <r>
    <s v="BAT-0597"/>
    <x v="51"/>
    <x v="10"/>
    <s v="Nakuru Plant"/>
    <s v="Line D"/>
    <s v="Construction Additives"/>
    <s v="Evening"/>
    <s v="A. Wanjiku"/>
    <n v="910"/>
    <n v="906"/>
    <n v="12"/>
    <n v="894"/>
    <n v="56.5"/>
    <n v="6.4"/>
    <n v="45.74"/>
    <n v="41440.44"/>
    <n v="548.88"/>
    <s v="Pass"/>
    <n v="906"/>
  </r>
  <r>
    <s v="BAT-0577"/>
    <x v="81"/>
    <x v="3"/>
    <s v="Nakuru Plant"/>
    <s v="Line B"/>
    <s v="Water Treatment Chemicals"/>
    <s v="Evening"/>
    <s v="R. Njeri"/>
    <n v="868"/>
    <n v="774"/>
    <n v="23"/>
    <n v="751"/>
    <n v="67.400000000000006"/>
    <n v="6.5"/>
    <n v="45.85"/>
    <n v="35487.9"/>
    <n v="1054.55"/>
    <s v="Review"/>
    <n v="774"/>
  </r>
  <r>
    <s v="BAT-0566"/>
    <x v="110"/>
    <x v="1"/>
    <s v="Nakuru Plant"/>
    <s v="Line C"/>
    <s v="Protective Coatings"/>
    <s v="Evening"/>
    <s v="J. Mwangi"/>
    <n v="877"/>
    <n v="900"/>
    <n v="5"/>
    <n v="895"/>
    <n v="32.6"/>
    <n v="7.8"/>
    <n v="46.16"/>
    <n v="41544"/>
    <n v="230.79999999999998"/>
    <s v="Pass"/>
    <n v="900"/>
  </r>
  <r>
    <s v="BAT-0238"/>
    <x v="111"/>
    <x v="6"/>
    <s v="Athi River Plant"/>
    <s v="Line A"/>
    <s v="Protective Coatings"/>
    <s v="Evening"/>
    <s v="J. Mwangi"/>
    <n v="869"/>
    <n v="842"/>
    <n v="25"/>
    <n v="817"/>
    <n v="32.299999999999997"/>
    <n v="8.5"/>
    <n v="46.44"/>
    <n v="39102.479999999996"/>
    <n v="1161"/>
    <s v="Review"/>
    <n v="842"/>
  </r>
  <r>
    <s v="BAT-0373"/>
    <x v="31"/>
    <x v="7"/>
    <s v="Mombasa Plant"/>
    <s v="Line D"/>
    <s v="Construction Additives"/>
    <s v="Night"/>
    <s v="P. Otieno"/>
    <n v="1647"/>
    <n v="1467"/>
    <n v="27"/>
    <n v="1440"/>
    <n v="6.7"/>
    <n v="6.1"/>
    <n v="46.61"/>
    <n v="68376.87"/>
    <n v="1258.47"/>
    <s v="Pass"/>
    <n v="1467"/>
  </r>
  <r>
    <s v="BAT-0503"/>
    <x v="112"/>
    <x v="3"/>
    <s v="Nakuru Plant"/>
    <s v="Line B"/>
    <s v="Packaging Resin"/>
    <s v="Day"/>
    <s v="P. Otieno"/>
    <n v="1786"/>
    <n v="1584"/>
    <n v="17"/>
    <n v="1567"/>
    <n v="33.4"/>
    <n v="6.5"/>
    <n v="46.67"/>
    <n v="73925.279999999999"/>
    <n v="793.39"/>
    <s v="Pass"/>
    <n v="1584"/>
  </r>
  <r>
    <s v="BAT-0181"/>
    <x v="6"/>
    <x v="3"/>
    <s v="Nakuru Plant"/>
    <s v="Line A"/>
    <s v="Industrial Cleaners"/>
    <s v="Evening"/>
    <s v="R. Njeri"/>
    <n v="1004"/>
    <n v="838"/>
    <n v="4"/>
    <n v="834"/>
    <n v="72.3"/>
    <n v="7.5"/>
    <n v="46.95"/>
    <n v="39344.100000000006"/>
    <n v="187.8"/>
    <s v="Pass"/>
    <n v="838"/>
  </r>
  <r>
    <s v="BAT-0002"/>
    <x v="113"/>
    <x v="2"/>
    <s v="Nakuru Plant"/>
    <s v="Line A"/>
    <s v="Packaging Resin"/>
    <s v="Night"/>
    <s v="A. Wanjiku"/>
    <n v="1557"/>
    <n v="1522"/>
    <n v="27"/>
    <n v="1495"/>
    <n v="40.799999999999997"/>
    <n v="7"/>
    <n v="47.54"/>
    <n v="72355.88"/>
    <n v="1283.58"/>
    <s v="Pass"/>
    <n v="1522"/>
  </r>
  <r>
    <s v="BAT-0337"/>
    <x v="112"/>
    <x v="3"/>
    <s v="Nakuru Plant"/>
    <s v="Line C"/>
    <s v="Construction Additives"/>
    <s v="Night"/>
    <s v="F. Ali"/>
    <n v="761"/>
    <n v="737"/>
    <n v="5"/>
    <n v="732"/>
    <n v="66.7"/>
    <n v="6.2"/>
    <n v="47.56"/>
    <n v="35051.72"/>
    <n v="237.8"/>
    <s v="Pass"/>
    <n v="737"/>
  </r>
  <r>
    <s v="BAT-0060"/>
    <x v="114"/>
    <x v="8"/>
    <s v="Mombasa Plant"/>
    <s v="Line B"/>
    <s v="Protective Coatings"/>
    <s v="Evening"/>
    <s v="A. Wanjiku"/>
    <n v="773"/>
    <n v="611"/>
    <n v="7"/>
    <n v="604"/>
    <n v="31.8"/>
    <n v="8.1999999999999993"/>
    <n v="47.86"/>
    <n v="29242.46"/>
    <n v="335.02"/>
    <s v="Pass"/>
    <n v="611"/>
  </r>
  <r>
    <s v="BAT-0192"/>
    <x v="54"/>
    <x v="9"/>
    <s v="Athi River Plant"/>
    <s v="Line E"/>
    <s v="Protective Coatings"/>
    <s v="Evening"/>
    <s v="F. Ali"/>
    <n v="1097"/>
    <n v="1067"/>
    <n v="13"/>
    <n v="1054"/>
    <n v="34.1"/>
    <n v="6.9"/>
    <n v="47.97"/>
    <n v="51183.99"/>
    <n v="623.61"/>
    <s v="Pass"/>
    <n v="1067"/>
  </r>
  <r>
    <s v="BAT-0562"/>
    <x v="115"/>
    <x v="5"/>
    <s v="Athi River Plant"/>
    <s v="Line D"/>
    <s v="Industrial Cleaners"/>
    <s v="Evening"/>
    <s v="M. Hassan"/>
    <n v="1339"/>
    <n v="1525"/>
    <n v="8"/>
    <n v="1517"/>
    <n v="18.100000000000001"/>
    <n v="6.8"/>
    <n v="48.19"/>
    <n v="73489.75"/>
    <n v="385.52"/>
    <s v="Pass"/>
    <n v="1525"/>
  </r>
  <r>
    <s v="BAT-0277"/>
    <x v="116"/>
    <x v="6"/>
    <s v="Athi River Plant"/>
    <s v="Line D"/>
    <s v="Construction Additives"/>
    <s v="Night"/>
    <s v="J. Mwangi"/>
    <n v="1194"/>
    <n v="1142"/>
    <n v="4"/>
    <n v="1138"/>
    <n v="48.6"/>
    <n v="6.3"/>
    <n v="48.51"/>
    <n v="55398.42"/>
    <n v="194.04"/>
    <s v="Pass"/>
    <n v="1142"/>
  </r>
  <r>
    <s v="BAT-0190"/>
    <x v="117"/>
    <x v="4"/>
    <s v="Athi River Plant"/>
    <s v="Line A"/>
    <s v="Water Treatment Chemicals"/>
    <s v="Evening"/>
    <s v="J. Mwangi"/>
    <n v="1001"/>
    <n v="993"/>
    <n v="17"/>
    <n v="976"/>
    <n v="10.3"/>
    <n v="8.1"/>
    <n v="48.58"/>
    <n v="48239.939999999995"/>
    <n v="825.86"/>
    <s v="Pass"/>
    <n v="993"/>
  </r>
  <r>
    <s v="BAT-0409"/>
    <x v="98"/>
    <x v="3"/>
    <s v="Nakuru Plant"/>
    <s v="Line A"/>
    <s v="Protective Coatings"/>
    <s v="Evening"/>
    <s v="M. Hassan"/>
    <n v="1373"/>
    <n v="1011"/>
    <n v="22"/>
    <n v="989"/>
    <n v="42.8"/>
    <n v="6.2"/>
    <n v="48.64"/>
    <n v="49175.040000000001"/>
    <n v="1070.08"/>
    <s v="Review"/>
    <n v="1011"/>
  </r>
  <r>
    <s v="BAT-0570"/>
    <x v="118"/>
    <x v="10"/>
    <s v="Mombasa Plant"/>
    <s v="Line A"/>
    <s v="Construction Additives"/>
    <s v="Day"/>
    <s v="D. Kamau"/>
    <n v="836"/>
    <n v="797"/>
    <n v="14"/>
    <n v="783"/>
    <n v="31.2"/>
    <n v="6.6"/>
    <n v="48.67"/>
    <n v="38789.99"/>
    <n v="681.38"/>
    <s v="Pass"/>
    <n v="797"/>
  </r>
  <r>
    <s v="BAT-0072"/>
    <x v="119"/>
    <x v="1"/>
    <s v="Mombasa Plant"/>
    <s v="Line C"/>
    <s v="Water Treatment Chemicals"/>
    <s v="Night"/>
    <s v="F. Ali"/>
    <n v="753"/>
    <n v="734"/>
    <n v="4"/>
    <n v="730"/>
    <n v="57.7"/>
    <n v="7.6"/>
    <n v="48.69"/>
    <n v="35738.46"/>
    <n v="194.76"/>
    <s v="Pass"/>
    <n v="734"/>
  </r>
  <r>
    <s v="BAT-0517"/>
    <x v="120"/>
    <x v="11"/>
    <s v="Mombasa Plant"/>
    <s v="Line E"/>
    <s v="Industrial Cleaners"/>
    <s v="Night"/>
    <s v="S. Kiptoo"/>
    <n v="1790"/>
    <n v="1581"/>
    <n v="26"/>
    <n v="1555"/>
    <n v="19.2"/>
    <n v="8.1999999999999993"/>
    <n v="49"/>
    <n v="77469"/>
    <n v="1274"/>
    <s v="Pass"/>
    <n v="1581"/>
  </r>
  <r>
    <s v="BAT-0119"/>
    <x v="121"/>
    <x v="1"/>
    <s v="Athi River Plant"/>
    <s v="Line D"/>
    <s v="Protective Coatings"/>
    <s v="Day"/>
    <s v="R. Njeri"/>
    <n v="1632"/>
    <n v="1410"/>
    <n v="32"/>
    <n v="1378"/>
    <n v="65.8"/>
    <n v="6.8"/>
    <n v="49.01"/>
    <n v="69104.099999999991"/>
    <n v="1568.32"/>
    <s v="Review"/>
    <n v="1410"/>
  </r>
  <r>
    <s v="BAT-0509"/>
    <x v="122"/>
    <x v="4"/>
    <s v="Nakuru Plant"/>
    <s v="Line C"/>
    <s v="Construction Additives"/>
    <s v="Night"/>
    <s v="D. Kamau"/>
    <n v="825"/>
    <n v="723"/>
    <n v="10"/>
    <n v="713"/>
    <n v="55.4"/>
    <n v="7"/>
    <n v="49.38"/>
    <n v="35701.740000000005"/>
    <n v="493.8"/>
    <s v="Pass"/>
    <n v="723"/>
  </r>
  <r>
    <s v="BAT-0588"/>
    <x v="123"/>
    <x v="0"/>
    <s v="Mombasa Plant"/>
    <s v="Line C"/>
    <s v="Industrial Cleaners"/>
    <s v="Day"/>
    <s v="J. Mwangi"/>
    <n v="1221"/>
    <n v="1194"/>
    <n v="18"/>
    <n v="1176"/>
    <n v="44.6"/>
    <n v="7.6"/>
    <n v="49.61"/>
    <n v="59234.34"/>
    <n v="892.98"/>
    <s v="Pass"/>
    <n v="1194"/>
  </r>
  <r>
    <s v="BAT-0521"/>
    <x v="124"/>
    <x v="7"/>
    <s v="Mombasa Plant"/>
    <s v="Line E"/>
    <s v="Construction Additives"/>
    <s v="Evening"/>
    <s v="M. Hassan"/>
    <n v="1323"/>
    <n v="1099"/>
    <n v="31"/>
    <n v="1068"/>
    <n v="25.7"/>
    <n v="8.4"/>
    <n v="49.61"/>
    <n v="54521.39"/>
    <n v="1537.91"/>
    <s v="Review"/>
    <n v="1099"/>
  </r>
  <r>
    <s v="BAT-0524"/>
    <x v="125"/>
    <x v="2"/>
    <s v="Mombasa Plant"/>
    <s v="Line D"/>
    <s v="Construction Additives"/>
    <s v="Evening"/>
    <s v="S. Kiptoo"/>
    <n v="884"/>
    <n v="903"/>
    <n v="5"/>
    <n v="898"/>
    <n v="42.5"/>
    <n v="7.8"/>
    <n v="49.77"/>
    <n v="44942.310000000005"/>
    <n v="248.85000000000002"/>
    <s v="Pass"/>
    <n v="903"/>
  </r>
  <r>
    <s v="BAT-0316"/>
    <x v="126"/>
    <x v="9"/>
    <s v="Nakuru Plant"/>
    <s v="Line E"/>
    <s v="Industrial Cleaners"/>
    <s v="Night"/>
    <s v="D. Kamau"/>
    <n v="756"/>
    <n v="894"/>
    <n v="12"/>
    <n v="882"/>
    <n v="25.6"/>
    <n v="6.8"/>
    <n v="49.86"/>
    <n v="44574.84"/>
    <n v="598.31999999999994"/>
    <s v="Pass"/>
    <n v="894"/>
  </r>
  <r>
    <s v="BAT-0081"/>
    <x v="127"/>
    <x v="3"/>
    <s v="Mombasa Plant"/>
    <s v="Line B"/>
    <s v="Packaging Resin"/>
    <s v="Evening"/>
    <s v="J. Mwangi"/>
    <n v="1078"/>
    <n v="842"/>
    <n v="8"/>
    <n v="834"/>
    <n v="29.1"/>
    <n v="8.1999999999999993"/>
    <n v="50.22"/>
    <n v="42285.24"/>
    <n v="401.76"/>
    <s v="Pass"/>
    <n v="842"/>
  </r>
  <r>
    <s v="BAT-0296"/>
    <x v="128"/>
    <x v="10"/>
    <s v="Athi River Plant"/>
    <s v="Line C"/>
    <s v="Water Treatment Chemicals"/>
    <s v="Day"/>
    <s v="J. Mwangi"/>
    <n v="1421"/>
    <n v="1649"/>
    <n v="8"/>
    <n v="1641"/>
    <n v="49.2"/>
    <n v="6.9"/>
    <n v="50.33"/>
    <n v="82994.17"/>
    <n v="402.64"/>
    <s v="Pass"/>
    <n v="1649"/>
  </r>
  <r>
    <s v="BAT-0207"/>
    <x v="129"/>
    <x v="2"/>
    <s v="Athi River Plant"/>
    <s v="Line B"/>
    <s v="Construction Additives"/>
    <s v="Evening"/>
    <s v="J. Mwangi"/>
    <n v="962"/>
    <n v="942"/>
    <n v="10"/>
    <n v="932"/>
    <n v="26.8"/>
    <n v="6.7"/>
    <n v="50.35"/>
    <n v="47429.700000000004"/>
    <n v="503.5"/>
    <s v="Pass"/>
    <n v="942"/>
  </r>
  <r>
    <s v="BAT-0428"/>
    <x v="36"/>
    <x v="2"/>
    <s v="Athi River Plant"/>
    <s v="Line E"/>
    <s v="Protective Coatings"/>
    <s v="Evening"/>
    <s v="A. Wanjiku"/>
    <n v="887"/>
    <n v="742"/>
    <n v="24"/>
    <n v="718"/>
    <n v="42.7"/>
    <n v="6.8"/>
    <n v="50.41"/>
    <n v="37404.219999999994"/>
    <n v="1209.8399999999999"/>
    <s v="Review"/>
    <n v="742"/>
  </r>
  <r>
    <s v="BAT-0457"/>
    <x v="130"/>
    <x v="0"/>
    <s v="Mombasa Plant"/>
    <s v="Line D"/>
    <s v="Industrial Cleaners"/>
    <s v="Evening"/>
    <s v="F. Ali"/>
    <n v="1107"/>
    <n v="878"/>
    <n v="29"/>
    <n v="849"/>
    <n v="3.9"/>
    <n v="6.8"/>
    <n v="50.5"/>
    <n v="44339"/>
    <n v="1464.5"/>
    <s v="Review"/>
    <n v="878"/>
  </r>
  <r>
    <s v="BAT-0286"/>
    <x v="6"/>
    <x v="3"/>
    <s v="Mombasa Plant"/>
    <s v="Line A"/>
    <s v="Industrial Cleaners"/>
    <s v="Day"/>
    <s v="S. Kiptoo"/>
    <n v="1684"/>
    <n v="1649"/>
    <n v="26"/>
    <n v="1623"/>
    <n v="134"/>
    <n v="8.1"/>
    <n v="50.6"/>
    <n v="83439.400000000009"/>
    <n v="1315.6000000000001"/>
    <s v="Pass"/>
    <n v="1649"/>
  </r>
  <r>
    <s v="BAT-0426"/>
    <x v="91"/>
    <x v="1"/>
    <s v="Athi River Plant"/>
    <s v="Line A"/>
    <s v="Industrial Cleaners"/>
    <s v="Night"/>
    <s v="S. Kiptoo"/>
    <n v="1537"/>
    <n v="1393"/>
    <n v="7"/>
    <n v="1386"/>
    <n v="91.1"/>
    <n v="7"/>
    <n v="50.73"/>
    <n v="70666.89"/>
    <n v="355.10999999999996"/>
    <s v="Pass"/>
    <n v="1393"/>
  </r>
  <r>
    <s v="BAT-0121"/>
    <x v="131"/>
    <x v="6"/>
    <s v="Mombasa Plant"/>
    <s v="Line C"/>
    <s v="Construction Additives"/>
    <s v="Evening"/>
    <s v="F. Ali"/>
    <n v="956"/>
    <n v="1151"/>
    <n v="27"/>
    <n v="1124"/>
    <n v="7.7"/>
    <n v="6.7"/>
    <n v="50.74"/>
    <n v="58401.740000000005"/>
    <n v="1369.98"/>
    <s v="Review"/>
    <n v="1151"/>
  </r>
  <r>
    <s v="BAT-0257"/>
    <x v="30"/>
    <x v="8"/>
    <s v="Mombasa Plant"/>
    <s v="Line B"/>
    <s v="Water Treatment Chemicals"/>
    <s v="Night"/>
    <s v="M. Hassan"/>
    <n v="1742"/>
    <n v="1666"/>
    <n v="37"/>
    <n v="1629"/>
    <n v="10.199999999999999"/>
    <n v="8.3000000000000007"/>
    <n v="50.75"/>
    <n v="84549.5"/>
    <n v="1877.75"/>
    <s v="Review"/>
    <n v="1666"/>
  </r>
  <r>
    <s v="BAT-0289"/>
    <x v="132"/>
    <x v="10"/>
    <s v="Mombasa Plant"/>
    <s v="Line B"/>
    <s v="Industrial Cleaners"/>
    <s v="Night"/>
    <s v="J. Mwangi"/>
    <n v="1121"/>
    <n v="998"/>
    <n v="5"/>
    <n v="993"/>
    <n v="13.1"/>
    <n v="7.3"/>
    <n v="50.84"/>
    <n v="50738.320000000007"/>
    <n v="254.20000000000002"/>
    <s v="Pass"/>
    <n v="998"/>
  </r>
  <r>
    <s v="BAT-0272"/>
    <x v="93"/>
    <x v="5"/>
    <s v="Nakuru Plant"/>
    <s v="Line A"/>
    <s v="Construction Additives"/>
    <s v="Evening"/>
    <s v="D. Kamau"/>
    <n v="1641"/>
    <n v="1594"/>
    <n v="14"/>
    <n v="1580"/>
    <n v="56.1"/>
    <n v="7.7"/>
    <n v="51.46"/>
    <n v="82027.240000000005"/>
    <n v="720.44"/>
    <s v="Pass"/>
    <n v="1594"/>
  </r>
  <r>
    <s v="BAT-0284"/>
    <x v="62"/>
    <x v="6"/>
    <s v="Nakuru Plant"/>
    <s v="Line C"/>
    <s v="Water Treatment Chemicals"/>
    <s v="Evening"/>
    <s v="R. Njeri"/>
    <n v="1579"/>
    <n v="1659"/>
    <n v="27"/>
    <n v="1632"/>
    <n v="37.9"/>
    <n v="8.1999999999999993"/>
    <n v="52.33"/>
    <n v="86815.47"/>
    <n v="1412.9099999999999"/>
    <s v="Pass"/>
    <n v="1659"/>
  </r>
  <r>
    <s v="BAT-0429"/>
    <x v="133"/>
    <x v="5"/>
    <s v="Mombasa Plant"/>
    <s v="Line D"/>
    <s v="Packaging Resin"/>
    <s v="Evening"/>
    <s v="R. Njeri"/>
    <n v="1113"/>
    <n v="1060"/>
    <n v="8"/>
    <n v="1052"/>
    <n v="78.8"/>
    <n v="7.7"/>
    <n v="52.37"/>
    <n v="55512.2"/>
    <n v="418.96"/>
    <s v="Pass"/>
    <n v="1060"/>
  </r>
  <r>
    <s v="BAT-0186"/>
    <x v="134"/>
    <x v="6"/>
    <s v="Athi River Plant"/>
    <s v="Line C"/>
    <s v="Industrial Cleaners"/>
    <s v="Evening"/>
    <s v="R. Njeri"/>
    <n v="1168"/>
    <n v="1134"/>
    <n v="30"/>
    <n v="1104"/>
    <n v="72.5"/>
    <n v="8.1999999999999993"/>
    <n v="52.62"/>
    <n v="59671.079999999994"/>
    <n v="1578.6"/>
    <s v="Review"/>
    <n v="1134"/>
  </r>
  <r>
    <s v="BAT-0575"/>
    <x v="135"/>
    <x v="5"/>
    <s v="Athi River Plant"/>
    <s v="Line C"/>
    <s v="Protective Coatings"/>
    <s v="Evening"/>
    <s v="R. Njeri"/>
    <n v="1596"/>
    <n v="1475"/>
    <n v="25"/>
    <n v="1450"/>
    <n v="7.8"/>
    <n v="6.9"/>
    <n v="52.82"/>
    <n v="77909.5"/>
    <n v="1320.5"/>
    <s v="Pass"/>
    <n v="1475"/>
  </r>
  <r>
    <s v="BAT-0244"/>
    <x v="136"/>
    <x v="9"/>
    <s v="Mombasa Plant"/>
    <s v="Line B"/>
    <s v="Construction Additives"/>
    <s v="Day"/>
    <s v="J. Mwangi"/>
    <n v="1064"/>
    <n v="902"/>
    <n v="7"/>
    <n v="895"/>
    <n v="23.1"/>
    <n v="7.6"/>
    <n v="52.93"/>
    <n v="47742.86"/>
    <n v="370.51"/>
    <s v="Pass"/>
    <n v="902"/>
  </r>
  <r>
    <s v="BAT-0454"/>
    <x v="133"/>
    <x v="5"/>
    <s v="Athi River Plant"/>
    <s v="Line E"/>
    <s v="Protective Coatings"/>
    <s v="Night"/>
    <s v="M. Hassan"/>
    <n v="1756"/>
    <n v="1631"/>
    <n v="39"/>
    <n v="1592"/>
    <n v="71.5"/>
    <n v="6.1"/>
    <n v="53.01"/>
    <n v="86459.31"/>
    <n v="2067.39"/>
    <s v="Review"/>
    <n v="1631"/>
  </r>
  <r>
    <s v="BAT-0488"/>
    <x v="46"/>
    <x v="10"/>
    <s v="Nakuru Plant"/>
    <s v="Line A"/>
    <s v="Water Treatment Chemicals"/>
    <s v="Evening"/>
    <s v="M. Hassan"/>
    <n v="1534"/>
    <n v="1635"/>
    <n v="47"/>
    <n v="1588"/>
    <n v="12.6"/>
    <n v="7.7"/>
    <n v="53.32"/>
    <n v="87178.2"/>
    <n v="2506.04"/>
    <s v="Review"/>
    <n v="1635"/>
  </r>
  <r>
    <s v="BAT-0091"/>
    <x v="25"/>
    <x v="6"/>
    <s v="Nakuru Plant"/>
    <s v="Line B"/>
    <s v="Construction Additives"/>
    <s v="Evening"/>
    <s v="J. Mwangi"/>
    <n v="1065"/>
    <n v="1067"/>
    <n v="28"/>
    <n v="1039"/>
    <n v="12.5"/>
    <n v="8.1999999999999993"/>
    <n v="53.32"/>
    <n v="56892.44"/>
    <n v="1492.96"/>
    <s v="Review"/>
    <n v="1067"/>
  </r>
  <r>
    <s v="BAT-0270"/>
    <x v="137"/>
    <x v="9"/>
    <s v="Nakuru Plant"/>
    <s v="Line B"/>
    <s v="Protective Coatings"/>
    <s v="Evening"/>
    <s v="F. Ali"/>
    <n v="844"/>
    <n v="743"/>
    <n v="22"/>
    <n v="721"/>
    <n v="35.9"/>
    <n v="7.1"/>
    <n v="53.49"/>
    <n v="39743.07"/>
    <n v="1176.78"/>
    <s v="Review"/>
    <n v="743"/>
  </r>
  <r>
    <s v="BAT-0383"/>
    <x v="138"/>
    <x v="3"/>
    <s v="Athi River Plant"/>
    <s v="Line C"/>
    <s v="Construction Additives"/>
    <s v="Evening"/>
    <s v="A. Wanjiku"/>
    <n v="1694"/>
    <n v="1597"/>
    <n v="6"/>
    <n v="1591"/>
    <n v="56.6"/>
    <n v="7.4"/>
    <n v="53.88"/>
    <n v="86046.36"/>
    <n v="323.28000000000003"/>
    <s v="Pass"/>
    <n v="1597"/>
  </r>
  <r>
    <s v="BAT-0115"/>
    <x v="66"/>
    <x v="10"/>
    <s v="Mombasa Plant"/>
    <s v="Line B"/>
    <s v="Packaging Resin"/>
    <s v="Evening"/>
    <s v="P. Otieno"/>
    <n v="1734"/>
    <n v="1483"/>
    <n v="17"/>
    <n v="1466"/>
    <n v="12"/>
    <n v="6.3"/>
    <n v="54.01"/>
    <n v="80096.83"/>
    <n v="918.17"/>
    <s v="Pass"/>
    <n v="1483"/>
  </r>
  <r>
    <s v="BAT-0447"/>
    <x v="139"/>
    <x v="4"/>
    <s v="Mombasa Plant"/>
    <s v="Line C"/>
    <s v="Packaging Resin"/>
    <s v="Night"/>
    <s v="M. Hassan"/>
    <n v="962"/>
    <n v="898"/>
    <n v="6"/>
    <n v="892"/>
    <n v="6.9"/>
    <n v="8.4"/>
    <n v="54.18"/>
    <n v="48653.64"/>
    <n v="325.08"/>
    <s v="Pass"/>
    <n v="898"/>
  </r>
  <r>
    <s v="BAT-0363"/>
    <x v="140"/>
    <x v="1"/>
    <s v="Mombasa Plant"/>
    <s v="Line C"/>
    <s v="Packaging Resin"/>
    <s v="Night"/>
    <s v="R. Njeri"/>
    <n v="1464"/>
    <n v="1305"/>
    <n v="10"/>
    <n v="1295"/>
    <n v="17.3"/>
    <n v="7.5"/>
    <n v="54.23"/>
    <n v="70770.149999999994"/>
    <n v="542.29999999999995"/>
    <s v="Pass"/>
    <n v="1305"/>
  </r>
  <r>
    <s v="BAT-0169"/>
    <x v="141"/>
    <x v="7"/>
    <s v="Athi River Plant"/>
    <s v="Line C"/>
    <s v="Protective Coatings"/>
    <s v="Night"/>
    <s v="J. Mwangi"/>
    <n v="1479"/>
    <n v="1363"/>
    <n v="17"/>
    <n v="1346"/>
    <n v="63.4"/>
    <n v="6.5"/>
    <n v="54.33"/>
    <n v="74051.789999999994"/>
    <n v="923.61"/>
    <s v="Pass"/>
    <n v="1363"/>
  </r>
  <r>
    <s v="BAT-0307"/>
    <x v="117"/>
    <x v="4"/>
    <s v="Nakuru Plant"/>
    <s v="Line B"/>
    <s v="Protective Coatings"/>
    <s v="Evening"/>
    <s v="R. Njeri"/>
    <n v="1397"/>
    <n v="1009"/>
    <n v="8"/>
    <n v="1001"/>
    <n v="15.5"/>
    <n v="6.9"/>
    <n v="54.51"/>
    <n v="55000.59"/>
    <n v="436.08"/>
    <s v="Pass"/>
    <n v="1009"/>
  </r>
  <r>
    <s v="BAT-0303"/>
    <x v="142"/>
    <x v="5"/>
    <s v="Mombasa Plant"/>
    <s v="Line D"/>
    <s v="Water Treatment Chemicals"/>
    <s v="Day"/>
    <s v="S. Kiptoo"/>
    <n v="1475"/>
    <n v="1279"/>
    <n v="35"/>
    <n v="1244"/>
    <n v="11.7"/>
    <n v="6.5"/>
    <n v="55.12"/>
    <n v="70498.48"/>
    <n v="1929.1999999999998"/>
    <s v="Review"/>
    <n v="1279"/>
  </r>
  <r>
    <s v="BAT-0500"/>
    <x v="143"/>
    <x v="6"/>
    <s v="Mombasa Plant"/>
    <s v="Line B"/>
    <s v="Protective Coatings"/>
    <s v="Day"/>
    <s v="A. Wanjiku"/>
    <n v="982"/>
    <n v="1005"/>
    <n v="18"/>
    <n v="987"/>
    <n v="9.8000000000000007"/>
    <n v="7.9"/>
    <n v="55.16"/>
    <n v="55435.799999999996"/>
    <n v="992.87999999999988"/>
    <s v="Pass"/>
    <n v="1005"/>
  </r>
  <r>
    <s v="BAT-0080"/>
    <x v="34"/>
    <x v="8"/>
    <s v="Athi River Plant"/>
    <s v="Line E"/>
    <s v="Industrial Cleaners"/>
    <s v="Evening"/>
    <s v="P. Otieno"/>
    <n v="704"/>
    <n v="661"/>
    <n v="3"/>
    <n v="658"/>
    <n v="11.2"/>
    <n v="7.5"/>
    <n v="55.43"/>
    <n v="36639.230000000003"/>
    <n v="166.29"/>
    <s v="Pass"/>
    <n v="661"/>
  </r>
  <r>
    <s v="BAT-0093"/>
    <x v="144"/>
    <x v="11"/>
    <s v="Athi River Plant"/>
    <s v="Line A"/>
    <s v="Water Treatment Chemicals"/>
    <s v="Night"/>
    <s v="R. Njeri"/>
    <n v="709"/>
    <n v="731"/>
    <n v="4"/>
    <n v="727"/>
    <n v="34"/>
    <n v="6.6"/>
    <n v="55.44"/>
    <n v="40526.639999999999"/>
    <n v="221.76"/>
    <s v="Pass"/>
    <n v="731"/>
  </r>
  <r>
    <s v="BAT-0578"/>
    <x v="145"/>
    <x v="10"/>
    <s v="Athi River Plant"/>
    <s v="Line C"/>
    <s v="Packaging Resin"/>
    <s v="Evening"/>
    <s v="F. Ali"/>
    <n v="780"/>
    <n v="818"/>
    <n v="20"/>
    <n v="798"/>
    <n v="40.1"/>
    <n v="8.3000000000000007"/>
    <n v="55.47"/>
    <n v="45374.46"/>
    <n v="1109.4000000000001"/>
    <s v="Review"/>
    <n v="818"/>
  </r>
  <r>
    <s v="BAT-0555"/>
    <x v="146"/>
    <x v="3"/>
    <s v="Nakuru Plant"/>
    <s v="Line E"/>
    <s v="Water Treatment Chemicals"/>
    <s v="Night"/>
    <s v="D. Kamau"/>
    <n v="1056"/>
    <n v="976"/>
    <n v="5"/>
    <n v="971"/>
    <n v="34.799999999999997"/>
    <n v="8.1999999999999993"/>
    <n v="55.51"/>
    <n v="54177.759999999995"/>
    <n v="277.55"/>
    <s v="Pass"/>
    <n v="976"/>
  </r>
  <r>
    <s v="BAT-0061"/>
    <x v="147"/>
    <x v="3"/>
    <s v="Mombasa Plant"/>
    <s v="Line E"/>
    <s v="Protective Coatings"/>
    <s v="Night"/>
    <s v="J. Mwangi"/>
    <n v="1317"/>
    <n v="1327"/>
    <n v="29"/>
    <n v="1298"/>
    <n v="20.2"/>
    <n v="7.6"/>
    <n v="56.02"/>
    <n v="74338.540000000008"/>
    <n v="1624.5800000000002"/>
    <s v="Review"/>
    <n v="1327"/>
  </r>
  <r>
    <s v="BAT-0448"/>
    <x v="148"/>
    <x v="3"/>
    <s v="Athi River Plant"/>
    <s v="Line C"/>
    <s v="Packaging Resin"/>
    <s v="Night"/>
    <s v="S. Kiptoo"/>
    <n v="823"/>
    <n v="845"/>
    <n v="17"/>
    <n v="828"/>
    <n v="18"/>
    <n v="8.3000000000000007"/>
    <n v="56.09"/>
    <n v="47396.05"/>
    <n v="953.53000000000009"/>
    <s v="Review"/>
    <n v="845"/>
  </r>
  <r>
    <s v="BAT-0025"/>
    <x v="149"/>
    <x v="2"/>
    <s v="Nakuru Plant"/>
    <s v="Line A"/>
    <s v="Construction Additives"/>
    <s v="Evening"/>
    <s v="D. Kamau"/>
    <n v="1351"/>
    <n v="1354"/>
    <n v="10"/>
    <n v="1344"/>
    <n v="27.5"/>
    <n v="8.4"/>
    <n v="56.27"/>
    <n v="76189.58"/>
    <n v="562.70000000000005"/>
    <s v="Pass"/>
    <n v="1354"/>
  </r>
  <r>
    <s v="BAT-0161"/>
    <x v="150"/>
    <x v="3"/>
    <s v="Nakuru Plant"/>
    <s v="Line D"/>
    <s v="Packaging Resin"/>
    <s v="Day"/>
    <s v="J. Mwangi"/>
    <n v="1729"/>
    <n v="1599"/>
    <n v="47"/>
    <n v="1552"/>
    <n v="9.9"/>
    <n v="6.7"/>
    <n v="56.58"/>
    <n v="90471.42"/>
    <n v="2659.2599999999998"/>
    <s v="Review"/>
    <n v="1599"/>
  </r>
  <r>
    <s v="BAT-0482"/>
    <x v="52"/>
    <x v="2"/>
    <s v="Nakuru Plant"/>
    <s v="Line A"/>
    <s v="Industrial Cleaners"/>
    <s v="Day"/>
    <s v="S. Kiptoo"/>
    <n v="1732"/>
    <n v="1736"/>
    <n v="39"/>
    <n v="1697"/>
    <n v="31.6"/>
    <n v="6.8"/>
    <n v="57.42"/>
    <n v="99681.12000000001"/>
    <n v="2239.38"/>
    <s v="Review"/>
    <n v="1736"/>
  </r>
  <r>
    <s v="BAT-0191"/>
    <x v="114"/>
    <x v="8"/>
    <s v="Athi River Plant"/>
    <s v="Line D"/>
    <s v="Protective Coatings"/>
    <s v="Day"/>
    <s v="S. Kiptoo"/>
    <n v="1073"/>
    <n v="1065"/>
    <n v="11"/>
    <n v="1054"/>
    <n v="26.9"/>
    <n v="7.9"/>
    <n v="57.86"/>
    <n v="61620.9"/>
    <n v="636.46"/>
    <s v="Pass"/>
    <n v="1065"/>
  </r>
  <r>
    <s v="BAT-0140"/>
    <x v="151"/>
    <x v="6"/>
    <s v="Athi River Plant"/>
    <s v="Line D"/>
    <s v="Industrial Cleaners"/>
    <s v="Day"/>
    <s v="D. Kamau"/>
    <n v="729"/>
    <n v="583"/>
    <n v="6"/>
    <n v="577"/>
    <n v="15.9"/>
    <n v="7.3"/>
    <n v="57.97"/>
    <n v="33796.51"/>
    <n v="347.82"/>
    <s v="Pass"/>
    <n v="583"/>
  </r>
  <r>
    <s v="BAT-0375"/>
    <x v="152"/>
    <x v="11"/>
    <s v="Nakuru Plant"/>
    <s v="Line C"/>
    <s v="Water Treatment Chemicals"/>
    <s v="Evening"/>
    <s v="F. Ali"/>
    <n v="1260"/>
    <n v="1272"/>
    <n v="41"/>
    <n v="1231"/>
    <n v="36.299999999999997"/>
    <n v="6.3"/>
    <n v="58.1"/>
    <n v="73903.199999999997"/>
    <n v="2382.1"/>
    <s v="Review"/>
    <n v="1272"/>
  </r>
  <r>
    <s v="BAT-0510"/>
    <x v="110"/>
    <x v="1"/>
    <s v="Mombasa Plant"/>
    <s v="Line C"/>
    <s v="Construction Additives"/>
    <s v="Evening"/>
    <s v="P. Otieno"/>
    <n v="1598"/>
    <n v="1801"/>
    <n v="23"/>
    <n v="1778"/>
    <n v="55.4"/>
    <n v="6.5"/>
    <n v="58.34"/>
    <n v="105070.34000000001"/>
    <n v="1341.8200000000002"/>
    <s v="Pass"/>
    <n v="1801"/>
  </r>
  <r>
    <s v="BAT-0295"/>
    <x v="153"/>
    <x v="10"/>
    <s v="Mombasa Plant"/>
    <s v="Line C"/>
    <s v="Industrial Cleaners"/>
    <s v="Day"/>
    <s v="P. Otieno"/>
    <n v="1347"/>
    <n v="1042"/>
    <n v="32"/>
    <n v="1010"/>
    <n v="12.3"/>
    <n v="6.3"/>
    <n v="58.66"/>
    <n v="61123.719999999994"/>
    <n v="1877.12"/>
    <s v="Review"/>
    <n v="1042"/>
  </r>
  <r>
    <s v="BAT-0178"/>
    <x v="94"/>
    <x v="0"/>
    <s v="Nakuru Plant"/>
    <s v="Line E"/>
    <s v="Water Treatment Chemicals"/>
    <s v="Evening"/>
    <s v="F. Ali"/>
    <n v="1380"/>
    <n v="1458"/>
    <n v="29"/>
    <n v="1429"/>
    <n v="33"/>
    <n v="6.5"/>
    <n v="58.73"/>
    <n v="85628.34"/>
    <n v="1703.1699999999998"/>
    <s v="Pass"/>
    <n v="1458"/>
  </r>
  <r>
    <s v="BAT-0149"/>
    <x v="154"/>
    <x v="2"/>
    <s v="Mombasa Plant"/>
    <s v="Line A"/>
    <s v="Protective Coatings"/>
    <s v="Day"/>
    <s v="D. Kamau"/>
    <n v="1284"/>
    <n v="939"/>
    <n v="20"/>
    <n v="919"/>
    <n v="34.6"/>
    <n v="6.3"/>
    <n v="58.78"/>
    <n v="55194.42"/>
    <n v="1175.5999999999999"/>
    <s v="Review"/>
    <n v="939"/>
  </r>
  <r>
    <s v="BAT-0103"/>
    <x v="36"/>
    <x v="2"/>
    <s v="Nakuru Plant"/>
    <s v="Line C"/>
    <s v="Packaging Resin"/>
    <s v="Day"/>
    <s v="S. Kiptoo"/>
    <n v="1110"/>
    <n v="937"/>
    <n v="6"/>
    <n v="931"/>
    <n v="30"/>
    <n v="8.3000000000000007"/>
    <n v="58.83"/>
    <n v="55123.71"/>
    <n v="352.98"/>
    <s v="Pass"/>
    <n v="937"/>
  </r>
  <r>
    <s v="BAT-0129"/>
    <x v="155"/>
    <x v="10"/>
    <s v="Nakuru Plant"/>
    <s v="Line E"/>
    <s v="Industrial Cleaners"/>
    <s v="Day"/>
    <s v="R. Njeri"/>
    <n v="1105"/>
    <n v="939"/>
    <n v="27"/>
    <n v="912"/>
    <n v="54.8"/>
    <n v="7"/>
    <n v="58.84"/>
    <n v="55250.76"/>
    <n v="1588.68"/>
    <s v="Review"/>
    <n v="939"/>
  </r>
  <r>
    <s v="BAT-0069"/>
    <x v="156"/>
    <x v="5"/>
    <s v="Nakuru Plant"/>
    <s v="Line E"/>
    <s v="Protective Coatings"/>
    <s v="Day"/>
    <s v="M. Hassan"/>
    <n v="1002"/>
    <n v="805"/>
    <n v="24"/>
    <n v="781"/>
    <n v="54.2"/>
    <n v="6.7"/>
    <n v="58.96"/>
    <n v="47462.8"/>
    <n v="1415.04"/>
    <s v="Review"/>
    <n v="805"/>
  </r>
  <r>
    <s v="BAT-0290"/>
    <x v="157"/>
    <x v="6"/>
    <s v="Athi River Plant"/>
    <s v="Line D"/>
    <s v="Industrial Cleaners"/>
    <s v="Night"/>
    <s v="D. Kamau"/>
    <n v="1493"/>
    <n v="1542"/>
    <n v="48"/>
    <n v="1494"/>
    <n v="14.6"/>
    <n v="6.5"/>
    <n v="59.05"/>
    <n v="91055.099999999991"/>
    <n v="2834.3999999999996"/>
    <s v="Review"/>
    <n v="1542"/>
  </r>
  <r>
    <s v="BAT-0147"/>
    <x v="158"/>
    <x v="5"/>
    <s v="Mombasa Plant"/>
    <s v="Line C"/>
    <s v="Construction Additives"/>
    <s v="Evening"/>
    <s v="R. Njeri"/>
    <n v="1759"/>
    <n v="1915"/>
    <n v="8"/>
    <n v="1907"/>
    <n v="44.5"/>
    <n v="7"/>
    <n v="59.14"/>
    <n v="113253.1"/>
    <n v="473.12"/>
    <s v="Pass"/>
    <n v="1915"/>
  </r>
  <r>
    <s v="BAT-0403"/>
    <x v="101"/>
    <x v="4"/>
    <s v="Athi River Plant"/>
    <s v="Line B"/>
    <s v="Industrial Cleaners"/>
    <s v="Night"/>
    <s v="M. Hassan"/>
    <n v="871"/>
    <n v="720"/>
    <n v="8"/>
    <n v="712"/>
    <n v="20"/>
    <n v="7"/>
    <n v="59.2"/>
    <n v="42624"/>
    <n v="473.6"/>
    <s v="Pass"/>
    <n v="720"/>
  </r>
  <r>
    <s v="BAT-0477"/>
    <x v="159"/>
    <x v="11"/>
    <s v="Nakuru Plant"/>
    <s v="Line C"/>
    <s v="Industrial Cleaners"/>
    <s v="Evening"/>
    <s v="S. Kiptoo"/>
    <n v="1500"/>
    <n v="1388"/>
    <n v="7"/>
    <n v="1381"/>
    <n v="0.5"/>
    <n v="7.4"/>
    <n v="59.76"/>
    <n v="82946.87999999999"/>
    <n v="418.32"/>
    <s v="Pass"/>
    <n v="1388"/>
  </r>
  <r>
    <s v="BAT-0493"/>
    <x v="160"/>
    <x v="2"/>
    <s v="Athi River Plant"/>
    <s v="Line D"/>
    <s v="Water Treatment Chemicals"/>
    <s v="Evening"/>
    <s v="D. Kamau"/>
    <n v="1594"/>
    <n v="1379"/>
    <n v="43"/>
    <n v="1336"/>
    <n v="26.6"/>
    <n v="6.6"/>
    <n v="59.91"/>
    <n v="82615.89"/>
    <n v="2576.1299999999997"/>
    <s v="Review"/>
    <n v="1379"/>
  </r>
  <r>
    <s v="BAT-0242"/>
    <x v="161"/>
    <x v="9"/>
    <s v="Nakuru Plant"/>
    <s v="Line C"/>
    <s v="Protective Coatings"/>
    <s v="Night"/>
    <s v="S. Kiptoo"/>
    <n v="1785"/>
    <n v="1816"/>
    <n v="29"/>
    <n v="1787"/>
    <n v="34.700000000000003"/>
    <n v="7.9"/>
    <n v="60.36"/>
    <n v="109613.75999999999"/>
    <n v="1750.44"/>
    <s v="Pass"/>
    <n v="1816"/>
  </r>
  <r>
    <s v="BAT-0278"/>
    <x v="149"/>
    <x v="2"/>
    <s v="Nakuru Plant"/>
    <s v="Line C"/>
    <s v="Water Treatment Chemicals"/>
    <s v="Evening"/>
    <s v="A. Wanjiku"/>
    <n v="1375"/>
    <n v="1284"/>
    <n v="19"/>
    <n v="1265"/>
    <n v="33.799999999999997"/>
    <n v="7"/>
    <n v="61.05"/>
    <n v="78388.2"/>
    <n v="1159.95"/>
    <s v="Pass"/>
    <n v="1284"/>
  </r>
  <r>
    <s v="BAT-0302"/>
    <x v="125"/>
    <x v="2"/>
    <s v="Mombasa Plant"/>
    <s v="Line C"/>
    <s v="Construction Additives"/>
    <s v="Day"/>
    <s v="F. Ali"/>
    <n v="1392"/>
    <n v="1416"/>
    <n v="23"/>
    <n v="1393"/>
    <n v="132.6"/>
    <n v="6.5"/>
    <n v="61.06"/>
    <n v="86460.96"/>
    <n v="1404.38"/>
    <s v="Pass"/>
    <n v="1416"/>
  </r>
  <r>
    <s v="BAT-0294"/>
    <x v="162"/>
    <x v="7"/>
    <s v="Mombasa Plant"/>
    <s v="Line D"/>
    <s v="Industrial Cleaners"/>
    <s v="Night"/>
    <s v="J. Mwangi"/>
    <n v="1743"/>
    <n v="1682"/>
    <n v="7"/>
    <n v="1675"/>
    <n v="46.9"/>
    <n v="7.6"/>
    <n v="61.06"/>
    <n v="102702.92"/>
    <n v="427.42"/>
    <s v="Pass"/>
    <n v="1682"/>
  </r>
  <r>
    <s v="BAT-0258"/>
    <x v="163"/>
    <x v="0"/>
    <s v="Mombasa Plant"/>
    <s v="Line A"/>
    <s v="Packaging Resin"/>
    <s v="Day"/>
    <s v="J. Mwangi"/>
    <n v="1646"/>
    <n v="1378"/>
    <n v="8"/>
    <n v="1370"/>
    <n v="2.1"/>
    <n v="7.7"/>
    <n v="61.15"/>
    <n v="84264.7"/>
    <n v="489.2"/>
    <s v="Pass"/>
    <n v="1378"/>
  </r>
  <r>
    <s v="BAT-0056"/>
    <x v="115"/>
    <x v="5"/>
    <s v="Mombasa Plant"/>
    <s v="Line C"/>
    <s v="Packaging Resin"/>
    <s v="Day"/>
    <s v="J. Mwangi"/>
    <n v="1439"/>
    <n v="1336"/>
    <n v="12"/>
    <n v="1324"/>
    <n v="25.2"/>
    <n v="6.2"/>
    <n v="61.42"/>
    <n v="82057.119999999995"/>
    <n v="737.04"/>
    <s v="Pass"/>
    <n v="1336"/>
  </r>
  <r>
    <s v="BAT-0553"/>
    <x v="52"/>
    <x v="2"/>
    <s v="Nakuru Plant"/>
    <s v="Line A"/>
    <s v="Packaging Resin"/>
    <s v="Night"/>
    <s v="R. Njeri"/>
    <n v="1417"/>
    <n v="1164"/>
    <n v="22"/>
    <n v="1142"/>
    <n v="30"/>
    <n v="6.7"/>
    <n v="61.52"/>
    <n v="71609.279999999999"/>
    <n v="1353.44"/>
    <s v="Pass"/>
    <n v="1164"/>
  </r>
  <r>
    <s v="BAT-0542"/>
    <x v="164"/>
    <x v="5"/>
    <s v="Athi River Plant"/>
    <s v="Line E"/>
    <s v="Construction Additives"/>
    <s v="Day"/>
    <s v="S. Kiptoo"/>
    <n v="1005"/>
    <n v="1040"/>
    <n v="4"/>
    <n v="1036"/>
    <n v="21.9"/>
    <n v="7.7"/>
    <n v="61.65"/>
    <n v="64116"/>
    <n v="246.6"/>
    <s v="Pass"/>
    <n v="1040"/>
  </r>
  <r>
    <s v="BAT-0152"/>
    <x v="165"/>
    <x v="4"/>
    <s v="Athi River Plant"/>
    <s v="Line B"/>
    <s v="Packaging Resin"/>
    <s v="Evening"/>
    <s v="R. Njeri"/>
    <n v="1175"/>
    <n v="1306"/>
    <n v="27"/>
    <n v="1279"/>
    <n v="15.4"/>
    <n v="6.8"/>
    <n v="61.91"/>
    <n v="80854.459999999992"/>
    <n v="1671.57"/>
    <s v="Review"/>
    <n v="1306"/>
  </r>
  <r>
    <s v="BAT-0595"/>
    <x v="73"/>
    <x v="4"/>
    <s v="Athi River Plant"/>
    <s v="Line C"/>
    <s v="Water Treatment Chemicals"/>
    <s v="Evening"/>
    <s v="S. Kiptoo"/>
    <n v="1708"/>
    <n v="1735"/>
    <n v="16"/>
    <n v="1719"/>
    <n v="49.6"/>
    <n v="7.7"/>
    <n v="63.3"/>
    <n v="109825.5"/>
    <n v="1012.8"/>
    <s v="Pass"/>
    <n v="1735"/>
  </r>
  <r>
    <s v="BAT-0563"/>
    <x v="62"/>
    <x v="6"/>
    <s v="Mombasa Plant"/>
    <s v="Line A"/>
    <s v="Industrial Cleaners"/>
    <s v="Day"/>
    <s v="D. Kamau"/>
    <n v="966"/>
    <n v="771"/>
    <n v="6"/>
    <n v="765"/>
    <n v="151.19999999999999"/>
    <n v="7.8"/>
    <n v="63.35"/>
    <n v="48842.85"/>
    <n v="380.1"/>
    <s v="Pass"/>
    <n v="771"/>
  </r>
  <r>
    <s v="BAT-0248"/>
    <x v="166"/>
    <x v="6"/>
    <s v="Nakuru Plant"/>
    <s v="Line A"/>
    <s v="Construction Additives"/>
    <s v="Evening"/>
    <s v="D. Kamau"/>
    <n v="896"/>
    <n v="753"/>
    <n v="9"/>
    <n v="744"/>
    <n v="11.4"/>
    <n v="7.2"/>
    <n v="63.68"/>
    <n v="47951.040000000001"/>
    <n v="573.12"/>
    <s v="Pass"/>
    <n v="753"/>
  </r>
  <r>
    <s v="BAT-0144"/>
    <x v="31"/>
    <x v="7"/>
    <s v="Athi River Plant"/>
    <s v="Line C"/>
    <s v="Protective Coatings"/>
    <s v="Day"/>
    <s v="A. Wanjiku"/>
    <n v="936"/>
    <n v="853"/>
    <n v="26"/>
    <n v="827"/>
    <n v="44.8"/>
    <n v="6.8"/>
    <n v="63.82"/>
    <n v="54438.46"/>
    <n v="1659.32"/>
    <s v="Review"/>
    <n v="853"/>
  </r>
  <r>
    <s v="BAT-0172"/>
    <x v="167"/>
    <x v="0"/>
    <s v="Nakuru Plant"/>
    <s v="Line A"/>
    <s v="Packaging Resin"/>
    <s v="Day"/>
    <s v="J. Mwangi"/>
    <n v="1627"/>
    <n v="1801"/>
    <n v="31"/>
    <n v="1770"/>
    <n v="77.2"/>
    <n v="7"/>
    <n v="63.92"/>
    <n v="115119.92"/>
    <n v="1981.52"/>
    <s v="Pass"/>
    <n v="1801"/>
  </r>
  <r>
    <s v="BAT-0011"/>
    <x v="168"/>
    <x v="10"/>
    <s v="Athi River Plant"/>
    <s v="Line E"/>
    <s v="Protective Coatings"/>
    <s v="Evening"/>
    <s v="S. Kiptoo"/>
    <n v="1714"/>
    <n v="1784"/>
    <n v="48"/>
    <n v="1736"/>
    <n v="69.900000000000006"/>
    <n v="6.7"/>
    <n v="64.25"/>
    <n v="114622"/>
    <n v="3084"/>
    <s v="Review"/>
    <n v="1784"/>
  </r>
  <r>
    <s v="BAT-0058"/>
    <x v="87"/>
    <x v="0"/>
    <s v="Mombasa Plant"/>
    <s v="Line E"/>
    <s v="Industrial Cleaners"/>
    <s v="Evening"/>
    <s v="P. Otieno"/>
    <n v="1490"/>
    <n v="1172"/>
    <n v="22"/>
    <n v="1150"/>
    <n v="36.799999999999997"/>
    <n v="6.3"/>
    <n v="64.400000000000006"/>
    <n v="75476.800000000003"/>
    <n v="1416.8000000000002"/>
    <s v="Pass"/>
    <n v="1172"/>
  </r>
  <r>
    <s v="BAT-0134"/>
    <x v="169"/>
    <x v="10"/>
    <s v="Mombasa Plant"/>
    <s v="Line E"/>
    <s v="Water Treatment Chemicals"/>
    <s v="Night"/>
    <s v="A. Wanjiku"/>
    <n v="1647"/>
    <n v="1591"/>
    <n v="42"/>
    <n v="1549"/>
    <n v="33.299999999999997"/>
    <n v="7.2"/>
    <n v="64.72"/>
    <n v="102969.52"/>
    <n v="2718.24"/>
    <s v="Review"/>
    <n v="1591"/>
  </r>
  <r>
    <s v="BAT-0255"/>
    <x v="170"/>
    <x v="9"/>
    <s v="Nakuru Plant"/>
    <s v="Line B"/>
    <s v="Industrial Cleaners"/>
    <s v="Night"/>
    <s v="S. Kiptoo"/>
    <n v="901"/>
    <n v="966"/>
    <n v="32"/>
    <n v="934"/>
    <n v="30.8"/>
    <n v="7.8"/>
    <n v="64.86"/>
    <n v="62654.76"/>
    <n v="2075.52"/>
    <s v="Review"/>
    <n v="966"/>
  </r>
  <r>
    <s v="BAT-0543"/>
    <x v="171"/>
    <x v="1"/>
    <s v="Nakuru Plant"/>
    <s v="Line A"/>
    <s v="Water Treatment Chemicals"/>
    <s v="Night"/>
    <s v="J. Mwangi"/>
    <n v="942"/>
    <n v="818"/>
    <n v="18"/>
    <n v="800"/>
    <n v="46.1"/>
    <n v="7.2"/>
    <n v="65.069999999999993"/>
    <n v="53227.259999999995"/>
    <n v="1171.2599999999998"/>
    <s v="Review"/>
    <n v="818"/>
  </r>
  <r>
    <s v="BAT-0184"/>
    <x v="103"/>
    <x v="8"/>
    <s v="Mombasa Plant"/>
    <s v="Line B"/>
    <s v="Protective Coatings"/>
    <s v="Evening"/>
    <s v="F. Ali"/>
    <n v="766"/>
    <n v="742"/>
    <n v="18"/>
    <n v="724"/>
    <n v="107"/>
    <n v="8.4"/>
    <n v="65.11"/>
    <n v="48311.62"/>
    <n v="1171.98"/>
    <s v="Review"/>
    <n v="742"/>
  </r>
  <r>
    <s v="BAT-0203"/>
    <x v="172"/>
    <x v="6"/>
    <s v="Athi River Plant"/>
    <s v="Line E"/>
    <s v="Packaging Resin"/>
    <s v="Evening"/>
    <s v="R. Njeri"/>
    <n v="929"/>
    <n v="877"/>
    <n v="13"/>
    <n v="864"/>
    <n v="49.3"/>
    <n v="7.9"/>
    <n v="65.19"/>
    <n v="57171.63"/>
    <n v="847.47"/>
    <s v="Pass"/>
    <n v="877"/>
  </r>
  <r>
    <s v="BAT-0034"/>
    <x v="48"/>
    <x v="10"/>
    <s v="Mombasa Plant"/>
    <s v="Line A"/>
    <s v="Protective Coatings"/>
    <s v="Night"/>
    <s v="F. Ali"/>
    <n v="827"/>
    <n v="871"/>
    <n v="25"/>
    <n v="846"/>
    <n v="3.9"/>
    <n v="8.1"/>
    <n v="65.28"/>
    <n v="56858.879999999997"/>
    <n v="1632"/>
    <s v="Review"/>
    <n v="871"/>
  </r>
  <r>
    <s v="BAT-0421"/>
    <x v="3"/>
    <x v="3"/>
    <s v="Mombasa Plant"/>
    <s v="Line A"/>
    <s v="Construction Additives"/>
    <s v="Evening"/>
    <s v="F. Ali"/>
    <n v="1628"/>
    <n v="1599"/>
    <n v="17"/>
    <n v="1582"/>
    <n v="85"/>
    <n v="8.1999999999999993"/>
    <n v="65.489999999999995"/>
    <n v="104718.51"/>
    <n v="1113.33"/>
    <s v="Pass"/>
    <n v="1599"/>
  </r>
  <r>
    <s v="BAT-0201"/>
    <x v="173"/>
    <x v="7"/>
    <s v="Athi River Plant"/>
    <s v="Line D"/>
    <s v="Industrial Cleaners"/>
    <s v="Evening"/>
    <s v="M. Hassan"/>
    <n v="1318"/>
    <n v="1361"/>
    <n v="37"/>
    <n v="1324"/>
    <n v="5.8"/>
    <n v="7.9"/>
    <n v="66.05"/>
    <n v="89894.05"/>
    <n v="2443.85"/>
    <s v="Review"/>
    <n v="1361"/>
  </r>
  <r>
    <s v="BAT-0512"/>
    <x v="174"/>
    <x v="8"/>
    <s v="Athi River Plant"/>
    <s v="Line A"/>
    <s v="Packaging Resin"/>
    <s v="Night"/>
    <s v="D. Kamau"/>
    <n v="791"/>
    <n v="803"/>
    <n v="7"/>
    <n v="796"/>
    <n v="8.1"/>
    <n v="6.3"/>
    <n v="66.260000000000005"/>
    <n v="53206.780000000006"/>
    <n v="463.82000000000005"/>
    <s v="Pass"/>
    <n v="803"/>
  </r>
  <r>
    <s v="BAT-0012"/>
    <x v="175"/>
    <x v="3"/>
    <s v="Mombasa Plant"/>
    <s v="Line B"/>
    <s v="Industrial Cleaners"/>
    <s v="Evening"/>
    <s v="A. Wanjiku"/>
    <n v="1552"/>
    <n v="1467"/>
    <n v="48"/>
    <n v="1419"/>
    <n v="28.4"/>
    <n v="7.1"/>
    <n v="66.680000000000007"/>
    <n v="97819.560000000012"/>
    <n v="3200.6400000000003"/>
    <s v="Review"/>
    <n v="1467"/>
  </r>
  <r>
    <s v="BAT-0396"/>
    <x v="176"/>
    <x v="11"/>
    <s v="Athi River Plant"/>
    <s v="Line D"/>
    <s v="Industrial Cleaners"/>
    <s v="Night"/>
    <s v="F. Ali"/>
    <n v="819"/>
    <n v="711"/>
    <n v="16"/>
    <n v="695"/>
    <n v="66.099999999999994"/>
    <n v="7.1"/>
    <n v="66.760000000000005"/>
    <n v="47466.36"/>
    <n v="1068.1600000000001"/>
    <s v="Review"/>
    <n v="711"/>
  </r>
  <r>
    <s v="BAT-0001"/>
    <x v="167"/>
    <x v="0"/>
    <s v="Mombasa Plant"/>
    <s v="Line C"/>
    <s v="Industrial Cleaners"/>
    <s v="Day"/>
    <s v="S. Kiptoo"/>
    <n v="1378"/>
    <n v="1308"/>
    <n v="39"/>
    <n v="1269"/>
    <n v="26"/>
    <n v="7.2"/>
    <n v="66.91"/>
    <n v="87518.28"/>
    <n v="2609.4899999999998"/>
    <s v="Review"/>
    <n v="1308"/>
  </r>
  <r>
    <s v="BAT-0379"/>
    <x v="177"/>
    <x v="7"/>
    <s v="Nakuru Plant"/>
    <s v="Line D"/>
    <s v="Industrial Cleaners"/>
    <s v="Evening"/>
    <s v="P. Otieno"/>
    <n v="942"/>
    <n v="740"/>
    <n v="14"/>
    <n v="726"/>
    <n v="37.299999999999997"/>
    <n v="8.3000000000000007"/>
    <n v="66.95"/>
    <n v="49543"/>
    <n v="937.30000000000007"/>
    <s v="Pass"/>
    <n v="740"/>
  </r>
  <r>
    <s v="BAT-0464"/>
    <x v="178"/>
    <x v="6"/>
    <s v="Nakuru Plant"/>
    <s v="Line E"/>
    <s v="Water Treatment Chemicals"/>
    <s v="Day"/>
    <s v="R. Njeri"/>
    <n v="1672"/>
    <n v="1598"/>
    <n v="34"/>
    <n v="1564"/>
    <n v="24.6"/>
    <n v="7.9"/>
    <n v="67.87"/>
    <n v="108456.26000000001"/>
    <n v="2307.58"/>
    <s v="Review"/>
    <n v="1598"/>
  </r>
  <r>
    <s v="BAT-0067"/>
    <x v="32"/>
    <x v="11"/>
    <s v="Athi River Plant"/>
    <s v="Line A"/>
    <s v="Packaging Resin"/>
    <s v="Day"/>
    <s v="R. Njeri"/>
    <n v="1638"/>
    <n v="1563"/>
    <n v="15"/>
    <n v="1548"/>
    <n v="69.099999999999994"/>
    <n v="6.8"/>
    <n v="68.05"/>
    <n v="106362.15"/>
    <n v="1020.75"/>
    <s v="Pass"/>
    <n v="1563"/>
  </r>
  <r>
    <s v="BAT-0263"/>
    <x v="179"/>
    <x v="4"/>
    <s v="Mombasa Plant"/>
    <s v="Line E"/>
    <s v="Protective Coatings"/>
    <s v="Day"/>
    <s v="M. Hassan"/>
    <n v="1037"/>
    <n v="1075"/>
    <n v="11"/>
    <n v="1064"/>
    <n v="3.5"/>
    <n v="7.1"/>
    <n v="68.05"/>
    <n v="73153.75"/>
    <n v="748.55"/>
    <s v="Pass"/>
    <n v="1075"/>
  </r>
  <r>
    <s v="BAT-0208"/>
    <x v="99"/>
    <x v="3"/>
    <s v="Nakuru Plant"/>
    <s v="Line E"/>
    <s v="Packaging Resin"/>
    <s v="Evening"/>
    <s v="A. Wanjiku"/>
    <n v="1018"/>
    <n v="985"/>
    <n v="10"/>
    <n v="975"/>
    <n v="17.399999999999999"/>
    <n v="8.1"/>
    <n v="68.7"/>
    <n v="67669.5"/>
    <n v="687"/>
    <s v="Pass"/>
    <n v="985"/>
  </r>
  <r>
    <s v="BAT-0547"/>
    <x v="180"/>
    <x v="6"/>
    <s v="Mombasa Plant"/>
    <s v="Line E"/>
    <s v="Protective Coatings"/>
    <s v="Day"/>
    <s v="S. Kiptoo"/>
    <n v="1627"/>
    <n v="1526"/>
    <n v="34"/>
    <n v="1492"/>
    <n v="41"/>
    <n v="6.8"/>
    <n v="68.81"/>
    <n v="105004.06"/>
    <n v="2339.54"/>
    <s v="Review"/>
    <n v="1526"/>
  </r>
  <r>
    <s v="BAT-0475"/>
    <x v="181"/>
    <x v="9"/>
    <s v="Nakuru Plant"/>
    <s v="Line A"/>
    <s v="Industrial Cleaners"/>
    <s v="Evening"/>
    <s v="M. Hassan"/>
    <n v="770"/>
    <n v="798"/>
    <n v="11"/>
    <n v="787"/>
    <n v="101.3"/>
    <n v="7.6"/>
    <n v="69.13"/>
    <n v="55165.74"/>
    <n v="760.43"/>
    <s v="Pass"/>
    <n v="798"/>
  </r>
  <r>
    <s v="BAT-0198"/>
    <x v="182"/>
    <x v="0"/>
    <s v="Nakuru Plant"/>
    <s v="Line C"/>
    <s v="Protective Coatings"/>
    <s v="Evening"/>
    <s v="F. Ali"/>
    <n v="1046"/>
    <n v="1061"/>
    <n v="5"/>
    <n v="1056"/>
    <n v="44"/>
    <n v="8.4"/>
    <n v="69.17"/>
    <n v="73389.37"/>
    <n v="345.85"/>
    <s v="Pass"/>
    <n v="1061"/>
  </r>
  <r>
    <s v="BAT-0164"/>
    <x v="183"/>
    <x v="7"/>
    <s v="Mombasa Plant"/>
    <s v="Line D"/>
    <s v="Industrial Cleaners"/>
    <s v="Evening"/>
    <s v="A. Wanjiku"/>
    <n v="1435"/>
    <n v="1359"/>
    <n v="8"/>
    <n v="1351"/>
    <n v="56.3"/>
    <n v="8.4"/>
    <n v="69.430000000000007"/>
    <n v="94355.37000000001"/>
    <n v="555.44000000000005"/>
    <s v="Pass"/>
    <n v="1359"/>
  </r>
  <r>
    <s v="BAT-0150"/>
    <x v="184"/>
    <x v="5"/>
    <s v="Nakuru Plant"/>
    <s v="Line B"/>
    <s v="Construction Additives"/>
    <s v="Night"/>
    <s v="F. Ali"/>
    <n v="1243"/>
    <n v="1270"/>
    <n v="27"/>
    <n v="1243"/>
    <n v="93.8"/>
    <n v="6.9"/>
    <n v="69.900000000000006"/>
    <n v="88773"/>
    <n v="1887.3000000000002"/>
    <s v="Review"/>
    <n v="1270"/>
  </r>
  <r>
    <s v="BAT-0050"/>
    <x v="47"/>
    <x v="2"/>
    <s v="Mombasa Plant"/>
    <s v="Line D"/>
    <s v="Packaging Resin"/>
    <s v="Night"/>
    <s v="A. Wanjiku"/>
    <n v="1784"/>
    <n v="1637"/>
    <n v="29"/>
    <n v="1608"/>
    <n v="20.3"/>
    <n v="8.4"/>
    <n v="70.27"/>
    <n v="115031.98999999999"/>
    <n v="2037.83"/>
    <s v="Pass"/>
    <n v="1637"/>
  </r>
  <r>
    <s v="BAT-0237"/>
    <x v="90"/>
    <x v="9"/>
    <s v="Mombasa Plant"/>
    <s v="Line B"/>
    <s v="Industrial Cleaners"/>
    <s v="Night"/>
    <s v="D. Kamau"/>
    <n v="1774"/>
    <n v="1603"/>
    <n v="21"/>
    <n v="1582"/>
    <n v="21.8"/>
    <n v="7.6"/>
    <n v="70.36"/>
    <n v="112787.08"/>
    <n v="1477.56"/>
    <s v="Pass"/>
    <n v="1603"/>
  </r>
  <r>
    <s v="BAT-0532"/>
    <x v="43"/>
    <x v="1"/>
    <s v="Nakuru Plant"/>
    <s v="Line A"/>
    <s v="Industrial Cleaners"/>
    <s v="Day"/>
    <s v="D. Kamau"/>
    <n v="1757"/>
    <n v="1655"/>
    <n v="39"/>
    <n v="1616"/>
    <n v="50.9"/>
    <n v="7.9"/>
    <n v="70.739999999999995"/>
    <n v="117074.7"/>
    <n v="2758.8599999999997"/>
    <s v="Review"/>
    <n v="1655"/>
  </r>
  <r>
    <s v="BAT-0322"/>
    <x v="185"/>
    <x v="0"/>
    <s v="Athi River Plant"/>
    <s v="Line C"/>
    <s v="Water Treatment Chemicals"/>
    <s v="Evening"/>
    <s v="D. Kamau"/>
    <n v="1356"/>
    <n v="1345"/>
    <n v="33"/>
    <n v="1312"/>
    <n v="76.400000000000006"/>
    <n v="8.4"/>
    <n v="70.95"/>
    <n v="95427.75"/>
    <n v="2341.35"/>
    <s v="Review"/>
    <n v="1345"/>
  </r>
  <r>
    <s v="BAT-0315"/>
    <x v="121"/>
    <x v="1"/>
    <s v="Mombasa Plant"/>
    <s v="Line C"/>
    <s v="Industrial Cleaners"/>
    <s v="Evening"/>
    <s v="A. Wanjiku"/>
    <n v="1740"/>
    <n v="1908"/>
    <n v="47"/>
    <n v="1861"/>
    <n v="33.799999999999997"/>
    <n v="6.7"/>
    <n v="71.16"/>
    <n v="135773.28"/>
    <n v="3344.52"/>
    <s v="Review"/>
    <n v="1908"/>
  </r>
  <r>
    <s v="BAT-0010"/>
    <x v="186"/>
    <x v="0"/>
    <s v="Nakuru Plant"/>
    <s v="Line A"/>
    <s v="Construction Additives"/>
    <s v="Evening"/>
    <s v="A. Wanjiku"/>
    <n v="1330"/>
    <n v="1198"/>
    <n v="6"/>
    <n v="1192"/>
    <n v="50.7"/>
    <n v="7.6"/>
    <n v="71.16"/>
    <n v="85249.68"/>
    <n v="426.96"/>
    <s v="Pass"/>
    <n v="1198"/>
  </r>
  <r>
    <s v="BAT-0112"/>
    <x v="47"/>
    <x v="2"/>
    <s v="Nakuru Plant"/>
    <s v="Line C"/>
    <s v="Packaging Resin"/>
    <s v="Night"/>
    <s v="F. Ali"/>
    <n v="1682"/>
    <n v="1596"/>
    <n v="30"/>
    <n v="1566"/>
    <n v="42.6"/>
    <n v="8.3000000000000007"/>
    <n v="71.25"/>
    <n v="113715"/>
    <n v="2137.5"/>
    <s v="Pass"/>
    <n v="1596"/>
  </r>
  <r>
    <s v="BAT-0358"/>
    <x v="187"/>
    <x v="11"/>
    <s v="Nakuru Plant"/>
    <s v="Line D"/>
    <s v="Packaging Resin"/>
    <s v="Day"/>
    <s v="A. Wanjiku"/>
    <n v="918"/>
    <n v="1010"/>
    <n v="30"/>
    <n v="980"/>
    <n v="41.2"/>
    <n v="8.5"/>
    <n v="71.36"/>
    <n v="72073.600000000006"/>
    <n v="2140.8000000000002"/>
    <s v="Review"/>
    <n v="1010"/>
  </r>
  <r>
    <s v="BAT-0059"/>
    <x v="188"/>
    <x v="8"/>
    <s v="Nakuru Plant"/>
    <s v="Line A"/>
    <s v="Industrial Cleaners"/>
    <s v="Day"/>
    <s v="A. Wanjiku"/>
    <n v="790"/>
    <n v="804"/>
    <n v="18"/>
    <n v="786"/>
    <n v="41.5"/>
    <n v="6.9"/>
    <n v="71.39"/>
    <n v="57397.56"/>
    <n v="1285.02"/>
    <s v="Review"/>
    <n v="804"/>
  </r>
  <r>
    <s v="BAT-0354"/>
    <x v="25"/>
    <x v="6"/>
    <s v="Mombasa Plant"/>
    <s v="Line D"/>
    <s v="Industrial Cleaners"/>
    <s v="Night"/>
    <s v="F. Ali"/>
    <n v="1550"/>
    <n v="1495"/>
    <n v="49"/>
    <n v="1446"/>
    <n v="82.2"/>
    <n v="7.4"/>
    <n v="71.66"/>
    <n v="107131.7"/>
    <n v="3511.3399999999997"/>
    <s v="Review"/>
    <n v="1495"/>
  </r>
  <r>
    <s v="BAT-0540"/>
    <x v="189"/>
    <x v="5"/>
    <s v="Mombasa Plant"/>
    <s v="Line E"/>
    <s v="Packaging Resin"/>
    <s v="Night"/>
    <s v="M. Hassan"/>
    <n v="1575"/>
    <n v="1480"/>
    <n v="15"/>
    <n v="1465"/>
    <n v="8.9"/>
    <n v="6.7"/>
    <n v="71.849999999999994"/>
    <n v="106337.99999999999"/>
    <n v="1077.75"/>
    <s v="Pass"/>
    <n v="1480"/>
  </r>
  <r>
    <s v="BAT-0468"/>
    <x v="190"/>
    <x v="9"/>
    <s v="Nakuru Plant"/>
    <s v="Line B"/>
    <s v="Water Treatment Chemicals"/>
    <s v="Day"/>
    <s v="R. Njeri"/>
    <n v="1356"/>
    <n v="1376"/>
    <n v="11"/>
    <n v="1365"/>
    <n v="19.100000000000001"/>
    <n v="7.3"/>
    <n v="71.89"/>
    <n v="98920.639999999999"/>
    <n v="790.79"/>
    <s v="Pass"/>
    <n v="1376"/>
  </r>
  <r>
    <s v="BAT-0160"/>
    <x v="191"/>
    <x v="2"/>
    <s v="Mombasa Plant"/>
    <s v="Line A"/>
    <s v="Water Treatment Chemicals"/>
    <s v="Night"/>
    <s v="M. Hassan"/>
    <n v="1760"/>
    <n v="1797"/>
    <n v="61"/>
    <n v="1736"/>
    <n v="56.8"/>
    <n v="7.5"/>
    <n v="71.97"/>
    <n v="129330.09"/>
    <n v="4390.17"/>
    <s v="Review"/>
    <n v="1797"/>
  </r>
  <r>
    <s v="BAT-0313"/>
    <x v="182"/>
    <x v="0"/>
    <s v="Athi River Plant"/>
    <s v="Line E"/>
    <s v="Water Treatment Chemicals"/>
    <s v="Day"/>
    <s v="R. Njeri"/>
    <n v="782"/>
    <n v="726"/>
    <n v="7"/>
    <n v="719"/>
    <n v="20.9"/>
    <n v="7.4"/>
    <n v="72.13"/>
    <n v="52366.38"/>
    <n v="504.90999999999997"/>
    <s v="Pass"/>
    <n v="726"/>
  </r>
  <r>
    <s v="BAT-0027"/>
    <x v="192"/>
    <x v="7"/>
    <s v="Nakuru Plant"/>
    <s v="Line E"/>
    <s v="Industrial Cleaners"/>
    <s v="Evening"/>
    <s v="R. Njeri"/>
    <n v="1460"/>
    <n v="1686"/>
    <n v="20"/>
    <n v="1666"/>
    <n v="125.3"/>
    <n v="6.8"/>
    <n v="72.34"/>
    <n v="121965.24"/>
    <n v="1446.8000000000002"/>
    <s v="Pass"/>
    <n v="1686"/>
  </r>
  <r>
    <s v="BAT-0310"/>
    <x v="185"/>
    <x v="0"/>
    <s v="Nakuru Plant"/>
    <s v="Line D"/>
    <s v="Packaging Resin"/>
    <s v="Evening"/>
    <s v="F. Ali"/>
    <n v="1144"/>
    <n v="871"/>
    <n v="25"/>
    <n v="846"/>
    <n v="77.599999999999994"/>
    <n v="6.3"/>
    <n v="72.41"/>
    <n v="63069.11"/>
    <n v="1810.25"/>
    <s v="Review"/>
    <n v="871"/>
  </r>
  <r>
    <s v="BAT-0165"/>
    <x v="178"/>
    <x v="6"/>
    <s v="Nakuru Plant"/>
    <s v="Line A"/>
    <s v="Protective Coatings"/>
    <s v="Day"/>
    <s v="P. Otieno"/>
    <n v="947"/>
    <n v="1085"/>
    <n v="33"/>
    <n v="1052"/>
    <n v="46.4"/>
    <n v="7.6"/>
    <n v="72.489999999999995"/>
    <n v="78651.649999999994"/>
    <n v="2392.1699999999996"/>
    <s v="Review"/>
    <n v="1085"/>
  </r>
  <r>
    <s v="BAT-0558"/>
    <x v="176"/>
    <x v="11"/>
    <s v="Nakuru Plant"/>
    <s v="Line E"/>
    <s v="Packaging Resin"/>
    <s v="Night"/>
    <s v="D. Kamau"/>
    <n v="1788"/>
    <n v="1628"/>
    <n v="30"/>
    <n v="1598"/>
    <n v="9.6"/>
    <n v="6.4"/>
    <n v="72.88"/>
    <n v="118648.64"/>
    <n v="2186.3999999999996"/>
    <s v="Pass"/>
    <n v="1628"/>
  </r>
  <r>
    <s v="BAT-0483"/>
    <x v="193"/>
    <x v="4"/>
    <s v="Nakuru Plant"/>
    <s v="Line B"/>
    <s v="Protective Coatings"/>
    <s v="Day"/>
    <s v="R. Njeri"/>
    <n v="1574"/>
    <n v="1385"/>
    <n v="22"/>
    <n v="1363"/>
    <n v="11.6"/>
    <n v="7.4"/>
    <n v="72.91"/>
    <n v="100980.34999999999"/>
    <n v="1604.02"/>
    <s v="Pass"/>
    <n v="1385"/>
  </r>
  <r>
    <s v="BAT-0455"/>
    <x v="190"/>
    <x v="9"/>
    <s v="Mombasa Plant"/>
    <s v="Line E"/>
    <s v="Packaging Resin"/>
    <s v="Night"/>
    <s v="S. Kiptoo"/>
    <n v="812"/>
    <n v="734"/>
    <n v="12"/>
    <n v="722"/>
    <n v="33.4"/>
    <n v="6.2"/>
    <n v="73.040000000000006"/>
    <n v="53611.360000000008"/>
    <n v="876.48"/>
    <s v="Pass"/>
    <n v="734"/>
  </r>
  <r>
    <s v="BAT-0101"/>
    <x v="77"/>
    <x v="2"/>
    <s v="Athi River Plant"/>
    <s v="Line B"/>
    <s v="Protective Coatings"/>
    <s v="Night"/>
    <s v="A. Wanjiku"/>
    <n v="781"/>
    <n v="705"/>
    <n v="14"/>
    <n v="691"/>
    <n v="28"/>
    <n v="7.3"/>
    <n v="73.19"/>
    <n v="51598.95"/>
    <n v="1024.6599999999999"/>
    <s v="Pass"/>
    <n v="705"/>
  </r>
  <r>
    <s v="BAT-0131"/>
    <x v="194"/>
    <x v="10"/>
    <s v="Mombasa Plant"/>
    <s v="Line B"/>
    <s v="Industrial Cleaners"/>
    <s v="Day"/>
    <s v="P. Otieno"/>
    <n v="1708"/>
    <n v="1577"/>
    <n v="7"/>
    <n v="1570"/>
    <n v="42.6"/>
    <n v="6"/>
    <n v="73.41"/>
    <n v="115767.56999999999"/>
    <n v="513.87"/>
    <s v="Pass"/>
    <n v="1577"/>
  </r>
  <r>
    <s v="BAT-0180"/>
    <x v="195"/>
    <x v="10"/>
    <s v="Nakuru Plant"/>
    <s v="Line E"/>
    <s v="Water Treatment Chemicals"/>
    <s v="Evening"/>
    <s v="F. Ali"/>
    <n v="1419"/>
    <n v="1230"/>
    <n v="24"/>
    <n v="1206"/>
    <n v="14.2"/>
    <n v="7.3"/>
    <n v="73.459999999999994"/>
    <n v="90355.799999999988"/>
    <n v="1763.04"/>
    <s v="Pass"/>
    <n v="1230"/>
  </r>
  <r>
    <s v="BAT-0326"/>
    <x v="196"/>
    <x v="1"/>
    <s v="Nakuru Plant"/>
    <s v="Line B"/>
    <s v="Industrial Cleaners"/>
    <s v="Evening"/>
    <s v="M. Hassan"/>
    <n v="775"/>
    <n v="703"/>
    <n v="15"/>
    <n v="688"/>
    <n v="54.1"/>
    <n v="7.7"/>
    <n v="73.52"/>
    <n v="51684.56"/>
    <n v="1102.8"/>
    <s v="Review"/>
    <n v="703"/>
  </r>
  <r>
    <s v="BAT-0541"/>
    <x v="197"/>
    <x v="8"/>
    <s v="Athi River Plant"/>
    <s v="Line D"/>
    <s v="Water Treatment Chemicals"/>
    <s v="Day"/>
    <s v="R. Njeri"/>
    <n v="1257"/>
    <n v="1280"/>
    <n v="12"/>
    <n v="1268"/>
    <n v="30.6"/>
    <n v="8"/>
    <n v="73.569999999999993"/>
    <n v="94169.599999999991"/>
    <n v="882.83999999999992"/>
    <s v="Pass"/>
    <n v="1280"/>
  </r>
  <r>
    <s v="BAT-0177"/>
    <x v="74"/>
    <x v="8"/>
    <s v="Mombasa Plant"/>
    <s v="Line A"/>
    <s v="Water Treatment Chemicals"/>
    <s v="Day"/>
    <s v="P. Otieno"/>
    <n v="1650"/>
    <n v="1325"/>
    <n v="7"/>
    <n v="1318"/>
    <n v="78.900000000000006"/>
    <n v="6.6"/>
    <n v="73.61"/>
    <n v="97533.25"/>
    <n v="515.27"/>
    <s v="Pass"/>
    <n v="1325"/>
  </r>
  <r>
    <s v="BAT-0586"/>
    <x v="81"/>
    <x v="3"/>
    <s v="Athi River Plant"/>
    <s v="Line E"/>
    <s v="Protective Coatings"/>
    <s v="Night"/>
    <s v="D. Kamau"/>
    <n v="1129"/>
    <n v="1022"/>
    <n v="11"/>
    <n v="1011"/>
    <n v="50"/>
    <n v="7.3"/>
    <n v="73.63"/>
    <n v="75249.86"/>
    <n v="809.93"/>
    <s v="Pass"/>
    <n v="1022"/>
  </r>
  <r>
    <s v="BAT-0387"/>
    <x v="198"/>
    <x v="5"/>
    <s v="Mombasa Plant"/>
    <s v="Line C"/>
    <s v="Protective Coatings"/>
    <s v="Evening"/>
    <s v="F. Ali"/>
    <n v="1749"/>
    <n v="1604"/>
    <n v="45"/>
    <n v="1559"/>
    <n v="165.7"/>
    <n v="7.1"/>
    <n v="73.66"/>
    <n v="118150.64"/>
    <n v="3314.7"/>
    <s v="Review"/>
    <n v="1604"/>
  </r>
  <r>
    <s v="BAT-0446"/>
    <x v="170"/>
    <x v="9"/>
    <s v="Athi River Plant"/>
    <s v="Line C"/>
    <s v="Protective Coatings"/>
    <s v="Night"/>
    <s v="F. Ali"/>
    <n v="1008"/>
    <n v="994"/>
    <n v="23"/>
    <n v="971"/>
    <n v="13.6"/>
    <n v="7.2"/>
    <n v="73.8"/>
    <n v="73357.2"/>
    <n v="1697.3999999999999"/>
    <s v="Review"/>
    <n v="994"/>
  </r>
  <r>
    <s v="BAT-0240"/>
    <x v="199"/>
    <x v="9"/>
    <s v="Nakuru Plant"/>
    <s v="Line D"/>
    <s v="Water Treatment Chemicals"/>
    <s v="Night"/>
    <s v="R. Njeri"/>
    <n v="1015"/>
    <n v="947"/>
    <n v="28"/>
    <n v="919"/>
    <n v="77"/>
    <n v="6.8"/>
    <n v="73.86"/>
    <n v="69945.42"/>
    <n v="2068.08"/>
    <s v="Review"/>
    <n v="947"/>
  </r>
  <r>
    <s v="BAT-0560"/>
    <x v="200"/>
    <x v="11"/>
    <s v="Athi River Plant"/>
    <s v="Line B"/>
    <s v="Industrial Cleaners"/>
    <s v="Evening"/>
    <s v="P. Otieno"/>
    <n v="857"/>
    <n v="757"/>
    <n v="18"/>
    <n v="739"/>
    <n v="33.799999999999997"/>
    <n v="6.2"/>
    <n v="74.010000000000005"/>
    <n v="56025.570000000007"/>
    <n v="1332.18"/>
    <s v="Review"/>
    <n v="757"/>
  </r>
  <r>
    <s v="BAT-0467"/>
    <x v="43"/>
    <x v="1"/>
    <s v="Athi River Plant"/>
    <s v="Line B"/>
    <s v="Industrial Cleaners"/>
    <s v="Night"/>
    <s v="F. Ali"/>
    <n v="1650"/>
    <n v="1761"/>
    <n v="41"/>
    <n v="1720"/>
    <n v="22.6"/>
    <n v="6.3"/>
    <n v="74.010000000000005"/>
    <n v="130331.61000000002"/>
    <n v="3034.4100000000003"/>
    <s v="Review"/>
    <n v="1761"/>
  </r>
  <r>
    <s v="BAT-0569"/>
    <x v="201"/>
    <x v="9"/>
    <s v="Mombasa Plant"/>
    <s v="Line C"/>
    <s v="Packaging Resin"/>
    <s v="Evening"/>
    <s v="M. Hassan"/>
    <n v="1593"/>
    <n v="1560"/>
    <n v="23"/>
    <n v="1537"/>
    <n v="54.9"/>
    <n v="8.1"/>
    <n v="74.180000000000007"/>
    <n v="115720.80000000002"/>
    <n v="1706.14"/>
    <s v="Pass"/>
    <n v="1560"/>
  </r>
  <r>
    <s v="BAT-0348"/>
    <x v="98"/>
    <x v="3"/>
    <s v="Athi River Plant"/>
    <s v="Line A"/>
    <s v="Industrial Cleaners"/>
    <s v="Night"/>
    <s v="R. Njeri"/>
    <n v="1610"/>
    <n v="1511"/>
    <n v="13"/>
    <n v="1498"/>
    <n v="4.0999999999999996"/>
    <n v="6"/>
    <n v="74.55"/>
    <n v="112645.05"/>
    <n v="969.15"/>
    <s v="Pass"/>
    <n v="1511"/>
  </r>
  <r>
    <s v="BAT-0361"/>
    <x v="202"/>
    <x v="11"/>
    <s v="Athi River Plant"/>
    <s v="Line A"/>
    <s v="Water Treatment Chemicals"/>
    <s v="Evening"/>
    <s v="A. Wanjiku"/>
    <n v="1319"/>
    <n v="1240"/>
    <n v="22"/>
    <n v="1218"/>
    <n v="59.7"/>
    <n v="7.5"/>
    <n v="74.8"/>
    <n v="92752"/>
    <n v="1645.6"/>
    <s v="Pass"/>
    <n v="1240"/>
  </r>
  <r>
    <s v="BAT-0136"/>
    <x v="117"/>
    <x v="4"/>
    <s v="Nakuru Plant"/>
    <s v="Line D"/>
    <s v="Water Treatment Chemicals"/>
    <s v="Evening"/>
    <s v="S. Kiptoo"/>
    <n v="941"/>
    <n v="1000"/>
    <n v="7"/>
    <n v="993"/>
    <n v="37.4"/>
    <n v="7.6"/>
    <n v="74.989999999999995"/>
    <n v="74990"/>
    <n v="524.92999999999995"/>
    <s v="Pass"/>
    <n v="1000"/>
  </r>
  <r>
    <s v="BAT-0110"/>
    <x v="203"/>
    <x v="8"/>
    <s v="Nakuru Plant"/>
    <s v="Line E"/>
    <s v="Construction Additives"/>
    <s v="Evening"/>
    <s v="F. Ali"/>
    <n v="1051"/>
    <n v="848"/>
    <n v="25"/>
    <n v="823"/>
    <n v="38.799999999999997"/>
    <n v="6.1"/>
    <n v="75.099999999999994"/>
    <n v="63684.799999999996"/>
    <n v="1877.4999999999998"/>
    <s v="Review"/>
    <n v="848"/>
  </r>
  <r>
    <s v="BAT-0505"/>
    <x v="61"/>
    <x v="4"/>
    <s v="Nakuru Plant"/>
    <s v="Line C"/>
    <s v="Protective Coatings"/>
    <s v="Day"/>
    <s v="M. Hassan"/>
    <n v="1185"/>
    <n v="1179"/>
    <n v="26"/>
    <n v="1153"/>
    <n v="46.5"/>
    <n v="6.7"/>
    <n v="75.27"/>
    <n v="88743.33"/>
    <n v="1957.02"/>
    <s v="Review"/>
    <n v="1179"/>
  </r>
  <r>
    <s v="BAT-0151"/>
    <x v="204"/>
    <x v="11"/>
    <s v="Athi River Plant"/>
    <s v="Line A"/>
    <s v="Construction Additives"/>
    <s v="Day"/>
    <s v="M. Hassan"/>
    <n v="1184"/>
    <n v="1144"/>
    <n v="17"/>
    <n v="1127"/>
    <n v="22.5"/>
    <n v="6.8"/>
    <n v="75.28"/>
    <n v="86120.320000000007"/>
    <n v="1279.76"/>
    <s v="Pass"/>
    <n v="1144"/>
  </r>
  <r>
    <s v="BAT-0291"/>
    <x v="205"/>
    <x v="2"/>
    <s v="Nakuru Plant"/>
    <s v="Line D"/>
    <s v="Construction Additives"/>
    <s v="Evening"/>
    <s v="M. Hassan"/>
    <n v="832"/>
    <n v="855"/>
    <n v="5"/>
    <n v="850"/>
    <n v="16.2"/>
    <n v="8.5"/>
    <n v="75.83"/>
    <n v="64834.65"/>
    <n v="379.15"/>
    <s v="Pass"/>
    <n v="855"/>
  </r>
  <r>
    <s v="BAT-0015"/>
    <x v="74"/>
    <x v="8"/>
    <s v="Nakuru Plant"/>
    <s v="Line A"/>
    <s v="Water Treatment Chemicals"/>
    <s v="Night"/>
    <s v="P. Otieno"/>
    <n v="1226"/>
    <n v="1120"/>
    <n v="32"/>
    <n v="1088"/>
    <n v="35.200000000000003"/>
    <n v="6.7"/>
    <n v="76.239999999999995"/>
    <n v="85388.799999999988"/>
    <n v="2439.6799999999998"/>
    <s v="Review"/>
    <n v="1120"/>
  </r>
  <r>
    <s v="BAT-0545"/>
    <x v="77"/>
    <x v="2"/>
    <s v="Nakuru Plant"/>
    <s v="Line A"/>
    <s v="Industrial Cleaners"/>
    <s v="Night"/>
    <s v="P. Otieno"/>
    <n v="871"/>
    <n v="793"/>
    <n v="25"/>
    <n v="768"/>
    <n v="21.2"/>
    <n v="7.8"/>
    <n v="76.88"/>
    <n v="60965.84"/>
    <n v="1922"/>
    <s v="Review"/>
    <n v="793"/>
  </r>
  <r>
    <s v="BAT-0206"/>
    <x v="206"/>
    <x v="4"/>
    <s v="Athi River Plant"/>
    <s v="Line A"/>
    <s v="Packaging Resin"/>
    <s v="Evening"/>
    <s v="F. Ali"/>
    <n v="1460"/>
    <n v="1393"/>
    <n v="13"/>
    <n v="1380"/>
    <n v="72.8"/>
    <n v="6.5"/>
    <n v="76.91"/>
    <n v="107135.62999999999"/>
    <n v="999.82999999999993"/>
    <s v="Pass"/>
    <n v="1393"/>
  </r>
  <r>
    <s v="BAT-0085"/>
    <x v="207"/>
    <x v="9"/>
    <s v="Mombasa Plant"/>
    <s v="Line B"/>
    <s v="Water Treatment Chemicals"/>
    <s v="Day"/>
    <s v="S. Kiptoo"/>
    <n v="1095"/>
    <n v="998"/>
    <n v="32"/>
    <n v="966"/>
    <n v="87.7"/>
    <n v="6.5"/>
    <n v="77.66"/>
    <n v="77504.679999999993"/>
    <n v="2485.12"/>
    <s v="Review"/>
    <n v="998"/>
  </r>
  <r>
    <s v="BAT-0305"/>
    <x v="153"/>
    <x v="10"/>
    <s v="Athi River Plant"/>
    <s v="Line C"/>
    <s v="Construction Additives"/>
    <s v="Day"/>
    <s v="R. Njeri"/>
    <n v="780"/>
    <n v="690"/>
    <n v="23"/>
    <n v="667"/>
    <n v="30.8"/>
    <n v="7.9"/>
    <n v="77.900000000000006"/>
    <n v="53751.000000000007"/>
    <n v="1791.7"/>
    <s v="Review"/>
    <n v="690"/>
  </r>
  <r>
    <s v="BAT-0215"/>
    <x v="208"/>
    <x v="8"/>
    <s v="Mombasa Plant"/>
    <s v="Line A"/>
    <s v="Construction Additives"/>
    <s v="Evening"/>
    <s v="P. Otieno"/>
    <n v="1199"/>
    <n v="1241"/>
    <n v="17"/>
    <n v="1224"/>
    <n v="35.799999999999997"/>
    <n v="7.6"/>
    <n v="78.19"/>
    <n v="97033.79"/>
    <n v="1329.23"/>
    <s v="Pass"/>
    <n v="1241"/>
  </r>
  <r>
    <s v="BAT-0268"/>
    <x v="209"/>
    <x v="7"/>
    <s v="Nakuru Plant"/>
    <s v="Line E"/>
    <s v="Construction Additives"/>
    <s v="Evening"/>
    <s v="F. Ali"/>
    <n v="746"/>
    <n v="633"/>
    <n v="11"/>
    <n v="622"/>
    <n v="75.400000000000006"/>
    <n v="8.4"/>
    <n v="78.31"/>
    <n v="49570.23"/>
    <n v="861.41000000000008"/>
    <s v="Pass"/>
    <n v="633"/>
  </r>
  <r>
    <s v="BAT-0250"/>
    <x v="115"/>
    <x v="5"/>
    <s v="Mombasa Plant"/>
    <s v="Line C"/>
    <s v="Construction Additives"/>
    <s v="Day"/>
    <s v="R. Njeri"/>
    <n v="947"/>
    <n v="808"/>
    <n v="20"/>
    <n v="788"/>
    <n v="37.9"/>
    <n v="6.3"/>
    <n v="78.33"/>
    <n v="63290.64"/>
    <n v="1566.6"/>
    <s v="Review"/>
    <n v="808"/>
  </r>
  <r>
    <s v="BAT-0182"/>
    <x v="210"/>
    <x v="0"/>
    <s v="Athi River Plant"/>
    <s v="Line A"/>
    <s v="Protective Coatings"/>
    <s v="Day"/>
    <s v="S. Kiptoo"/>
    <n v="1795"/>
    <n v="1697"/>
    <n v="30"/>
    <n v="1667"/>
    <n v="40.6"/>
    <n v="8.1999999999999993"/>
    <n v="78.400000000000006"/>
    <n v="133044.80000000002"/>
    <n v="2352"/>
    <s v="Pass"/>
    <n v="1697"/>
  </r>
  <r>
    <s v="BAT-0451"/>
    <x v="71"/>
    <x v="3"/>
    <s v="Athi River Plant"/>
    <s v="Line B"/>
    <s v="Construction Additives"/>
    <s v="Evening"/>
    <s v="J. Mwangi"/>
    <n v="1591"/>
    <n v="1617"/>
    <n v="40"/>
    <n v="1577"/>
    <n v="54.4"/>
    <n v="6.2"/>
    <n v="78.59"/>
    <n v="127080.03"/>
    <n v="3143.6000000000004"/>
    <s v="Review"/>
    <n v="1617"/>
  </r>
  <r>
    <s v="BAT-0189"/>
    <x v="40"/>
    <x v="1"/>
    <s v="Mombasa Plant"/>
    <s v="Line D"/>
    <s v="Protective Coatings"/>
    <s v="Day"/>
    <s v="R. Njeri"/>
    <n v="1128"/>
    <n v="1013"/>
    <n v="25"/>
    <n v="988"/>
    <n v="31.7"/>
    <n v="6.2"/>
    <n v="79.099999999999994"/>
    <n v="80128.299999999988"/>
    <n v="1977.4999999999998"/>
    <s v="Review"/>
    <n v="1013"/>
  </r>
  <r>
    <s v="BAT-0453"/>
    <x v="195"/>
    <x v="10"/>
    <s v="Nakuru Plant"/>
    <s v="Line D"/>
    <s v="Water Treatment Chemicals"/>
    <s v="Day"/>
    <s v="S. Kiptoo"/>
    <n v="1733"/>
    <n v="1438"/>
    <n v="36"/>
    <n v="1402"/>
    <n v="27.1"/>
    <n v="8"/>
    <n v="79.400000000000006"/>
    <n v="114177.20000000001"/>
    <n v="2858.4"/>
    <s v="Review"/>
    <n v="1438"/>
  </r>
  <r>
    <s v="BAT-0360"/>
    <x v="69"/>
    <x v="2"/>
    <s v="Athi River Plant"/>
    <s v="Line A"/>
    <s v="Construction Additives"/>
    <s v="Night"/>
    <s v="D. Kamau"/>
    <n v="1596"/>
    <n v="1445"/>
    <n v="22"/>
    <n v="1423"/>
    <n v="86.4"/>
    <n v="6.6"/>
    <n v="80.430000000000007"/>
    <n v="116221.35"/>
    <n v="1769.46"/>
    <s v="Pass"/>
    <n v="1445"/>
  </r>
  <r>
    <s v="BAT-0352"/>
    <x v="42"/>
    <x v="5"/>
    <s v="Nakuru Plant"/>
    <s v="Line E"/>
    <s v="Protective Coatings"/>
    <s v="Night"/>
    <s v="D. Kamau"/>
    <n v="1152"/>
    <n v="906"/>
    <n v="28"/>
    <n v="878"/>
    <n v="47.5"/>
    <n v="8"/>
    <n v="80.59"/>
    <n v="73014.540000000008"/>
    <n v="2256.52"/>
    <s v="Review"/>
    <n v="906"/>
  </r>
  <r>
    <s v="BAT-0032"/>
    <x v="211"/>
    <x v="1"/>
    <s v="Athi River Plant"/>
    <s v="Line D"/>
    <s v="Protective Coatings"/>
    <s v="Day"/>
    <s v="A. Wanjiku"/>
    <n v="1174"/>
    <n v="1120"/>
    <n v="14"/>
    <n v="1106"/>
    <n v="27.9"/>
    <n v="8.1"/>
    <n v="80.760000000000005"/>
    <n v="90451.200000000012"/>
    <n v="1130.6400000000001"/>
    <s v="Pass"/>
    <n v="1120"/>
  </r>
  <r>
    <s v="BAT-0156"/>
    <x v="170"/>
    <x v="9"/>
    <s v="Athi River Plant"/>
    <s v="Line A"/>
    <s v="Packaging Resin"/>
    <s v="Night"/>
    <s v="P. Otieno"/>
    <n v="757"/>
    <n v="849"/>
    <n v="22"/>
    <n v="827"/>
    <n v="43"/>
    <n v="8.1"/>
    <n v="81.05"/>
    <n v="68811.45"/>
    <n v="1783.1"/>
    <s v="Review"/>
    <n v="849"/>
  </r>
  <r>
    <s v="BAT-0148"/>
    <x v="212"/>
    <x v="1"/>
    <s v="Nakuru Plant"/>
    <s v="Line C"/>
    <s v="Water Treatment Chemicals"/>
    <s v="Night"/>
    <s v="J. Mwangi"/>
    <n v="1530"/>
    <n v="1380"/>
    <n v="11"/>
    <n v="1369"/>
    <n v="49.6"/>
    <n v="8.4"/>
    <n v="81.33"/>
    <n v="112235.4"/>
    <n v="894.63"/>
    <s v="Pass"/>
    <n v="1380"/>
  </r>
  <r>
    <s v="BAT-0043"/>
    <x v="213"/>
    <x v="8"/>
    <s v="Nakuru Plant"/>
    <s v="Line D"/>
    <s v="Water Treatment Chemicals"/>
    <s v="Day"/>
    <s v="P. Otieno"/>
    <n v="1458"/>
    <n v="1386"/>
    <n v="41"/>
    <n v="1345"/>
    <n v="24.8"/>
    <n v="6.9"/>
    <n v="81.349999999999994"/>
    <n v="112751.09999999999"/>
    <n v="3335.35"/>
    <s v="Review"/>
    <n v="1386"/>
  </r>
  <r>
    <s v="BAT-0580"/>
    <x v="163"/>
    <x v="0"/>
    <s v="Athi River Plant"/>
    <s v="Line A"/>
    <s v="Construction Additives"/>
    <s v="Night"/>
    <s v="S. Kiptoo"/>
    <n v="1425"/>
    <n v="1392"/>
    <n v="41"/>
    <n v="1351"/>
    <n v="29.3"/>
    <n v="7.9"/>
    <n v="81.540000000000006"/>
    <n v="113503.68000000001"/>
    <n v="3343.1400000000003"/>
    <s v="Review"/>
    <n v="1392"/>
  </r>
  <r>
    <s v="BAT-0502"/>
    <x v="136"/>
    <x v="9"/>
    <s v="Nakuru Plant"/>
    <s v="Line A"/>
    <s v="Packaging Resin"/>
    <s v="Evening"/>
    <s v="F. Ali"/>
    <n v="1585"/>
    <n v="1501"/>
    <n v="18"/>
    <n v="1483"/>
    <n v="42.7"/>
    <n v="6.3"/>
    <n v="81.650000000000006"/>
    <n v="122556.65000000001"/>
    <n v="1469.7"/>
    <s v="Pass"/>
    <n v="1501"/>
  </r>
  <r>
    <s v="BAT-0269"/>
    <x v="214"/>
    <x v="9"/>
    <s v="Nakuru Plant"/>
    <s v="Line D"/>
    <s v="Protective Coatings"/>
    <s v="Day"/>
    <s v="A. Wanjiku"/>
    <n v="720"/>
    <n v="702"/>
    <n v="11"/>
    <n v="691"/>
    <n v="31.5"/>
    <n v="8.3000000000000007"/>
    <n v="81.81"/>
    <n v="57430.62"/>
    <n v="899.91000000000008"/>
    <s v="Pass"/>
    <n v="702"/>
  </r>
  <r>
    <s v="BAT-0285"/>
    <x v="215"/>
    <x v="6"/>
    <s v="Mombasa Plant"/>
    <s v="Line B"/>
    <s v="Industrial Cleaners"/>
    <s v="Night"/>
    <s v="D. Kamau"/>
    <n v="1648"/>
    <n v="1709"/>
    <n v="27"/>
    <n v="1682"/>
    <n v="49.4"/>
    <n v="6.6"/>
    <n v="81.84"/>
    <n v="139864.56"/>
    <n v="2209.6800000000003"/>
    <s v="Pass"/>
    <n v="1709"/>
  </r>
  <r>
    <s v="BAT-0021"/>
    <x v="195"/>
    <x v="10"/>
    <s v="Athi River Plant"/>
    <s v="Line B"/>
    <s v="Packaging Resin"/>
    <s v="Day"/>
    <s v="M. Hassan"/>
    <n v="832"/>
    <n v="889"/>
    <n v="8"/>
    <n v="881"/>
    <n v="82.1"/>
    <n v="6.3"/>
    <n v="82.08"/>
    <n v="72969.119999999995"/>
    <n v="656.64"/>
    <s v="Pass"/>
    <n v="889"/>
  </r>
  <r>
    <s v="BAT-0490"/>
    <x v="216"/>
    <x v="9"/>
    <s v="Athi River Plant"/>
    <s v="Line C"/>
    <s v="Industrial Cleaners"/>
    <s v="Night"/>
    <s v="A. Wanjiku"/>
    <n v="1755"/>
    <n v="1702"/>
    <n v="11"/>
    <n v="1691"/>
    <n v="25.3"/>
    <n v="7"/>
    <n v="82.26"/>
    <n v="140006.52000000002"/>
    <n v="904.86"/>
    <s v="Pass"/>
    <n v="1702"/>
  </r>
  <r>
    <s v="BAT-0341"/>
    <x v="181"/>
    <x v="9"/>
    <s v="Mombasa Plant"/>
    <s v="Line E"/>
    <s v="Packaging Resin"/>
    <s v="Day"/>
    <s v="M. Hassan"/>
    <n v="738"/>
    <n v="643"/>
    <n v="2"/>
    <n v="641"/>
    <n v="38.4"/>
    <n v="7.3"/>
    <n v="82.41"/>
    <n v="52989.63"/>
    <n v="164.82"/>
    <s v="Pass"/>
    <n v="643"/>
  </r>
  <r>
    <s v="BAT-0068"/>
    <x v="102"/>
    <x v="7"/>
    <s v="Mombasa Plant"/>
    <s v="Line D"/>
    <s v="Water Treatment Chemicals"/>
    <s v="Night"/>
    <s v="M. Hassan"/>
    <n v="822"/>
    <n v="842"/>
    <n v="25"/>
    <n v="817"/>
    <n v="31.9"/>
    <n v="6"/>
    <n v="82.54"/>
    <n v="69498.680000000008"/>
    <n v="2063.5"/>
    <s v="Review"/>
    <n v="842"/>
  </r>
  <r>
    <s v="BAT-0026"/>
    <x v="217"/>
    <x v="9"/>
    <s v="Athi River Plant"/>
    <s v="Line E"/>
    <s v="Protective Coatings"/>
    <s v="Evening"/>
    <s v="J. Mwangi"/>
    <n v="1204"/>
    <n v="978"/>
    <n v="32"/>
    <n v="946"/>
    <n v="69.900000000000006"/>
    <n v="6.4"/>
    <n v="82.56"/>
    <n v="80743.680000000008"/>
    <n v="2641.92"/>
    <s v="Review"/>
    <n v="978"/>
  </r>
  <r>
    <s v="BAT-0600"/>
    <x v="201"/>
    <x v="9"/>
    <s v="Mombasa Plant"/>
    <s v="Line E"/>
    <s v="Protective Coatings"/>
    <s v="Day"/>
    <s v="R. Njeri"/>
    <n v="736"/>
    <n v="691"/>
    <n v="20"/>
    <n v="671"/>
    <n v="40.5"/>
    <n v="7.2"/>
    <n v="82.62"/>
    <n v="57090.420000000006"/>
    <n v="1652.4"/>
    <s v="Review"/>
    <n v="691"/>
  </r>
  <r>
    <s v="BAT-0583"/>
    <x v="218"/>
    <x v="0"/>
    <s v="Athi River Plant"/>
    <s v="Line D"/>
    <s v="Industrial Cleaners"/>
    <s v="Day"/>
    <s v="M. Hassan"/>
    <n v="1587"/>
    <n v="1408"/>
    <n v="32"/>
    <n v="1376"/>
    <n v="36.799999999999997"/>
    <n v="7.1"/>
    <n v="82.81"/>
    <n v="116596.48000000001"/>
    <n v="2649.92"/>
    <s v="Review"/>
    <n v="1408"/>
  </r>
  <r>
    <s v="BAT-0549"/>
    <x v="219"/>
    <x v="10"/>
    <s v="Mombasa Plant"/>
    <s v="Line C"/>
    <s v="Industrial Cleaners"/>
    <s v="Night"/>
    <s v="J. Mwangi"/>
    <n v="815"/>
    <n v="747"/>
    <n v="15"/>
    <n v="732"/>
    <n v="16.399999999999999"/>
    <n v="8"/>
    <n v="82.94"/>
    <n v="61956.18"/>
    <n v="1244.0999999999999"/>
    <s v="Review"/>
    <n v="747"/>
  </r>
  <r>
    <s v="BAT-0527"/>
    <x v="81"/>
    <x v="3"/>
    <s v="Mombasa Plant"/>
    <s v="Line B"/>
    <s v="Water Treatment Chemicals"/>
    <s v="Evening"/>
    <s v="S. Kiptoo"/>
    <n v="866"/>
    <n v="713"/>
    <n v="3"/>
    <n v="710"/>
    <n v="118.6"/>
    <n v="8"/>
    <n v="83.09"/>
    <n v="59243.170000000006"/>
    <n v="249.27"/>
    <s v="Pass"/>
    <n v="713"/>
  </r>
  <r>
    <s v="BAT-0264"/>
    <x v="81"/>
    <x v="3"/>
    <s v="Nakuru Plant"/>
    <s v="Line A"/>
    <s v="Construction Additives"/>
    <s v="Day"/>
    <s v="F. Ali"/>
    <n v="1111"/>
    <n v="1004"/>
    <n v="22"/>
    <n v="982"/>
    <n v="33.1"/>
    <n v="6.1"/>
    <n v="83.42"/>
    <n v="83753.680000000008"/>
    <n v="1835.24"/>
    <s v="Review"/>
    <n v="1004"/>
  </r>
  <r>
    <s v="BAT-0174"/>
    <x v="220"/>
    <x v="8"/>
    <s v="Mombasa Plant"/>
    <s v="Line C"/>
    <s v="Industrial Cleaners"/>
    <s v="Night"/>
    <s v="M. Hassan"/>
    <n v="1131"/>
    <n v="1024"/>
    <n v="35"/>
    <n v="989"/>
    <n v="46.2"/>
    <n v="6.5"/>
    <n v="83.5"/>
    <n v="85504"/>
    <n v="2922.5"/>
    <s v="Review"/>
    <n v="1024"/>
  </r>
  <r>
    <s v="BAT-0582"/>
    <x v="221"/>
    <x v="11"/>
    <s v="Nakuru Plant"/>
    <s v="Line B"/>
    <s v="Construction Additives"/>
    <s v="Evening"/>
    <s v="M. Hassan"/>
    <n v="1545"/>
    <n v="1581"/>
    <n v="55"/>
    <n v="1526"/>
    <n v="28"/>
    <n v="6.4"/>
    <n v="83.88"/>
    <n v="132614.28"/>
    <n v="4613.3999999999996"/>
    <s v="Review"/>
    <n v="1581"/>
  </r>
  <r>
    <s v="BAT-0550"/>
    <x v="222"/>
    <x v="8"/>
    <s v="Athi River Plant"/>
    <s v="Line A"/>
    <s v="Packaging Resin"/>
    <s v="Day"/>
    <s v="P. Otieno"/>
    <n v="1112"/>
    <n v="1174"/>
    <n v="18"/>
    <n v="1156"/>
    <n v="77.5"/>
    <n v="6.8"/>
    <n v="83.88"/>
    <n v="98475.12"/>
    <n v="1509.84"/>
    <s v="Pass"/>
    <n v="1174"/>
  </r>
  <r>
    <s v="BAT-0331"/>
    <x v="223"/>
    <x v="10"/>
    <s v="Mombasa Plant"/>
    <s v="Line C"/>
    <s v="Packaging Resin"/>
    <s v="Evening"/>
    <s v="S. Kiptoo"/>
    <n v="1118"/>
    <n v="989"/>
    <n v="30"/>
    <n v="959"/>
    <n v="18.2"/>
    <n v="7.8"/>
    <n v="84.01"/>
    <n v="83085.89"/>
    <n v="2520.3000000000002"/>
    <s v="Review"/>
    <n v="989"/>
  </r>
  <r>
    <s v="BAT-0259"/>
    <x v="1"/>
    <x v="1"/>
    <s v="Mombasa Plant"/>
    <s v="Line E"/>
    <s v="Water Treatment Chemicals"/>
    <s v="Evening"/>
    <s v="J. Mwangi"/>
    <n v="1041"/>
    <n v="1207"/>
    <n v="16"/>
    <n v="1191"/>
    <n v="33.799999999999997"/>
    <n v="8.1"/>
    <n v="84.05"/>
    <n v="101448.34999999999"/>
    <n v="1344.8"/>
    <s v="Pass"/>
    <n v="1207"/>
  </r>
  <r>
    <s v="BAT-0083"/>
    <x v="94"/>
    <x v="0"/>
    <s v="Mombasa Plant"/>
    <s v="Line A"/>
    <s v="Water Treatment Chemicals"/>
    <s v="Evening"/>
    <s v="J. Mwangi"/>
    <n v="994"/>
    <n v="830"/>
    <n v="2"/>
    <n v="828"/>
    <n v="24.5"/>
    <n v="8"/>
    <n v="84.07"/>
    <n v="69778.099999999991"/>
    <n v="168.14"/>
    <s v="Pass"/>
    <n v="830"/>
  </r>
  <r>
    <s v="BAT-0462"/>
    <x v="224"/>
    <x v="0"/>
    <s v="Athi River Plant"/>
    <s v="Line B"/>
    <s v="Packaging Resin"/>
    <s v="Day"/>
    <s v="D. Kamau"/>
    <n v="1365"/>
    <n v="1259"/>
    <n v="18"/>
    <n v="1241"/>
    <n v="42.3"/>
    <n v="6.9"/>
    <n v="84.63"/>
    <n v="106549.17"/>
    <n v="1523.34"/>
    <s v="Pass"/>
    <n v="1259"/>
  </r>
  <r>
    <s v="BAT-0390"/>
    <x v="210"/>
    <x v="0"/>
    <s v="Nakuru Plant"/>
    <s v="Line D"/>
    <s v="Packaging Resin"/>
    <s v="Day"/>
    <s v="R. Njeri"/>
    <n v="1114"/>
    <n v="1011"/>
    <n v="17"/>
    <n v="994"/>
    <n v="71.400000000000006"/>
    <n v="7"/>
    <n v="84.71"/>
    <n v="85641.81"/>
    <n v="1440.07"/>
    <s v="Pass"/>
    <n v="1011"/>
  </r>
  <r>
    <s v="BAT-0239"/>
    <x v="225"/>
    <x v="4"/>
    <s v="Nakuru Plant"/>
    <s v="Line A"/>
    <s v="Water Treatment Chemicals"/>
    <s v="Evening"/>
    <s v="R. Njeri"/>
    <n v="1498"/>
    <n v="1437"/>
    <n v="49"/>
    <n v="1388"/>
    <n v="37"/>
    <n v="8.5"/>
    <n v="84.9"/>
    <n v="122001.3"/>
    <n v="4160.1000000000004"/>
    <s v="Review"/>
    <n v="1437"/>
  </r>
  <r>
    <s v="BAT-0233"/>
    <x v="189"/>
    <x v="5"/>
    <s v="Athi River Plant"/>
    <s v="Line C"/>
    <s v="Industrial Cleaners"/>
    <s v="Night"/>
    <s v="D. Kamau"/>
    <n v="740"/>
    <n v="614"/>
    <n v="20"/>
    <n v="594"/>
    <n v="102.4"/>
    <n v="7.2"/>
    <n v="85.14"/>
    <n v="52275.96"/>
    <n v="1702.8"/>
    <s v="Review"/>
    <n v="614"/>
  </r>
  <r>
    <s v="BAT-0371"/>
    <x v="141"/>
    <x v="7"/>
    <s v="Athi River Plant"/>
    <s v="Line C"/>
    <s v="Construction Additives"/>
    <s v="Day"/>
    <s v="F. Ali"/>
    <n v="1479"/>
    <n v="1522"/>
    <n v="26"/>
    <n v="1496"/>
    <n v="87.6"/>
    <n v="6.5"/>
    <n v="85.26"/>
    <n v="129765.72"/>
    <n v="2216.7600000000002"/>
    <s v="Pass"/>
    <n v="1522"/>
  </r>
  <r>
    <s v="BAT-0548"/>
    <x v="137"/>
    <x v="9"/>
    <s v="Nakuru Plant"/>
    <s v="Line E"/>
    <s v="Packaging Resin"/>
    <s v="Evening"/>
    <s v="M. Hassan"/>
    <n v="1430"/>
    <n v="1358"/>
    <n v="39"/>
    <n v="1319"/>
    <n v="44.3"/>
    <n v="7.8"/>
    <n v="85.35"/>
    <n v="115905.29999999999"/>
    <n v="3328.6499999999996"/>
    <s v="Review"/>
    <n v="1358"/>
  </r>
  <r>
    <s v="BAT-0297"/>
    <x v="200"/>
    <x v="11"/>
    <s v="Nakuru Plant"/>
    <s v="Line D"/>
    <s v="Construction Additives"/>
    <s v="Day"/>
    <s v="P. Otieno"/>
    <n v="1431"/>
    <n v="1108"/>
    <n v="17"/>
    <n v="1091"/>
    <n v="27.7"/>
    <n v="6.9"/>
    <n v="85.81"/>
    <n v="95077.48"/>
    <n v="1458.77"/>
    <s v="Pass"/>
    <n v="1108"/>
  </r>
  <r>
    <s v="BAT-0406"/>
    <x v="195"/>
    <x v="10"/>
    <s v="Nakuru Plant"/>
    <s v="Line E"/>
    <s v="Packaging Resin"/>
    <s v="Night"/>
    <s v="R. Njeri"/>
    <n v="1705"/>
    <n v="1523"/>
    <n v="33"/>
    <n v="1490"/>
    <n v="17.600000000000001"/>
    <n v="6.6"/>
    <n v="86.95"/>
    <n v="132424.85"/>
    <n v="2869.35"/>
    <s v="Review"/>
    <n v="1523"/>
  </r>
  <r>
    <s v="BAT-0489"/>
    <x v="39"/>
    <x v="2"/>
    <s v="Nakuru Plant"/>
    <s v="Line B"/>
    <s v="Industrial Cleaners"/>
    <s v="Night"/>
    <s v="A. Wanjiku"/>
    <n v="1271"/>
    <n v="1320"/>
    <n v="29"/>
    <n v="1291"/>
    <n v="24"/>
    <n v="6.4"/>
    <n v="87.01"/>
    <n v="114853.20000000001"/>
    <n v="2523.29"/>
    <s v="Review"/>
    <n v="1320"/>
  </r>
  <r>
    <s v="BAT-0232"/>
    <x v="204"/>
    <x v="11"/>
    <s v="Nakuru Plant"/>
    <s v="Line C"/>
    <s v="Industrial Cleaners"/>
    <s v="Night"/>
    <s v="P. Otieno"/>
    <n v="1463"/>
    <n v="1527"/>
    <n v="16"/>
    <n v="1511"/>
    <n v="13.5"/>
    <n v="8.1"/>
    <n v="87.32"/>
    <n v="133337.63999999998"/>
    <n v="1397.12"/>
    <s v="Pass"/>
    <n v="1527"/>
  </r>
  <r>
    <s v="BAT-0568"/>
    <x v="193"/>
    <x v="4"/>
    <s v="Nakuru Plant"/>
    <s v="Line B"/>
    <s v="Protective Coatings"/>
    <s v="Night"/>
    <s v="D. Kamau"/>
    <n v="912"/>
    <n v="984"/>
    <n v="14"/>
    <n v="970"/>
    <n v="46.5"/>
    <n v="7.6"/>
    <n v="87.36"/>
    <n v="85962.240000000005"/>
    <n v="1223.04"/>
    <s v="Pass"/>
    <n v="984"/>
  </r>
  <r>
    <s v="BAT-0241"/>
    <x v="224"/>
    <x v="0"/>
    <s v="Nakuru Plant"/>
    <s v="Line B"/>
    <s v="Industrial Cleaners"/>
    <s v="Evening"/>
    <s v="J. Mwangi"/>
    <n v="965"/>
    <n v="841"/>
    <n v="9"/>
    <n v="832"/>
    <n v="26.6"/>
    <n v="6.8"/>
    <n v="87.5"/>
    <n v="73587.5"/>
    <n v="787.5"/>
    <s v="Pass"/>
    <n v="841"/>
  </r>
  <r>
    <s v="BAT-0030"/>
    <x v="215"/>
    <x v="6"/>
    <s v="Mombasa Plant"/>
    <s v="Line C"/>
    <s v="Protective Coatings"/>
    <s v="Night"/>
    <s v="S. Kiptoo"/>
    <n v="1049"/>
    <n v="964"/>
    <n v="12"/>
    <n v="952"/>
    <n v="25.3"/>
    <n v="8"/>
    <n v="87.74"/>
    <n v="84581.36"/>
    <n v="1052.8799999999999"/>
    <s v="Pass"/>
    <n v="964"/>
  </r>
  <r>
    <s v="BAT-0253"/>
    <x v="226"/>
    <x v="1"/>
    <s v="Nakuru Plant"/>
    <s v="Line E"/>
    <s v="Packaging Resin"/>
    <s v="Day"/>
    <s v="J. Mwangi"/>
    <n v="1270"/>
    <n v="1223"/>
    <n v="39"/>
    <n v="1184"/>
    <n v="36.4"/>
    <n v="8.4"/>
    <n v="87.89"/>
    <n v="107489.47"/>
    <n v="3427.71"/>
    <s v="Review"/>
    <n v="1223"/>
  </r>
  <r>
    <s v="BAT-0126"/>
    <x v="194"/>
    <x v="10"/>
    <s v="Mombasa Plant"/>
    <s v="Line C"/>
    <s v="Packaging Resin"/>
    <s v="Evening"/>
    <s v="R. Njeri"/>
    <n v="1727"/>
    <n v="1587"/>
    <n v="13"/>
    <n v="1574"/>
    <n v="7.5"/>
    <n v="7.1"/>
    <n v="88.13"/>
    <n v="139862.31"/>
    <n v="1145.69"/>
    <s v="Pass"/>
    <n v="1587"/>
  </r>
  <r>
    <s v="BAT-0320"/>
    <x v="227"/>
    <x v="2"/>
    <s v="Nakuru Plant"/>
    <s v="Line A"/>
    <s v="Water Treatment Chemicals"/>
    <s v="Night"/>
    <s v="P. Otieno"/>
    <n v="749"/>
    <n v="779"/>
    <n v="7"/>
    <n v="772"/>
    <n v="12.7"/>
    <n v="6.3"/>
    <n v="88.52"/>
    <n v="68957.08"/>
    <n v="619.64"/>
    <s v="Pass"/>
    <n v="779"/>
  </r>
  <r>
    <s v="BAT-0321"/>
    <x v="73"/>
    <x v="4"/>
    <s v="Mombasa Plant"/>
    <s v="Line D"/>
    <s v="Industrial Cleaners"/>
    <s v="Evening"/>
    <s v="P. Otieno"/>
    <n v="1373"/>
    <n v="1403"/>
    <n v="40"/>
    <n v="1363"/>
    <n v="31.3"/>
    <n v="6.6"/>
    <n v="88.6"/>
    <n v="124305.79999999999"/>
    <n v="3544"/>
    <s v="Review"/>
    <n v="1403"/>
  </r>
  <r>
    <s v="BAT-0037"/>
    <x v="228"/>
    <x v="11"/>
    <s v="Nakuru Plant"/>
    <s v="Line B"/>
    <s v="Packaging Resin"/>
    <s v="Night"/>
    <s v="M. Hassan"/>
    <n v="1443"/>
    <n v="1435"/>
    <n v="42"/>
    <n v="1393"/>
    <n v="53.5"/>
    <n v="8.5"/>
    <n v="88.61"/>
    <n v="127155.35"/>
    <n v="3721.62"/>
    <s v="Review"/>
    <n v="1435"/>
  </r>
  <r>
    <s v="BAT-0301"/>
    <x v="10"/>
    <x v="7"/>
    <s v="Athi River Plant"/>
    <s v="Line D"/>
    <s v="Protective Coatings"/>
    <s v="Evening"/>
    <s v="A. Wanjiku"/>
    <n v="1358"/>
    <n v="1199"/>
    <n v="36"/>
    <n v="1163"/>
    <n v="34.6"/>
    <n v="6.1"/>
    <n v="88.64"/>
    <n v="106279.36"/>
    <n v="3191.04"/>
    <s v="Review"/>
    <n v="1199"/>
  </r>
  <r>
    <s v="BAT-0197"/>
    <x v="229"/>
    <x v="7"/>
    <s v="Mombasa Plant"/>
    <s v="Line B"/>
    <s v="Construction Additives"/>
    <s v="Evening"/>
    <s v="M. Hassan"/>
    <n v="876"/>
    <n v="861"/>
    <n v="28"/>
    <n v="833"/>
    <n v="29.6"/>
    <n v="6.9"/>
    <n v="88.74"/>
    <n v="76405.14"/>
    <n v="2484.7199999999998"/>
    <s v="Review"/>
    <n v="861"/>
  </r>
  <r>
    <s v="BAT-0465"/>
    <x v="135"/>
    <x v="5"/>
    <s v="Athi River Plant"/>
    <s v="Line E"/>
    <s v="Water Treatment Chemicals"/>
    <s v="Night"/>
    <s v="F. Ali"/>
    <n v="1680"/>
    <n v="1290"/>
    <n v="24"/>
    <n v="1266"/>
    <n v="10.5"/>
    <n v="6.9"/>
    <n v="89.2"/>
    <n v="115068"/>
    <n v="2140.8000000000002"/>
    <s v="Pass"/>
    <n v="1290"/>
  </r>
  <r>
    <s v="BAT-0062"/>
    <x v="188"/>
    <x v="8"/>
    <s v="Mombasa Plant"/>
    <s v="Line D"/>
    <s v="Protective Coatings"/>
    <s v="Night"/>
    <s v="R. Njeri"/>
    <n v="1058"/>
    <n v="876"/>
    <n v="27"/>
    <n v="849"/>
    <n v="60.1"/>
    <n v="6.7"/>
    <n v="89.31"/>
    <n v="78235.56"/>
    <n v="2411.37"/>
    <s v="Review"/>
    <n v="876"/>
  </r>
  <r>
    <s v="BAT-0153"/>
    <x v="230"/>
    <x v="3"/>
    <s v="Nakuru Plant"/>
    <s v="Line E"/>
    <s v="Construction Additives"/>
    <s v="Evening"/>
    <s v="D. Kamau"/>
    <n v="777"/>
    <n v="881"/>
    <n v="13"/>
    <n v="868"/>
    <n v="21"/>
    <n v="6.5"/>
    <n v="89.46"/>
    <n v="78814.259999999995"/>
    <n v="1162.98"/>
    <s v="Pass"/>
    <n v="881"/>
  </r>
  <r>
    <s v="BAT-0218"/>
    <x v="65"/>
    <x v="0"/>
    <s v="Nakuru Plant"/>
    <s v="Line D"/>
    <s v="Packaging Resin"/>
    <s v="Night"/>
    <s v="P. Otieno"/>
    <n v="1121"/>
    <n v="1117"/>
    <n v="11"/>
    <n v="1106"/>
    <n v="16.5"/>
    <n v="7.8"/>
    <n v="89.57"/>
    <n v="100049.68999999999"/>
    <n v="985.27"/>
    <s v="Pass"/>
    <n v="1117"/>
  </r>
  <r>
    <s v="BAT-0288"/>
    <x v="118"/>
    <x v="10"/>
    <s v="Athi River Plant"/>
    <s v="Line C"/>
    <s v="Water Treatment Chemicals"/>
    <s v="Night"/>
    <s v="A. Wanjiku"/>
    <n v="1767"/>
    <n v="1752"/>
    <n v="57"/>
    <n v="1695"/>
    <n v="78.8"/>
    <n v="6.3"/>
    <n v="89.61"/>
    <n v="156996.72"/>
    <n v="5107.7699999999995"/>
    <s v="Review"/>
    <n v="1752"/>
  </r>
  <r>
    <s v="BAT-0008"/>
    <x v="103"/>
    <x v="8"/>
    <s v="Mombasa Plant"/>
    <s v="Line A"/>
    <s v="Water Treatment Chemicals"/>
    <s v="Evening"/>
    <s v="A. Wanjiku"/>
    <n v="851"/>
    <n v="819"/>
    <n v="18"/>
    <n v="801"/>
    <n v="9.5"/>
    <n v="6.4"/>
    <n v="89.75"/>
    <n v="73505.25"/>
    <n v="1615.5"/>
    <s v="Review"/>
    <n v="819"/>
  </r>
  <r>
    <s v="BAT-0157"/>
    <x v="231"/>
    <x v="0"/>
    <s v="Mombasa Plant"/>
    <s v="Line D"/>
    <s v="Packaging Resin"/>
    <s v="Evening"/>
    <s v="Not Found"/>
    <n v="923"/>
    <n v="891"/>
    <n v="27"/>
    <n v="864"/>
    <n v="39.4"/>
    <n v="6.9"/>
    <n v="89.76"/>
    <n v="79976.160000000003"/>
    <n v="2423.52"/>
    <s v="Review"/>
    <n v="891"/>
  </r>
  <r>
    <s v="BAT-0565"/>
    <x v="232"/>
    <x v="11"/>
    <s v="Mombasa Plant"/>
    <s v="Line A"/>
    <s v="Industrial Cleaners"/>
    <s v="Evening"/>
    <s v="A. Wanjiku"/>
    <n v="1149"/>
    <n v="1028"/>
    <n v="33"/>
    <n v="995"/>
    <n v="38.5"/>
    <n v="6.1"/>
    <n v="89.77"/>
    <n v="92283.56"/>
    <n v="2962.41"/>
    <s v="Review"/>
    <n v="1028"/>
  </r>
  <r>
    <s v="BAT-0029"/>
    <x v="223"/>
    <x v="10"/>
    <s v="Nakuru Plant"/>
    <s v="Line C"/>
    <s v="Industrial Cleaners"/>
    <s v="Night"/>
    <s v="P. Otieno"/>
    <n v="1362"/>
    <n v="1245"/>
    <n v="12"/>
    <n v="1233"/>
    <n v="25.1"/>
    <n v="7.4"/>
    <n v="89.85"/>
    <n v="111863.25"/>
    <n v="1078.1999999999998"/>
    <s v="Pass"/>
    <n v="1245"/>
  </r>
  <r>
    <s v="BAT-0082"/>
    <x v="151"/>
    <x v="6"/>
    <s v="Nakuru Plant"/>
    <s v="Line C"/>
    <s v="Packaging Resin"/>
    <s v="Evening"/>
    <s v="S. Kiptoo"/>
    <n v="1430"/>
    <n v="1251"/>
    <n v="30"/>
    <n v="1221"/>
    <n v="11.1"/>
    <n v="7.8"/>
    <n v="90"/>
    <n v="112590"/>
    <n v="2700"/>
    <s v="Review"/>
    <n v="1251"/>
  </r>
  <r>
    <s v="BAT-0168"/>
    <x v="43"/>
    <x v="1"/>
    <s v="Athi River Plant"/>
    <s v="Line D"/>
    <s v="Protective Coatings"/>
    <s v="Evening"/>
    <s v="M. Hassan"/>
    <n v="1477"/>
    <n v="1524"/>
    <n v="30"/>
    <n v="1494"/>
    <n v="114.8"/>
    <n v="8.3000000000000007"/>
    <n v="90.07"/>
    <n v="137266.68"/>
    <n v="2702.1"/>
    <s v="Pass"/>
    <n v="1524"/>
  </r>
  <r>
    <s v="BAT-0229"/>
    <x v="223"/>
    <x v="10"/>
    <s v="Mombasa Plant"/>
    <s v="Line E"/>
    <s v="Water Treatment Chemicals"/>
    <s v="Evening"/>
    <s v="S. Kiptoo"/>
    <n v="1670"/>
    <n v="1521"/>
    <n v="48"/>
    <n v="1473"/>
    <n v="62.4"/>
    <n v="6.7"/>
    <n v="90.24"/>
    <n v="137255.03999999998"/>
    <n v="4331.5199999999995"/>
    <s v="Review"/>
    <n v="1521"/>
  </r>
  <r>
    <s v="BAT-0236"/>
    <x v="233"/>
    <x v="8"/>
    <s v="Athi River Plant"/>
    <s v="Line C"/>
    <s v="Construction Additives"/>
    <s v="Day"/>
    <s v="F. Ali"/>
    <n v="1243"/>
    <n v="1192"/>
    <n v="31"/>
    <n v="1161"/>
    <n v="40.1"/>
    <n v="6.1"/>
    <n v="90.39"/>
    <n v="107744.88"/>
    <n v="2802.09"/>
    <s v="Review"/>
    <n v="1192"/>
  </r>
  <r>
    <s v="BAT-0327"/>
    <x v="110"/>
    <x v="1"/>
    <s v="Mombasa Plant"/>
    <s v="Line E"/>
    <s v="Construction Additives"/>
    <s v="Night"/>
    <s v="A. Wanjiku"/>
    <n v="1439"/>
    <n v="1099"/>
    <n v="22"/>
    <n v="1077"/>
    <n v="55"/>
    <n v="7.2"/>
    <n v="90.59"/>
    <n v="99558.41"/>
    <n v="1992.98"/>
    <s v="Review"/>
    <n v="1099"/>
  </r>
  <r>
    <s v="BAT-0273"/>
    <x v="210"/>
    <x v="0"/>
    <s v="Nakuru Plant"/>
    <s v="Line C"/>
    <s v="Water Treatment Chemicals"/>
    <s v="Evening"/>
    <s v="P. Otieno"/>
    <n v="1257"/>
    <n v="1289"/>
    <n v="18"/>
    <n v="1271"/>
    <n v="115"/>
    <n v="8.1"/>
    <n v="90.64"/>
    <n v="116834.96"/>
    <n v="1631.52"/>
    <s v="Pass"/>
    <n v="1289"/>
  </r>
  <r>
    <s v="BAT-0309"/>
    <x v="89"/>
    <x v="4"/>
    <s v="Mombasa Plant"/>
    <s v="Line E"/>
    <s v="Packaging Resin"/>
    <s v="Day"/>
    <s v="A. Wanjiku"/>
    <n v="729"/>
    <n v="766"/>
    <n v="7"/>
    <n v="759"/>
    <n v="35.799999999999997"/>
    <n v="6.5"/>
    <n v="90.85"/>
    <n v="69591.099999999991"/>
    <n v="635.94999999999993"/>
    <s v="Pass"/>
    <n v="766"/>
  </r>
  <r>
    <s v="BAT-0057"/>
    <x v="223"/>
    <x v="10"/>
    <s v="Nakuru Plant"/>
    <s v="Line E"/>
    <s v="Protective Coatings"/>
    <s v="Day"/>
    <s v="R. Njeri"/>
    <n v="1195"/>
    <n v="1230"/>
    <n v="19"/>
    <n v="1211"/>
    <n v="123.7"/>
    <n v="6.3"/>
    <n v="91.01"/>
    <n v="111942.3"/>
    <n v="1729.19"/>
    <s v="Pass"/>
    <n v="1230"/>
  </r>
  <r>
    <s v="BAT-0522"/>
    <x v="234"/>
    <x v="0"/>
    <s v="Athi River Plant"/>
    <s v="Line E"/>
    <s v="Construction Additives"/>
    <s v="Night"/>
    <s v="R. Njeri"/>
    <n v="1266"/>
    <n v="1426"/>
    <n v="45"/>
    <n v="1381"/>
    <n v="29.9"/>
    <n v="7.4"/>
    <n v="91.55"/>
    <n v="130550.3"/>
    <n v="4119.75"/>
    <s v="Review"/>
    <n v="1426"/>
  </r>
  <r>
    <s v="BAT-0380"/>
    <x v="235"/>
    <x v="4"/>
    <s v="Mombasa Plant"/>
    <s v="Line E"/>
    <s v="Industrial Cleaners"/>
    <s v="Night"/>
    <s v="F. Ali"/>
    <n v="1086"/>
    <n v="1242"/>
    <n v="43"/>
    <n v="1199"/>
    <n v="8.9"/>
    <n v="8.1"/>
    <n v="91.62"/>
    <n v="113792.04000000001"/>
    <n v="3939.6600000000003"/>
    <s v="Review"/>
    <n v="1242"/>
  </r>
  <r>
    <s v="BAT-0225"/>
    <x v="220"/>
    <x v="8"/>
    <s v="Athi River Plant"/>
    <s v="Line D"/>
    <s v="Packaging Resin"/>
    <s v="Day"/>
    <s v="S. Kiptoo"/>
    <n v="906"/>
    <n v="809"/>
    <n v="5"/>
    <n v="804"/>
    <n v="115.4"/>
    <n v="8.1"/>
    <n v="91.69"/>
    <n v="74177.209999999992"/>
    <n v="458.45"/>
    <s v="Pass"/>
    <n v="809"/>
  </r>
  <r>
    <s v="BAT-0096"/>
    <x v="4"/>
    <x v="4"/>
    <s v="Nakuru Plant"/>
    <s v="Line B"/>
    <s v="Water Treatment Chemicals"/>
    <s v="Day"/>
    <s v="D. Kamau"/>
    <n v="779"/>
    <n v="704"/>
    <n v="5"/>
    <n v="699"/>
    <n v="22.6"/>
    <n v="8.1"/>
    <n v="92.2"/>
    <n v="64908.800000000003"/>
    <n v="461"/>
    <s v="Pass"/>
    <n v="704"/>
  </r>
  <r>
    <s v="BAT-0466"/>
    <x v="236"/>
    <x v="3"/>
    <s v="Nakuru Plant"/>
    <s v="Line D"/>
    <s v="Packaging Resin"/>
    <s v="Evening"/>
    <s v="S. Kiptoo"/>
    <n v="736"/>
    <n v="834"/>
    <n v="10"/>
    <n v="824"/>
    <n v="57.4"/>
    <n v="6.9"/>
    <n v="92.31"/>
    <n v="76986.540000000008"/>
    <n v="923.1"/>
    <s v="Pass"/>
    <n v="834"/>
  </r>
  <r>
    <s v="BAT-0325"/>
    <x v="86"/>
    <x v="3"/>
    <s v="Athi River Plant"/>
    <s v="Line E"/>
    <s v="Water Treatment Chemicals"/>
    <s v="Day"/>
    <s v="R. Njeri"/>
    <n v="816"/>
    <n v="726"/>
    <n v="21"/>
    <n v="705"/>
    <n v="33.4"/>
    <n v="7.8"/>
    <n v="92.44"/>
    <n v="67111.44"/>
    <n v="1941.24"/>
    <s v="Review"/>
    <n v="726"/>
  </r>
  <r>
    <s v="BAT-0028"/>
    <x v="237"/>
    <x v="2"/>
    <s v="Athi River Plant"/>
    <s v="Line D"/>
    <s v="Industrial Cleaners"/>
    <s v="Day"/>
    <s v="F. Ali"/>
    <n v="1144"/>
    <n v="1136"/>
    <n v="18"/>
    <n v="1118"/>
    <n v="31.6"/>
    <n v="6.5"/>
    <n v="92.71"/>
    <n v="105318.56"/>
    <n v="1668.78"/>
    <s v="Pass"/>
    <n v="1136"/>
  </r>
  <r>
    <s v="BAT-0055"/>
    <x v="238"/>
    <x v="10"/>
    <s v="Nakuru Plant"/>
    <s v="Line E"/>
    <s v="Construction Additives"/>
    <s v="Night"/>
    <s v="F. Ali"/>
    <n v="1372"/>
    <n v="1174"/>
    <n v="35"/>
    <n v="1139"/>
    <n v="1.2"/>
    <n v="6.7"/>
    <n v="92.97"/>
    <n v="109146.78"/>
    <n v="3253.95"/>
    <s v="Review"/>
    <n v="1174"/>
  </r>
  <r>
    <s v="BAT-0492"/>
    <x v="239"/>
    <x v="11"/>
    <s v="Athi River Plant"/>
    <s v="Line B"/>
    <s v="Water Treatment Chemicals"/>
    <s v="Day"/>
    <s v="D. Kamau"/>
    <n v="1175"/>
    <n v="942"/>
    <n v="26"/>
    <n v="916"/>
    <n v="54.9"/>
    <n v="6.6"/>
    <n v="93.21"/>
    <n v="87803.819999999992"/>
    <n v="2423.46"/>
    <s v="Review"/>
    <n v="942"/>
  </r>
  <r>
    <s v="BAT-0556"/>
    <x v="66"/>
    <x v="10"/>
    <s v="Mombasa Plant"/>
    <s v="Line C"/>
    <s v="Water Treatment Chemicals"/>
    <s v="Evening"/>
    <s v="F. Ali"/>
    <n v="1369"/>
    <n v="1368"/>
    <n v="35"/>
    <n v="1333"/>
    <n v="9.5"/>
    <n v="6.2"/>
    <n v="93.35"/>
    <n v="127702.79999999999"/>
    <n v="3267.25"/>
    <s v="Review"/>
    <n v="1368"/>
  </r>
  <r>
    <s v="BAT-0077"/>
    <x v="240"/>
    <x v="7"/>
    <s v="Mombasa Plant"/>
    <s v="Line C"/>
    <s v="Protective Coatings"/>
    <s v="Night"/>
    <s v="P. Otieno"/>
    <n v="1473"/>
    <n v="1225"/>
    <n v="16"/>
    <n v="1209"/>
    <n v="101"/>
    <n v="8.1999999999999993"/>
    <n v="93.42"/>
    <n v="114439.5"/>
    <n v="1494.72"/>
    <s v="Pass"/>
    <n v="1225"/>
  </r>
  <r>
    <s v="BAT-0306"/>
    <x v="224"/>
    <x v="0"/>
    <s v="Mombasa Plant"/>
    <s v="Line E"/>
    <s v="Packaging Resin"/>
    <s v="Night"/>
    <s v="A. Wanjiku"/>
    <n v="1502"/>
    <n v="1084"/>
    <n v="21"/>
    <n v="1063"/>
    <s v=""/>
    <n v="7.1"/>
    <n v="93.97"/>
    <n v="101863.48"/>
    <n v="1973.37"/>
    <s v="Pass"/>
    <n v="1084"/>
  </r>
  <r>
    <s v="BAT-0045"/>
    <x v="198"/>
    <x v="5"/>
    <s v="Mombasa Plant"/>
    <s v="Line A"/>
    <s v="Construction Additives"/>
    <s v="Day"/>
    <s v="D. Kamau"/>
    <n v="709"/>
    <n v="733"/>
    <n v="12"/>
    <n v="721"/>
    <n v="28.2"/>
    <n v="6.8"/>
    <n v="94.01"/>
    <n v="68909.33"/>
    <n v="1128.1200000000001"/>
    <s v="Pass"/>
    <n v="733"/>
  </r>
  <r>
    <s v="BAT-0009"/>
    <x v="57"/>
    <x v="1"/>
    <s v="Athi River Plant"/>
    <s v="Line E"/>
    <s v="Water Treatment Chemicals"/>
    <s v="Evening"/>
    <s v="J. Mwangi"/>
    <n v="708"/>
    <n v="517"/>
    <n v="14"/>
    <n v="503"/>
    <n v="41.1"/>
    <n v="7.2"/>
    <n v="94.15"/>
    <n v="48675.55"/>
    <n v="1318.1000000000001"/>
    <s v="Review"/>
    <n v="517"/>
  </r>
  <r>
    <s v="BAT-0265"/>
    <x v="241"/>
    <x v="3"/>
    <s v="Athi River Plant"/>
    <s v="Line A"/>
    <s v="Construction Additives"/>
    <s v="Evening"/>
    <s v="F. Ali"/>
    <n v="1532"/>
    <n v="1347"/>
    <n v="44"/>
    <n v="1303"/>
    <n v="7.9"/>
    <n v="6.1"/>
    <n v="94.37"/>
    <n v="127116.39"/>
    <n v="4152.2800000000007"/>
    <s v="Review"/>
    <n v="1347"/>
  </r>
  <r>
    <s v="BAT-0089"/>
    <x v="227"/>
    <x v="2"/>
    <s v="Mombasa Plant"/>
    <s v="Line E"/>
    <s v="Industrial Cleaners"/>
    <s v="Evening"/>
    <s v="R. Njeri"/>
    <n v="1725"/>
    <n v="1678"/>
    <n v="36"/>
    <n v="1642"/>
    <n v="43"/>
    <n v="7"/>
    <n v="94.43"/>
    <n v="158453.54"/>
    <n v="3399.4800000000005"/>
    <s v="Review"/>
    <n v="1678"/>
  </r>
  <r>
    <s v="BAT-0074"/>
    <x v="0"/>
    <x v="0"/>
    <s v="Mombasa Plant"/>
    <s v="Line A"/>
    <s v="Water Treatment Chemicals"/>
    <s v="Evening"/>
    <s v="P. Otieno"/>
    <n v="1326"/>
    <n v="1223"/>
    <n v="39"/>
    <n v="1184"/>
    <n v="13.8"/>
    <n v="7.1"/>
    <n v="94.63"/>
    <n v="115732.48999999999"/>
    <n v="3690.5699999999997"/>
    <s v="Review"/>
    <n v="1223"/>
  </r>
  <r>
    <s v="BAT-0019"/>
    <x v="68"/>
    <x v="11"/>
    <s v="Mombasa Plant"/>
    <s v="Line B"/>
    <s v="Water Treatment Chemicals"/>
    <s v="Night"/>
    <s v="R. Njeri"/>
    <n v="1589"/>
    <n v="1462"/>
    <n v="4"/>
    <n v="1458"/>
    <n v="48.2"/>
    <n v="6.1"/>
    <n v="94.95"/>
    <n v="138816.9"/>
    <n v="379.8"/>
    <s v="Pass"/>
    <n v="1462"/>
  </r>
  <r>
    <s v="BAT-0217"/>
    <x v="63"/>
    <x v="5"/>
    <s v="Athi River Plant"/>
    <s v="Line C"/>
    <s v="Water Treatment Chemicals"/>
    <s v="Evening"/>
    <s v="P. Otieno"/>
    <n v="1361"/>
    <n v="1089"/>
    <n v="30"/>
    <n v="1059"/>
    <n v="36"/>
    <n v="6.8"/>
    <n v="95.01"/>
    <n v="103465.89"/>
    <n v="2850.3"/>
    <s v="Review"/>
    <n v="1089"/>
  </r>
  <r>
    <s v="BAT-0245"/>
    <x v="207"/>
    <x v="9"/>
    <s v="Athi River Plant"/>
    <s v="Line A"/>
    <s v="Water Treatment Chemicals"/>
    <s v="Day"/>
    <s v="S. Kiptoo"/>
    <n v="1456"/>
    <n v="1466"/>
    <n v="44"/>
    <n v="1422"/>
    <n v="17.100000000000001"/>
    <n v="6.4"/>
    <n v="95.03"/>
    <n v="139313.98000000001"/>
    <n v="4181.32"/>
    <s v="Review"/>
    <n v="1466"/>
  </r>
  <r>
    <s v="BAT-0423"/>
    <x v="39"/>
    <x v="2"/>
    <s v="Athi River Plant"/>
    <s v="Line D"/>
    <s v="Industrial Cleaners"/>
    <s v="Night"/>
    <s v="F. Ali"/>
    <n v="1284"/>
    <n v="1320"/>
    <n v="42"/>
    <n v="1278"/>
    <n v="118.1"/>
    <n v="6.8"/>
    <n v="95.59"/>
    <n v="126178.8"/>
    <n v="4014.78"/>
    <s v="Review"/>
    <n v="1320"/>
  </r>
  <r>
    <s v="BAT-0173"/>
    <x v="2"/>
    <x v="2"/>
    <s v="Athi River Plant"/>
    <s v="Line E"/>
    <s v="Construction Additives"/>
    <s v="Evening"/>
    <s v="M. Hassan"/>
    <n v="914"/>
    <n v="991"/>
    <n v="17"/>
    <n v="974"/>
    <n v="11.1"/>
    <n v="8.3000000000000007"/>
    <n v="95.75"/>
    <n v="94888.25"/>
    <n v="1627.75"/>
    <s v="Pass"/>
    <n v="991"/>
  </r>
  <r>
    <s v="BAT-0193"/>
    <x v="216"/>
    <x v="9"/>
    <s v="Mombasa Plant"/>
    <s v="Line C"/>
    <s v="Industrial Cleaners"/>
    <s v="Night"/>
    <s v="P. Otieno"/>
    <n v="1293"/>
    <n v="1148"/>
    <n v="35"/>
    <n v="1113"/>
    <n v="81.400000000000006"/>
    <n v="8.5"/>
    <n v="95.92"/>
    <n v="110116.16"/>
    <n v="3357.2000000000003"/>
    <s v="Review"/>
    <n v="1148"/>
  </r>
  <r>
    <s v="BAT-0351"/>
    <x v="242"/>
    <x v="10"/>
    <s v="Mombasa Plant"/>
    <s v="Line C"/>
    <s v="Industrial Cleaners"/>
    <s v="Day"/>
    <s v="P. Otieno"/>
    <n v="1180"/>
    <n v="1094"/>
    <n v="4"/>
    <n v="1090"/>
    <n v="58.1"/>
    <n v="6.4"/>
    <n v="96"/>
    <n v="105024"/>
    <n v="384"/>
    <s v="Pass"/>
    <n v="1094"/>
  </r>
  <r>
    <s v="BAT-0262"/>
    <x v="243"/>
    <x v="1"/>
    <s v="Nakuru Plant"/>
    <s v="Line E"/>
    <s v="Water Treatment Chemicals"/>
    <s v="Day"/>
    <s v="F. Ali"/>
    <n v="1238"/>
    <n v="1135"/>
    <n v="13"/>
    <n v="1122"/>
    <n v="58.5"/>
    <n v="6.1"/>
    <n v="96.03"/>
    <n v="108994.05"/>
    <n v="1248.3900000000001"/>
    <s v="Pass"/>
    <n v="1135"/>
  </r>
  <r>
    <s v="BAT-0515"/>
    <x v="71"/>
    <x v="3"/>
    <s v="Athi River Plant"/>
    <s v="Line A"/>
    <s v="Construction Additives"/>
    <s v="Night"/>
    <s v="S. Kiptoo"/>
    <n v="1790"/>
    <n v="1400"/>
    <n v="19"/>
    <n v="1381"/>
    <n v="85.6"/>
    <n v="8.4"/>
    <n v="96.12"/>
    <n v="134568"/>
    <n v="1826.2800000000002"/>
    <s v="Pass"/>
    <n v="1400"/>
  </r>
  <r>
    <s v="BAT-0095"/>
    <x v="27"/>
    <x v="11"/>
    <s v="Athi River Plant"/>
    <s v="Line D"/>
    <s v="Protective Coatings"/>
    <s v="Evening"/>
    <s v="D. Kamau"/>
    <n v="1348"/>
    <n v="1333"/>
    <n v="8"/>
    <n v="1325"/>
    <n v="78.099999999999994"/>
    <n v="8.1"/>
    <n v="96.33"/>
    <n v="128407.89"/>
    <n v="770.64"/>
    <s v="Pass"/>
    <n v="1333"/>
  </r>
  <r>
    <s v="BAT-0576"/>
    <x v="244"/>
    <x v="7"/>
    <s v="Nakuru Plant"/>
    <s v="Line E"/>
    <s v="Construction Additives"/>
    <s v="Day"/>
    <s v="M. Hassan"/>
    <n v="1147"/>
    <n v="1238"/>
    <n v="40"/>
    <n v="1198"/>
    <n v="13.6"/>
    <n v="7.3"/>
    <n v="96.36"/>
    <n v="119293.68"/>
    <n v="3854.4"/>
    <s v="Review"/>
    <n v="1238"/>
  </r>
  <r>
    <s v="BAT-0210"/>
    <x v="47"/>
    <x v="2"/>
    <s v="Athi River Plant"/>
    <s v="Line B"/>
    <s v="Packaging Resin"/>
    <s v="Day"/>
    <s v="F. Ali"/>
    <n v="738"/>
    <n v="535"/>
    <n v="16"/>
    <n v="519"/>
    <n v="95.9"/>
    <n v="6.8"/>
    <n v="96.6"/>
    <n v="51681"/>
    <n v="1545.6"/>
    <s v="Review"/>
    <n v="535"/>
  </r>
  <r>
    <s v="BAT-0124"/>
    <x v="245"/>
    <x v="6"/>
    <s v="Nakuru Plant"/>
    <s v="Line E"/>
    <s v="Construction Additives"/>
    <s v="Night"/>
    <s v="J. Mwangi"/>
    <n v="708"/>
    <n v="663"/>
    <n v="5"/>
    <n v="658"/>
    <n v="5.7"/>
    <n v="7.1"/>
    <n v="96.7"/>
    <n v="64112.1"/>
    <n v="483.5"/>
    <s v="Pass"/>
    <n v="663"/>
  </r>
  <r>
    <s v="BAT-0474"/>
    <x v="116"/>
    <x v="6"/>
    <s v="Nakuru Plant"/>
    <s v="Line C"/>
    <s v="Water Treatment Chemicals"/>
    <s v="Night"/>
    <s v="S. Kiptoo"/>
    <n v="1666"/>
    <n v="1608"/>
    <n v="20"/>
    <n v="1588"/>
    <n v="25.3"/>
    <n v="6.6"/>
    <n v="96.74"/>
    <n v="155557.91999999998"/>
    <n v="1934.8"/>
    <s v="Pass"/>
    <n v="1608"/>
  </r>
  <r>
    <s v="BAT-0046"/>
    <x v="84"/>
    <x v="3"/>
    <s v="Athi River Plant"/>
    <s v="Line D"/>
    <s v="Water Treatment Chemicals"/>
    <s v="Evening"/>
    <s v="J. Mwangi"/>
    <n v="1073"/>
    <n v="1022"/>
    <n v="23"/>
    <n v="999"/>
    <n v="39.799999999999997"/>
    <n v="8.5"/>
    <n v="96.79"/>
    <n v="98919.38"/>
    <n v="2226.17"/>
    <s v="Review"/>
    <n v="1022"/>
  </r>
  <r>
    <s v="BAT-0537"/>
    <x v="246"/>
    <x v="6"/>
    <s v="Mombasa Plant"/>
    <s v="Line E"/>
    <s v="Industrial Cleaners"/>
    <s v="Night"/>
    <s v="M. Hassan"/>
    <n v="1104"/>
    <n v="1007"/>
    <n v="23"/>
    <n v="984"/>
    <n v="5.8"/>
    <n v="7.2"/>
    <n v="96.86"/>
    <n v="97538.02"/>
    <n v="2227.7800000000002"/>
    <s v="Review"/>
    <n v="1007"/>
  </r>
  <r>
    <s v="BAT-0378"/>
    <x v="174"/>
    <x v="8"/>
    <s v="Athi River Plant"/>
    <s v="Line C"/>
    <s v="Protective Coatings"/>
    <s v="Night"/>
    <s v="J. Mwangi"/>
    <n v="878"/>
    <n v="848"/>
    <n v="5"/>
    <n v="843"/>
    <n v="35.4"/>
    <n v="6.3"/>
    <n v="99"/>
    <n v="83952"/>
    <n v="495"/>
    <s v="Pass"/>
    <n v="848"/>
  </r>
  <r>
    <s v="BAT-0520"/>
    <x v="247"/>
    <x v="9"/>
    <s v="Nakuru Plant"/>
    <s v="Line E"/>
    <s v="Packaging Resin"/>
    <s v="Night"/>
    <s v="S. Kiptoo"/>
    <n v="1183"/>
    <n v="1280"/>
    <n v="42"/>
    <n v="1238"/>
    <n v="52.2"/>
    <n v="7.2"/>
    <n v="99.06"/>
    <n v="126796.8"/>
    <n v="4160.5200000000004"/>
    <s v="Review"/>
    <n v="1280"/>
  </r>
  <r>
    <s v="BAT-0222"/>
    <x v="246"/>
    <x v="6"/>
    <s v="Athi River Plant"/>
    <s v="Line C"/>
    <s v="Industrial Cleaners"/>
    <s v="Night"/>
    <s v="P. Otieno"/>
    <n v="1284"/>
    <n v="1250"/>
    <n v="22"/>
    <n v="1228"/>
    <n v="1.5"/>
    <n v="7.1"/>
    <n v="99.34"/>
    <n v="124175"/>
    <n v="2185.48"/>
    <s v="Pass"/>
    <n v="1250"/>
  </r>
  <r>
    <s v="BAT-0204"/>
    <x v="213"/>
    <x v="8"/>
    <s v="Nakuru Plant"/>
    <s v="Line E"/>
    <s v="Water Treatment Chemicals"/>
    <s v="Evening"/>
    <s v="F. Ali"/>
    <n v="929"/>
    <n v="979"/>
    <n v="17"/>
    <n v="962"/>
    <n v="12.5"/>
    <n v="8.1999999999999993"/>
    <n v="99.57"/>
    <n v="97479.03"/>
    <n v="1692.6899999999998"/>
    <s v="Pass"/>
    <n v="979"/>
  </r>
  <r>
    <s v="BAT-0506"/>
    <x v="248"/>
    <x v="6"/>
    <s v="Nakuru Plant"/>
    <s v="Line E"/>
    <s v="Packaging Resin"/>
    <s v="Day"/>
    <s v="D. Kamau"/>
    <n v="1102"/>
    <n v="968"/>
    <n v="30"/>
    <n v="938"/>
    <n v="37.200000000000003"/>
    <n v="7.7"/>
    <n v="99.63"/>
    <n v="96441.84"/>
    <n v="2988.8999999999996"/>
    <s v="Review"/>
    <n v="968"/>
  </r>
  <r>
    <s v="BAT-0386"/>
    <x v="249"/>
    <x v="0"/>
    <s v="Nakuru Plant"/>
    <s v="Line B"/>
    <s v="Industrial Cleaners"/>
    <s v="Evening"/>
    <s v="D. Kamau"/>
    <n v="1752"/>
    <n v="1988"/>
    <n v="58"/>
    <n v="1930"/>
    <n v="59.6"/>
    <n v="7.7"/>
    <n v="99.68"/>
    <n v="198163.84000000003"/>
    <n v="5781.4400000000005"/>
    <s v="Review"/>
    <n v="1988"/>
  </r>
  <r>
    <s v="BAT-0249"/>
    <x v="106"/>
    <x v="2"/>
    <s v="Mombasa Plant"/>
    <s v="Line C"/>
    <s v="Water Treatment Chemicals"/>
    <s v="Day"/>
    <s v="F. Ali"/>
    <n v="1515"/>
    <n v="1564"/>
    <n v="5"/>
    <n v="1559"/>
    <n v="86.9"/>
    <n v="7.1"/>
    <n v="99.79"/>
    <n v="156071.56"/>
    <n v="498.95000000000005"/>
    <s v="Pass"/>
    <n v="1564"/>
  </r>
  <r>
    <s v="BAT-0487"/>
    <x v="162"/>
    <x v="7"/>
    <s v="Nakuru Plant"/>
    <s v="Line A"/>
    <s v="Construction Additives"/>
    <s v="Night"/>
    <s v="F. Ali"/>
    <n v="1523"/>
    <n v="1479"/>
    <n v="31"/>
    <n v="1448"/>
    <n v="64.5"/>
    <n v="6"/>
    <n v="99.9"/>
    <n v="147752.1"/>
    <n v="3096.9"/>
    <s v="Review"/>
    <n v="1479"/>
  </r>
  <r>
    <s v="BAT-0141"/>
    <x v="250"/>
    <x v="3"/>
    <s v="Nakuru Plant"/>
    <s v="Line D"/>
    <s v="Water Treatment Chemicals"/>
    <s v="Night"/>
    <s v="P. Otieno"/>
    <n v="1195"/>
    <n v="1051"/>
    <n v="10"/>
    <n v="1041"/>
    <n v="52.2"/>
    <n v="8.1999999999999993"/>
    <n v="100.08"/>
    <n v="105184.08"/>
    <n v="1000.8"/>
    <s v="Pass"/>
    <n v="1051"/>
  </r>
  <r>
    <s v="BAT-0377"/>
    <x v="208"/>
    <x v="8"/>
    <s v="Athi River Plant"/>
    <s v="Line A"/>
    <s v="Water Treatment Chemicals"/>
    <s v="Night"/>
    <s v="R. Njeri"/>
    <n v="1012"/>
    <n v="960"/>
    <n v="26"/>
    <n v="934"/>
    <n v="30.9"/>
    <n v="6.9"/>
    <n v="100.37"/>
    <n v="96355.200000000012"/>
    <n v="2609.62"/>
    <s v="Review"/>
    <n v="960"/>
  </r>
  <r>
    <s v="BAT-0017"/>
    <x v="20"/>
    <x v="10"/>
    <s v="Athi River Plant"/>
    <s v="Line E"/>
    <s v="Construction Additives"/>
    <s v="Day"/>
    <s v="R. Njeri"/>
    <n v="748"/>
    <n v="682"/>
    <n v="23"/>
    <n v="659"/>
    <n v="46.1"/>
    <n v="7.7"/>
    <n v="100.57"/>
    <n v="68588.739999999991"/>
    <n v="2313.1099999999997"/>
    <s v="Review"/>
    <n v="682"/>
  </r>
  <r>
    <s v="BAT-0004"/>
    <x v="131"/>
    <x v="6"/>
    <s v="Mombasa Plant"/>
    <s v="Line E"/>
    <s v="Packaging Resin"/>
    <s v="Night"/>
    <s v="J. Mwangi"/>
    <n v="1104"/>
    <n v="1124"/>
    <n v="22"/>
    <n v="1102"/>
    <n v="103.9"/>
    <n v="8.1"/>
    <n v="100.88"/>
    <n v="113389.12"/>
    <n v="2219.3599999999997"/>
    <s v="Pass"/>
    <n v="1124"/>
  </r>
  <r>
    <s v="BAT-0349"/>
    <x v="75"/>
    <x v="1"/>
    <s v="Mombasa Plant"/>
    <s v="Line A"/>
    <s v="Packaging Resin"/>
    <s v="Evening"/>
    <s v="F. Ali"/>
    <n v="1654"/>
    <n v="1498"/>
    <n v="41"/>
    <n v="1457"/>
    <n v="73.5"/>
    <n v="8.1999999999999993"/>
    <n v="100.88"/>
    <n v="151118.24"/>
    <n v="4136.08"/>
    <s v="Review"/>
    <n v="1498"/>
  </r>
  <r>
    <s v="BAT-0064"/>
    <x v="99"/>
    <x v="3"/>
    <s v="Mombasa Plant"/>
    <s v="Line C"/>
    <s v="Construction Additives"/>
    <s v="Evening"/>
    <s v="R. Njeri"/>
    <n v="1571"/>
    <n v="1429"/>
    <n v="29"/>
    <n v="1400"/>
    <n v="22"/>
    <n v="6.3"/>
    <n v="100.92"/>
    <n v="144214.68"/>
    <n v="2926.68"/>
    <s v="Review"/>
    <n v="1429"/>
  </r>
  <r>
    <s v="BAT-0590"/>
    <x v="144"/>
    <x v="11"/>
    <s v="Mombasa Plant"/>
    <s v="Line A"/>
    <s v="Industrial Cleaners"/>
    <s v="Evening"/>
    <s v="S. Kiptoo"/>
    <n v="721"/>
    <n v="657"/>
    <n v="14"/>
    <n v="643"/>
    <n v="22.8"/>
    <n v="8.5"/>
    <n v="101.06"/>
    <n v="66396.42"/>
    <n v="1414.8400000000001"/>
    <s v="Review"/>
    <n v="657"/>
  </r>
  <r>
    <s v="BAT-0137"/>
    <x v="251"/>
    <x v="9"/>
    <s v="Nakuru Plant"/>
    <s v="Line B"/>
    <s v="Industrial Cleaners"/>
    <s v="Day"/>
    <s v="M. Hassan"/>
    <n v="1710"/>
    <n v="1641"/>
    <n v="15"/>
    <n v="1626"/>
    <n v="89.6"/>
    <n v="6.6"/>
    <n v="101.32"/>
    <n v="166266.12"/>
    <n v="1519.8"/>
    <s v="Pass"/>
    <n v="1641"/>
  </r>
  <r>
    <s v="BAT-0473"/>
    <x v="111"/>
    <x v="6"/>
    <s v="Athi River Plant"/>
    <s v="Line C"/>
    <s v="Construction Additives"/>
    <s v="Evening"/>
    <s v="J. Mwangi"/>
    <n v="754"/>
    <n v="673"/>
    <n v="12"/>
    <n v="661"/>
    <n v="25.8"/>
    <n v="6.3"/>
    <n v="101.67"/>
    <n v="68423.91"/>
    <n v="1220.04"/>
    <s v="Pass"/>
    <n v="673"/>
  </r>
  <r>
    <s v="BAT-0567"/>
    <x v="55"/>
    <x v="1"/>
    <s v="Athi River Plant"/>
    <s v="Line D"/>
    <s v="Water Treatment Chemicals"/>
    <s v="Day"/>
    <s v="S. Kiptoo"/>
    <n v="1779"/>
    <n v="1519"/>
    <n v="50"/>
    <n v="1469"/>
    <n v="56.9"/>
    <n v="7.6"/>
    <n v="102.19"/>
    <n v="155226.60999999999"/>
    <n v="5109.5"/>
    <s v="Review"/>
    <n v="1519"/>
  </r>
  <r>
    <s v="BAT-0113"/>
    <x v="48"/>
    <x v="10"/>
    <s v="Athi River Plant"/>
    <s v="Line D"/>
    <s v="Packaging Resin"/>
    <s v="Day"/>
    <s v="M. Hassan"/>
    <n v="908"/>
    <n v="805"/>
    <n v="5"/>
    <n v="800"/>
    <n v="22.4"/>
    <n v="6.2"/>
    <n v="102.77"/>
    <n v="82729.849999999991"/>
    <n v="513.85"/>
    <s v="Pass"/>
    <n v="805"/>
  </r>
  <r>
    <s v="BAT-0154"/>
    <x v="21"/>
    <x v="4"/>
    <s v="Athi River Plant"/>
    <s v="Line C"/>
    <s v="Protective Coatings"/>
    <s v="Night"/>
    <s v="F. Ali"/>
    <n v="1116"/>
    <n v="1065"/>
    <n v="34"/>
    <n v="1031"/>
    <n v="29.3"/>
    <n v="7.5"/>
    <n v="102.96"/>
    <n v="109652.4"/>
    <n v="3500.64"/>
    <s v="Review"/>
    <n v="1065"/>
  </r>
  <r>
    <s v="BAT-0518"/>
    <x v="198"/>
    <x v="5"/>
    <s v="Mombasa Plant"/>
    <s v="Line C"/>
    <s v="Construction Additives"/>
    <s v="Evening"/>
    <s v="J. Mwangi"/>
    <n v="1166"/>
    <n v="1219"/>
    <n v="9"/>
    <n v="1210"/>
    <n v="75.599999999999994"/>
    <n v="6.8"/>
    <n v="103.1"/>
    <n v="125678.9"/>
    <n v="927.9"/>
    <s v="Pass"/>
    <n v="1219"/>
  </r>
  <r>
    <s v="BAT-0398"/>
    <x v="171"/>
    <x v="1"/>
    <s v="Athi River Plant"/>
    <s v="Line A"/>
    <s v="Packaging Resin"/>
    <s v="Evening"/>
    <s v="F. Ali"/>
    <n v="1725"/>
    <n v="1782"/>
    <n v="13"/>
    <n v="1769"/>
    <n v="17.600000000000001"/>
    <n v="7.3"/>
    <n v="103.54"/>
    <n v="184508.28"/>
    <n v="1346.02"/>
    <s v="Pass"/>
    <n v="1782"/>
  </r>
  <r>
    <s v="BAT-0427"/>
    <x v="252"/>
    <x v="11"/>
    <s v="Nakuru Plant"/>
    <s v="Line C"/>
    <s v="Water Treatment Chemicals"/>
    <s v="Day"/>
    <s v="Not Found"/>
    <n v="874"/>
    <n v="903"/>
    <n v="24"/>
    <n v="879"/>
    <n v="7.9"/>
    <n v="7.6"/>
    <n v="103.85"/>
    <n v="93776.549999999988"/>
    <n v="2492.3999999999996"/>
    <s v="Review"/>
    <n v="903"/>
  </r>
  <r>
    <s v="BAT-0528"/>
    <x v="107"/>
    <x v="0"/>
    <s v="Nakuru Plant"/>
    <s v="Line B"/>
    <s v="Construction Additives"/>
    <s v="Evening"/>
    <s v="R. Njeri"/>
    <n v="1787"/>
    <n v="1602"/>
    <n v="52"/>
    <n v="1550"/>
    <n v="49.7"/>
    <n v="8.4"/>
    <n v="104.45"/>
    <n v="167328.9"/>
    <n v="5431.4000000000005"/>
    <s v="Review"/>
    <n v="1602"/>
  </r>
  <r>
    <s v="BAT-0335"/>
    <x v="253"/>
    <x v="6"/>
    <s v="Mombasa Plant"/>
    <s v="Line B"/>
    <s v="Packaging Resin"/>
    <s v="Night"/>
    <s v="P. Otieno"/>
    <n v="1414"/>
    <n v="1220"/>
    <n v="23"/>
    <n v="1197"/>
    <n v="56.3"/>
    <n v="6.1"/>
    <n v="104.74"/>
    <n v="127782.79999999999"/>
    <n v="2409.02"/>
    <s v="Pass"/>
    <n v="1220"/>
  </r>
  <r>
    <s v="BAT-0400"/>
    <x v="92"/>
    <x v="4"/>
    <s v="Athi River Plant"/>
    <s v="Line E"/>
    <s v="Packaging Resin"/>
    <s v="Day"/>
    <s v="A. Wanjiku"/>
    <n v="1202"/>
    <n v="1146"/>
    <n v="5"/>
    <n v="1141"/>
    <n v="35.700000000000003"/>
    <n v="7.5"/>
    <n v="104.87"/>
    <n v="120181.02"/>
    <n v="524.35"/>
    <s v="Pass"/>
    <n v="1146"/>
  </r>
  <r>
    <s v="BAT-0117"/>
    <x v="254"/>
    <x v="5"/>
    <s v="Athi River Plant"/>
    <s v="Line D"/>
    <s v="Protective Coatings"/>
    <s v="Day"/>
    <s v="S. Kiptoo"/>
    <n v="1341"/>
    <n v="1292"/>
    <n v="44"/>
    <n v="1248"/>
    <n v="32.1"/>
    <n v="7"/>
    <n v="105.05"/>
    <n v="135724.6"/>
    <n v="4622.2"/>
    <s v="Review"/>
    <n v="1292"/>
  </r>
  <r>
    <s v="BAT-0535"/>
    <x v="255"/>
    <x v="10"/>
    <s v="Nakuru Plant"/>
    <s v="Line E"/>
    <s v="Industrial Cleaners"/>
    <s v="Evening"/>
    <s v="F. Ali"/>
    <n v="1667"/>
    <n v="1638"/>
    <n v="27"/>
    <n v="1611"/>
    <n v="52.2"/>
    <n v="6.7"/>
    <n v="105.1"/>
    <n v="172153.8"/>
    <n v="2837.7"/>
    <s v="Pass"/>
    <n v="1638"/>
  </r>
  <r>
    <s v="BAT-0504"/>
    <x v="239"/>
    <x v="11"/>
    <s v="Athi River Plant"/>
    <s v="Line B"/>
    <s v="Protective Coatings"/>
    <s v="Night"/>
    <s v="R. Njeri"/>
    <n v="942"/>
    <n v="940"/>
    <n v="29"/>
    <n v="911"/>
    <n v="8.3000000000000007"/>
    <n v="7.5"/>
    <n v="106.21"/>
    <n v="99837.4"/>
    <n v="3080.0899999999997"/>
    <s v="Review"/>
    <n v="940"/>
  </r>
  <r>
    <s v="BAT-0557"/>
    <x v="208"/>
    <x v="8"/>
    <s v="Athi River Plant"/>
    <s v="Line E"/>
    <s v="Packaging Resin"/>
    <s v="Evening"/>
    <s v="D. Kamau"/>
    <n v="922"/>
    <n v="923"/>
    <n v="12"/>
    <n v="911"/>
    <n v="100"/>
    <n v="6.3"/>
    <n v="106.24"/>
    <n v="98059.51999999999"/>
    <n v="1274.8799999999999"/>
    <s v="Pass"/>
    <n v="923"/>
  </r>
  <r>
    <s v="BAT-0005"/>
    <x v="25"/>
    <x v="6"/>
    <s v="Mombasa Plant"/>
    <s v="Line E"/>
    <s v="Protective Coatings"/>
    <s v="Evening"/>
    <s v="S. Kiptoo"/>
    <n v="922"/>
    <n v="857"/>
    <n v="22"/>
    <n v="835"/>
    <n v="34.1"/>
    <n v="6.5"/>
    <n v="106.24"/>
    <n v="91047.679999999993"/>
    <n v="2337.2799999999997"/>
    <s v="Review"/>
    <n v="857"/>
  </r>
  <r>
    <s v="BAT-0443"/>
    <x v="58"/>
    <x v="0"/>
    <s v="Nakuru Plant"/>
    <s v="Line B"/>
    <s v="Industrial Cleaners"/>
    <s v="Night"/>
    <s v="S. Kiptoo"/>
    <n v="1633"/>
    <n v="1576"/>
    <n v="9"/>
    <n v="1567"/>
    <n v="18.3"/>
    <n v="6.9"/>
    <n v="107.06"/>
    <n v="168726.56"/>
    <n v="963.54"/>
    <s v="Pass"/>
    <n v="1576"/>
  </r>
  <r>
    <s v="BAT-0572"/>
    <x v="166"/>
    <x v="6"/>
    <s v="Athi River Plant"/>
    <s v="Line B"/>
    <s v="Water Treatment Chemicals"/>
    <s v="Night"/>
    <s v="F. Ali"/>
    <n v="991"/>
    <n v="1002"/>
    <n v="28"/>
    <n v="974"/>
    <n v="21.6"/>
    <n v="8.4"/>
    <n v="107.36"/>
    <n v="107574.72"/>
    <n v="3006.08"/>
    <s v="Review"/>
    <n v="1002"/>
  </r>
  <r>
    <s v="BAT-0484"/>
    <x v="37"/>
    <x v="2"/>
    <s v="Athi River Plant"/>
    <s v="Line A"/>
    <s v="Protective Coatings"/>
    <s v="Night"/>
    <s v="S. Kiptoo"/>
    <n v="1764"/>
    <n v="1365"/>
    <n v="28"/>
    <n v="1337"/>
    <n v="20.8"/>
    <n v="7.1"/>
    <n v="107.57"/>
    <n v="146833.04999999999"/>
    <n v="3011.96"/>
    <s v="Review"/>
    <n v="1365"/>
  </r>
  <r>
    <s v="BAT-0221"/>
    <x v="231"/>
    <x v="0"/>
    <s v="Athi River Plant"/>
    <s v="Line C"/>
    <s v="Packaging Resin"/>
    <s v="Evening"/>
    <s v="M. Hassan"/>
    <n v="1302"/>
    <n v="1189"/>
    <n v="4"/>
    <n v="1185"/>
    <n v="145.9"/>
    <n v="8.4"/>
    <n v="108.17"/>
    <n v="128614.13"/>
    <n v="432.68"/>
    <s v="Pass"/>
    <n v="1189"/>
  </r>
  <r>
    <s v="BAT-0138"/>
    <x v="256"/>
    <x v="5"/>
    <s v="Mombasa Plant"/>
    <s v="Line E"/>
    <s v="Protective Coatings"/>
    <s v="Day"/>
    <s v="R. Njeri"/>
    <n v="1132"/>
    <n v="1057"/>
    <n v="21"/>
    <n v="1036"/>
    <n v="6.5"/>
    <n v="8.1"/>
    <n v="108.24"/>
    <n v="114409.68"/>
    <n v="2273.04"/>
    <s v="Pass"/>
    <n v="1057"/>
  </r>
  <r>
    <s v="BAT-0226"/>
    <x v="257"/>
    <x v="4"/>
    <s v="Nakuru Plant"/>
    <s v="Line C"/>
    <s v="Construction Additives"/>
    <s v="Night"/>
    <s v="M. Hassan"/>
    <n v="832"/>
    <n v="804"/>
    <n v="18"/>
    <n v="786"/>
    <n v="33.299999999999997"/>
    <n v="7.3"/>
    <n v="108.52"/>
    <n v="87250.08"/>
    <n v="1953.36"/>
    <s v="Review"/>
    <n v="804"/>
  </r>
  <r>
    <s v="BAT-0275"/>
    <x v="178"/>
    <x v="6"/>
    <s v="Mombasa Plant"/>
    <s v="Line C"/>
    <s v="Construction Additives"/>
    <s v="Day"/>
    <s v="J. Mwangi"/>
    <n v="1748"/>
    <n v="1742"/>
    <n v="39"/>
    <n v="1703"/>
    <n v="50.4"/>
    <n v="7.8"/>
    <n v="108.63"/>
    <n v="189233.46"/>
    <n v="4236.57"/>
    <s v="Review"/>
    <n v="1742"/>
  </r>
  <r>
    <s v="BAT-0436"/>
    <x v="258"/>
    <x v="0"/>
    <s v="Athi River Plant"/>
    <s v="Line D"/>
    <s v="Protective Coatings"/>
    <s v="Day"/>
    <s v="R. Njeri"/>
    <n v="1358"/>
    <n v="1239"/>
    <n v="41"/>
    <n v="1198"/>
    <n v="56.2"/>
    <n v="6.4"/>
    <n v="108.8"/>
    <n v="134803.19999999998"/>
    <n v="4460.8"/>
    <s v="Review"/>
    <n v="1239"/>
  </r>
  <r>
    <s v="BAT-0408"/>
    <x v="107"/>
    <x v="0"/>
    <s v="Athi River Plant"/>
    <s v="Line B"/>
    <s v="Protective Coatings"/>
    <s v="Night"/>
    <s v="D. Kamau"/>
    <n v="1052"/>
    <n v="1130"/>
    <n v="27"/>
    <n v="1103"/>
    <n v="32.799999999999997"/>
    <n v="7.8"/>
    <n v="108.95"/>
    <n v="123113.5"/>
    <n v="2941.65"/>
    <s v="Review"/>
    <n v="1130"/>
  </r>
  <r>
    <s v="BAT-0486"/>
    <x v="196"/>
    <x v="1"/>
    <s v="Athi River Plant"/>
    <s v="Line B"/>
    <s v="Industrial Cleaners"/>
    <s v="Night"/>
    <s v="D. Kamau"/>
    <n v="1622"/>
    <n v="1550"/>
    <n v="11"/>
    <n v="1539"/>
    <n v="2"/>
    <n v="8"/>
    <n v="109.07"/>
    <n v="169058.5"/>
    <n v="1199.77"/>
    <s v="Pass"/>
    <n v="1550"/>
  </r>
  <r>
    <s v="BAT-0088"/>
    <x v="139"/>
    <x v="4"/>
    <s v="Mombasa Plant"/>
    <s v="Line C"/>
    <s v="Industrial Cleaners"/>
    <s v="Day"/>
    <s v="M. Hassan"/>
    <n v="1562"/>
    <n v="1722"/>
    <n v="59"/>
    <n v="1663"/>
    <n v="110.2"/>
    <n v="6.9"/>
    <n v="109.35"/>
    <n v="188300.69999999998"/>
    <n v="6451.65"/>
    <s v="Review"/>
    <n v="1722"/>
  </r>
  <r>
    <s v="BAT-0328"/>
    <x v="254"/>
    <x v="5"/>
    <s v="Nakuru Plant"/>
    <s v="Line D"/>
    <s v="Water Treatment Chemicals"/>
    <s v="Night"/>
    <s v="R. Njeri"/>
    <n v="1532"/>
    <n v="1403"/>
    <n v="30"/>
    <n v="1373"/>
    <n v="27.6"/>
    <n v="7.6"/>
    <n v="109.47"/>
    <n v="153586.41"/>
    <n v="3284.1"/>
    <s v="Review"/>
    <n v="1403"/>
  </r>
  <r>
    <s v="BAT-0499"/>
    <x v="3"/>
    <x v="3"/>
    <s v="Nakuru Plant"/>
    <s v="Line A"/>
    <s v="Packaging Resin"/>
    <s v="Day"/>
    <s v="D. Kamau"/>
    <n v="1164"/>
    <n v="1234"/>
    <n v="34"/>
    <n v="1200"/>
    <n v="70.400000000000006"/>
    <n v="7"/>
    <n v="109.75"/>
    <n v="135431.5"/>
    <n v="3731.5"/>
    <s v="Review"/>
    <n v="1234"/>
  </r>
  <r>
    <s v="BAT-0536"/>
    <x v="87"/>
    <x v="0"/>
    <s v="Mombasa Plant"/>
    <s v="Line E"/>
    <s v="Industrial Cleaners"/>
    <s v="Night"/>
    <s v="D. Kamau"/>
    <n v="1321"/>
    <n v="1644"/>
    <n v="33"/>
    <n v="1611"/>
    <n v="23.3"/>
    <n v="6.1"/>
    <n v="109.81"/>
    <n v="180527.64"/>
    <n v="3623.73"/>
    <s v="Review"/>
    <n v="1644"/>
  </r>
  <r>
    <s v="BAT-0592"/>
    <x v="108"/>
    <x v="11"/>
    <s v="Athi River Plant"/>
    <s v="Line D"/>
    <s v="Construction Additives"/>
    <s v="Evening"/>
    <s v="P. Otieno"/>
    <n v="1689"/>
    <n v="2005"/>
    <n v="37"/>
    <n v="1968"/>
    <n v="33.9"/>
    <n v="6.2"/>
    <n v="109.91"/>
    <n v="220369.55"/>
    <n v="4066.67"/>
    <s v="Pass"/>
    <n v="2005"/>
  </r>
  <r>
    <s v="BAT-0247"/>
    <x v="259"/>
    <x v="2"/>
    <s v="Athi River Plant"/>
    <s v="Line E"/>
    <s v="Protective Coatings"/>
    <s v="Night"/>
    <s v="P. Otieno"/>
    <n v="1303"/>
    <n v="1339"/>
    <n v="12"/>
    <n v="1327"/>
    <n v="23.4"/>
    <n v="7.6"/>
    <n v="110.05"/>
    <n v="147356.94999999998"/>
    <n v="1320.6"/>
    <s v="Pass"/>
    <n v="1339"/>
  </r>
  <r>
    <s v="BAT-0324"/>
    <x v="230"/>
    <x v="3"/>
    <s v="Athi River Plant"/>
    <s v="Line A"/>
    <s v="Industrial Cleaners"/>
    <s v="Night"/>
    <s v="D. Kamau"/>
    <n v="1291"/>
    <n v="1097"/>
    <n v="6"/>
    <n v="1091"/>
    <n v="26.3"/>
    <n v="8.3000000000000007"/>
    <n v="110.16"/>
    <n v="120845.51999999999"/>
    <n v="660.96"/>
    <s v="Pass"/>
    <n v="1097"/>
  </r>
  <r>
    <s v="BAT-0579"/>
    <x v="260"/>
    <x v="11"/>
    <s v="Mombasa Plant"/>
    <s v="Line C"/>
    <s v="Protective Coatings"/>
    <s v="Evening"/>
    <s v="M. Hassan"/>
    <n v="1348"/>
    <n v="1181"/>
    <n v="7"/>
    <n v="1174"/>
    <n v="74.400000000000006"/>
    <n v="7.8"/>
    <n v="110.44"/>
    <n v="130429.64"/>
    <n v="773.07999999999993"/>
    <s v="Pass"/>
    <n v="1181"/>
  </r>
  <r>
    <s v="BAT-0254"/>
    <x v="240"/>
    <x v="7"/>
    <s v="Mombasa Plant"/>
    <s v="Line B"/>
    <s v="Water Treatment Chemicals"/>
    <s v="Night"/>
    <s v="S. Kiptoo"/>
    <n v="1748"/>
    <n v="1774"/>
    <n v="47"/>
    <n v="1727"/>
    <n v="68"/>
    <n v="6.2"/>
    <n v="110.68"/>
    <n v="196346.32"/>
    <n v="5201.96"/>
    <s v="Review"/>
    <n v="1774"/>
  </r>
  <r>
    <s v="BAT-0205"/>
    <x v="246"/>
    <x v="6"/>
    <s v="Mombasa Plant"/>
    <s v="Line B"/>
    <s v="Water Treatment Chemicals"/>
    <s v="Night"/>
    <s v="D. Kamau"/>
    <n v="1513"/>
    <n v="1509"/>
    <n v="49"/>
    <n v="1460"/>
    <n v="45.9"/>
    <n v="6.6"/>
    <n v="110.69"/>
    <n v="167031.21"/>
    <n v="5423.8099999999995"/>
    <s v="Review"/>
    <n v="1509"/>
  </r>
  <r>
    <s v="BAT-0086"/>
    <x v="213"/>
    <x v="8"/>
    <s v="Athi River Plant"/>
    <s v="Line C"/>
    <s v="Construction Additives"/>
    <s v="Day"/>
    <s v="M. Hassan"/>
    <n v="1758"/>
    <n v="1360"/>
    <n v="26"/>
    <n v="1334"/>
    <n v="33"/>
    <n v="7.9"/>
    <n v="110.85"/>
    <n v="150756"/>
    <n v="2882.1"/>
    <s v="Pass"/>
    <n v="1360"/>
  </r>
  <r>
    <s v="BAT-0385"/>
    <x v="256"/>
    <x v="5"/>
    <s v="Nakuru Plant"/>
    <s v="Line C"/>
    <s v="Water Treatment Chemicals"/>
    <s v="Day"/>
    <s v="A. Wanjiku"/>
    <n v="1667"/>
    <n v="1330"/>
    <n v="13"/>
    <n v="1317"/>
    <n v="20"/>
    <n v="8"/>
    <n v="111.52"/>
    <n v="148321.60000000001"/>
    <n v="1449.76"/>
    <s v="Pass"/>
    <n v="1330"/>
  </r>
  <r>
    <s v="BAT-0133"/>
    <x v="70"/>
    <x v="0"/>
    <s v="Mombasa Plant"/>
    <s v="Line D"/>
    <s v="Protective Coatings"/>
    <s v="Night"/>
    <s v="M. Hassan"/>
    <n v="771"/>
    <n v="671"/>
    <n v="4"/>
    <n v="667"/>
    <n v="25.8"/>
    <n v="7"/>
    <n v="111.7"/>
    <n v="74950.7"/>
    <n v="446.8"/>
    <s v="Pass"/>
    <n v="671"/>
  </r>
  <r>
    <s v="BAT-0111"/>
    <x v="35"/>
    <x v="4"/>
    <s v="Nakuru Plant"/>
    <s v="Line D"/>
    <s v="Packaging Resin"/>
    <s v="Evening"/>
    <s v="M. Hassan"/>
    <n v="1018"/>
    <n v="946"/>
    <n v="31"/>
    <n v="915"/>
    <n v="21"/>
    <n v="6.9"/>
    <n v="111.79"/>
    <n v="105753.34000000001"/>
    <n v="3465.4900000000002"/>
    <s v="Review"/>
    <n v="946"/>
  </r>
  <r>
    <s v="BAT-0185"/>
    <x v="172"/>
    <x v="6"/>
    <s v="Mombasa Plant"/>
    <s v="Line E"/>
    <s v="Water Treatment Chemicals"/>
    <s v="Evening"/>
    <s v="F. Ali"/>
    <n v="1359"/>
    <n v="1438"/>
    <n v="25"/>
    <n v="1413"/>
    <n v="33.4"/>
    <n v="6.5"/>
    <n v="112.64"/>
    <n v="161976.32000000001"/>
    <n v="2816"/>
    <s v="Pass"/>
    <n v="1438"/>
  </r>
  <r>
    <s v="BAT-0594"/>
    <x v="261"/>
    <x v="3"/>
    <s v="Mombasa Plant"/>
    <s v="Line A"/>
    <s v="Construction Additives"/>
    <s v="Night"/>
    <s v="P. Otieno"/>
    <n v="1308"/>
    <n v="1497"/>
    <n v="9"/>
    <n v="1488"/>
    <n v="23.8"/>
    <n v="7.5"/>
    <n v="112.77"/>
    <n v="168816.69"/>
    <n v="1014.93"/>
    <s v="Pass"/>
    <n v="1497"/>
  </r>
  <r>
    <s v="BAT-0418"/>
    <x v="249"/>
    <x v="0"/>
    <s v="Nakuru Plant"/>
    <s v="Line D"/>
    <s v="Construction Additives"/>
    <s v="Day"/>
    <s v="P. Otieno"/>
    <n v="979"/>
    <n v="934"/>
    <n v="25"/>
    <n v="909"/>
    <n v="31.5"/>
    <n v="7.1"/>
    <n v="113.19"/>
    <n v="105719.45999999999"/>
    <n v="2829.75"/>
    <s v="Review"/>
    <n v="934"/>
  </r>
  <r>
    <s v="BAT-0346"/>
    <x v="262"/>
    <x v="4"/>
    <s v="Mombasa Plant"/>
    <s v="Line D"/>
    <s v="Construction Additives"/>
    <s v="Night"/>
    <s v="R. Njeri"/>
    <n v="1380"/>
    <n v="1560"/>
    <n v="5"/>
    <n v="1555"/>
    <n v="38.4"/>
    <n v="7.4"/>
    <n v="113.38"/>
    <n v="176872.8"/>
    <n v="566.9"/>
    <s v="Pass"/>
    <n v="1560"/>
  </r>
  <r>
    <s v="BAT-0525"/>
    <x v="101"/>
    <x v="4"/>
    <s v="Athi River Plant"/>
    <s v="Line D"/>
    <s v="Water Treatment Chemicals"/>
    <s v="Day"/>
    <s v="S. Kiptoo"/>
    <n v="1648"/>
    <n v="1648"/>
    <n v="31"/>
    <n v="1617"/>
    <n v="22.1"/>
    <n v="7.1"/>
    <n v="113.42"/>
    <n v="186916.16"/>
    <n v="3516.02"/>
    <s v="Pass"/>
    <n v="1648"/>
  </r>
  <r>
    <s v="BAT-0516"/>
    <x v="218"/>
    <x v="0"/>
    <s v="Athi River Plant"/>
    <s v="Line D"/>
    <s v="Industrial Cleaners"/>
    <s v="Night"/>
    <s v="J. Mwangi"/>
    <n v="1168"/>
    <n v="1129"/>
    <n v="6"/>
    <n v="1123"/>
    <n v="58.9"/>
    <n v="7.4"/>
    <n v="113.5"/>
    <n v="128141.5"/>
    <n v="681"/>
    <s v="Pass"/>
    <n v="1129"/>
  </r>
  <r>
    <s v="BAT-0139"/>
    <x v="209"/>
    <x v="7"/>
    <s v="Athi River Plant"/>
    <s v="Line C"/>
    <s v="Protective Coatings"/>
    <s v="Day"/>
    <s v="R. Njeri"/>
    <n v="1211"/>
    <n v="1118"/>
    <n v="12"/>
    <n v="1106"/>
    <n v="10.3"/>
    <n v="7"/>
    <n v="114.25"/>
    <n v="127731.5"/>
    <n v="1371"/>
    <s v="Pass"/>
    <n v="1118"/>
  </r>
  <r>
    <s v="BAT-0243"/>
    <x v="186"/>
    <x v="0"/>
    <s v="Nakuru Plant"/>
    <s v="Line D"/>
    <s v="Industrial Cleaners"/>
    <s v="Night"/>
    <s v="M. Hassan"/>
    <n v="1166"/>
    <n v="1120"/>
    <n v="19"/>
    <n v="1101"/>
    <n v="61.8"/>
    <n v="6.6"/>
    <n v="114.44"/>
    <n v="128172.8"/>
    <n v="2174.36"/>
    <s v="Pass"/>
    <n v="1120"/>
  </r>
  <r>
    <s v="BAT-0497"/>
    <x v="182"/>
    <x v="0"/>
    <s v="Athi River Plant"/>
    <s v="Line E"/>
    <s v="Protective Coatings"/>
    <s v="Evening"/>
    <s v="S. Kiptoo"/>
    <n v="1022"/>
    <n v="1115"/>
    <n v="33"/>
    <n v="1082"/>
    <n v="61.6"/>
    <n v="6.8"/>
    <n v="114.77"/>
    <n v="127968.54999999999"/>
    <n v="3787.41"/>
    <s v="Review"/>
    <n v="1115"/>
  </r>
  <r>
    <s v="BAT-0120"/>
    <x v="263"/>
    <x v="0"/>
    <s v="Athi River Plant"/>
    <s v="Line D"/>
    <s v="Water Treatment Chemicals"/>
    <s v="Night"/>
    <s v="S. Kiptoo"/>
    <n v="1640"/>
    <n v="1486"/>
    <n v="50"/>
    <n v="1436"/>
    <n v="49"/>
    <n v="7.9"/>
    <n v="115.11"/>
    <n v="171053.46"/>
    <n v="5755.5"/>
    <s v="Review"/>
    <n v="1486"/>
  </r>
  <r>
    <s v="BAT-0372"/>
    <x v="170"/>
    <x v="9"/>
    <s v="Athi River Plant"/>
    <s v="Line E"/>
    <s v="Construction Additives"/>
    <s v="Evening"/>
    <s v="A. Wanjiku"/>
    <n v="1028"/>
    <n v="1147"/>
    <n v="34"/>
    <n v="1113"/>
    <n v="47.8"/>
    <n v="6.4"/>
    <n v="115.13"/>
    <n v="132054.10999999999"/>
    <n v="3914.42"/>
    <s v="Review"/>
    <n v="1147"/>
  </r>
  <r>
    <s v="BAT-0388"/>
    <x v="77"/>
    <x v="2"/>
    <s v="Nakuru Plant"/>
    <s v="Line C"/>
    <s v="Packaging Resin"/>
    <s v="Night"/>
    <s v="F. Ali"/>
    <n v="1415"/>
    <n v="1571"/>
    <n v="16"/>
    <n v="1555"/>
    <n v="17.7"/>
    <n v="6.2"/>
    <n v="115.47"/>
    <n v="181403.37"/>
    <n v="1847.52"/>
    <s v="Pass"/>
    <n v="1571"/>
  </r>
  <r>
    <s v="BAT-0042"/>
    <x v="259"/>
    <x v="2"/>
    <s v="Athi River Plant"/>
    <s v="Line A"/>
    <s v="Industrial Cleaners"/>
    <s v="Night"/>
    <s v="S. Kiptoo"/>
    <n v="968"/>
    <n v="831"/>
    <n v="24"/>
    <n v="807"/>
    <n v="55"/>
    <n v="7.2"/>
    <n v="115.62"/>
    <n v="96080.22"/>
    <n v="2774.88"/>
    <s v="Review"/>
    <n v="831"/>
  </r>
  <r>
    <s v="BAT-0282"/>
    <x v="264"/>
    <x v="6"/>
    <s v="Nakuru Plant"/>
    <s v="Line E"/>
    <s v="Protective Coatings"/>
    <s v="Night"/>
    <s v="J. Mwangi"/>
    <n v="1685"/>
    <n v="1877"/>
    <n v="45"/>
    <n v="1832"/>
    <n v="39.6"/>
    <n v="6.1"/>
    <n v="115.81"/>
    <n v="217375.37"/>
    <n v="5211.45"/>
    <s v="Review"/>
    <n v="1877"/>
  </r>
  <r>
    <s v="BAT-0035"/>
    <x v="232"/>
    <x v="11"/>
    <s v="Nakuru Plant"/>
    <s v="Line B"/>
    <s v="Industrial Cleaners"/>
    <s v="Day"/>
    <s v="F. Ali"/>
    <n v="1480"/>
    <n v="1314"/>
    <n v="44"/>
    <n v="1270"/>
    <n v="6.5"/>
    <n v="8.5"/>
    <n v="116.06"/>
    <n v="152502.84"/>
    <n v="5106.6400000000003"/>
    <s v="Review"/>
    <n v="1314"/>
  </r>
  <r>
    <s v="BAT-0333"/>
    <x v="92"/>
    <x v="4"/>
    <s v="Nakuru Plant"/>
    <s v="Line E"/>
    <s v="Industrial Cleaners"/>
    <s v="Night"/>
    <s v="J. Mwangi"/>
    <n v="1120"/>
    <n v="1279"/>
    <n v="37"/>
    <n v="1242"/>
    <n v="6.3"/>
    <n v="7"/>
    <n v="116.11"/>
    <n v="148504.69"/>
    <n v="4296.07"/>
    <s v="Review"/>
    <n v="1279"/>
  </r>
  <r>
    <s v="BAT-0052"/>
    <x v="171"/>
    <x v="1"/>
    <s v="Mombasa Plant"/>
    <s v="Line D"/>
    <s v="Packaging Resin"/>
    <s v="Evening"/>
    <s v="F. Ali"/>
    <n v="1573"/>
    <n v="1244"/>
    <n v="30"/>
    <n v="1214"/>
    <n v="48.8"/>
    <n v="7.8"/>
    <n v="116.26"/>
    <n v="144627.44"/>
    <n v="3487.8"/>
    <s v="Review"/>
    <n v="1244"/>
  </r>
  <r>
    <s v="BAT-0018"/>
    <x v="231"/>
    <x v="0"/>
    <s v="Mombasa Plant"/>
    <s v="Line A"/>
    <s v="Industrial Cleaners"/>
    <s v="Evening"/>
    <s v="D. Kamau"/>
    <n v="1667"/>
    <n v="1727"/>
    <n v="18"/>
    <n v="1709"/>
    <n v="38.799999999999997"/>
    <n v="6.4"/>
    <n v="116.65"/>
    <n v="201454.55000000002"/>
    <n v="2099.7000000000003"/>
    <s v="Pass"/>
    <n v="1727"/>
  </r>
  <r>
    <s v="BAT-0114"/>
    <x v="253"/>
    <x v="6"/>
    <s v="Athi River Plant"/>
    <s v="Line C"/>
    <s v="Packaging Resin"/>
    <s v="Evening"/>
    <s v="A. Wanjiku"/>
    <n v="1412"/>
    <n v="1302"/>
    <n v="17"/>
    <n v="1285"/>
    <n v="56.9"/>
    <n v="6.5"/>
    <n v="116.83"/>
    <n v="152112.66"/>
    <n v="1986.11"/>
    <s v="Pass"/>
    <n v="1302"/>
  </r>
  <r>
    <s v="BAT-0424"/>
    <x v="265"/>
    <x v="9"/>
    <s v="Nakuru Plant"/>
    <s v="Line A"/>
    <s v="Water Treatment Chemicals"/>
    <s v="Day"/>
    <s v="D. Kamau"/>
    <n v="1761"/>
    <n v="1877"/>
    <n v="12"/>
    <n v="1865"/>
    <n v="25.6"/>
    <n v="7.6"/>
    <n v="117.18"/>
    <n v="219946.86000000002"/>
    <n v="1406.16"/>
    <s v="Pass"/>
    <n v="1877"/>
  </r>
  <r>
    <s v="BAT-0480"/>
    <x v="185"/>
    <x v="0"/>
    <s v="Nakuru Plant"/>
    <s v="Line B"/>
    <s v="Protective Coatings"/>
    <s v="Day"/>
    <s v="A. Wanjiku"/>
    <n v="1101"/>
    <n v="894"/>
    <n v="3"/>
    <n v="891"/>
    <n v="19.100000000000001"/>
    <n v="8.5"/>
    <n v="117.35"/>
    <n v="104910.9"/>
    <n v="352.04999999999995"/>
    <s v="Pass"/>
    <n v="894"/>
  </r>
  <r>
    <s v="BAT-0216"/>
    <x v="266"/>
    <x v="4"/>
    <s v="Mombasa Plant"/>
    <s v="Line A"/>
    <s v="Water Treatment Chemicals"/>
    <s v="Evening"/>
    <s v="J. Mwangi"/>
    <n v="1757"/>
    <n v="1896"/>
    <n v="58"/>
    <n v="1838"/>
    <n v="17"/>
    <n v="6.7"/>
    <n v="118.05"/>
    <n v="223822.8"/>
    <n v="6846.9"/>
    <s v="Review"/>
    <n v="1896"/>
  </r>
  <r>
    <s v="BAT-0214"/>
    <x v="267"/>
    <x v="6"/>
    <s v="Nakuru Plant"/>
    <s v="Line C"/>
    <s v="Packaging Resin"/>
    <s v="Day"/>
    <s v="A. Wanjiku"/>
    <n v="962"/>
    <n v="1045"/>
    <n v="20"/>
    <n v="1025"/>
    <n v="48.8"/>
    <n v="6.5"/>
    <n v="118.99"/>
    <n v="124344.54999999999"/>
    <n v="2379.7999999999997"/>
    <s v="Pass"/>
    <n v="1045"/>
  </r>
  <r>
    <s v="BAT-0584"/>
    <x v="268"/>
    <x v="5"/>
    <s v="Athi River Plant"/>
    <s v="Line B"/>
    <s v="Packaging Resin"/>
    <s v="Night"/>
    <s v="D. Kamau"/>
    <n v="1227"/>
    <n v="1189"/>
    <n v="36"/>
    <n v="1153"/>
    <n v="28.4"/>
    <n v="7.8"/>
    <n v="119.05"/>
    <n v="141550.44999999998"/>
    <n v="4285.8"/>
    <s v="Review"/>
    <n v="1189"/>
  </r>
  <r>
    <s v="BAT-0176"/>
    <x v="88"/>
    <x v="6"/>
    <s v="Mombasa Plant"/>
    <s v="Line E"/>
    <s v="Construction Additives"/>
    <s v="Day"/>
    <s v="P. Otieno"/>
    <n v="1730"/>
    <n v="1780"/>
    <n v="40"/>
    <n v="1740"/>
    <n v="39.6"/>
    <n v="6.5"/>
    <n v="119.67"/>
    <n v="213012.6"/>
    <n v="4786.8"/>
    <s v="Review"/>
    <n v="1780"/>
  </r>
  <r>
    <s v="BAT-0460"/>
    <x v="218"/>
    <x v="0"/>
    <s v="Athi River Plant"/>
    <s v="Line C"/>
    <s v="Water Treatment Chemicals"/>
    <s v="Night"/>
    <s v="J. Mwangi"/>
    <n v="1731"/>
    <n v="1514"/>
    <n v="25"/>
    <n v="1489"/>
    <n v="39.700000000000003"/>
    <n v="7.8"/>
    <n v="119.77"/>
    <n v="181331.78"/>
    <n v="2994.25"/>
    <s v="Pass"/>
    <n v="1514"/>
  </r>
  <r>
    <s v="BAT-0591"/>
    <x v="50"/>
    <x v="2"/>
    <s v="Nakuru Plant"/>
    <s v="Line E"/>
    <s v="Protective Coatings"/>
    <s v="Night"/>
    <s v="S. Kiptoo"/>
    <n v="1448"/>
    <n v="1538"/>
    <n v="28"/>
    <n v="1510"/>
    <n v="31.7"/>
    <n v="8.3000000000000007"/>
    <n v="120.47"/>
    <n v="185282.86"/>
    <n v="3373.16"/>
    <s v="Pass"/>
    <n v="1538"/>
  </r>
  <r>
    <s v="BAT-0366"/>
    <x v="269"/>
    <x v="10"/>
    <s v="Athi River Plant"/>
    <s v="Line B"/>
    <s v="Industrial Cleaners"/>
    <s v="Day"/>
    <s v="S. Kiptoo"/>
    <n v="1119"/>
    <n v="1050"/>
    <n v="21"/>
    <n v="1029"/>
    <n v="53.4"/>
    <n v="7"/>
    <n v="121.16"/>
    <n v="127218"/>
    <n v="2544.36"/>
    <s v="Review"/>
    <n v="1050"/>
  </r>
  <r>
    <s v="BAT-0063"/>
    <x v="173"/>
    <x v="7"/>
    <s v="Mombasa Plant"/>
    <s v="Line C"/>
    <s v="Water Treatment Chemicals"/>
    <s v="Day"/>
    <s v="M. Hassan"/>
    <n v="975"/>
    <n v="919"/>
    <n v="32"/>
    <n v="887"/>
    <n v="59.3"/>
    <n v="7.7"/>
    <n v="121.46"/>
    <n v="111621.73999999999"/>
    <n v="3886.72"/>
    <s v="Review"/>
    <n v="919"/>
  </r>
  <r>
    <s v="BAT-0362"/>
    <x v="187"/>
    <x v="11"/>
    <s v="Mombasa Plant"/>
    <s v="Line A"/>
    <s v="Water Treatment Chemicals"/>
    <s v="Night"/>
    <s v="R. Njeri"/>
    <n v="1587"/>
    <n v="1461"/>
    <n v="27"/>
    <n v="1434"/>
    <n v="3.8"/>
    <n v="7.2"/>
    <n v="121.87"/>
    <n v="178052.07"/>
    <n v="3290.4900000000002"/>
    <s v="Pass"/>
    <n v="1461"/>
  </r>
  <r>
    <s v="BAT-0498"/>
    <x v="244"/>
    <x v="7"/>
    <s v="Athi River Plant"/>
    <s v="Line C"/>
    <s v="Packaging Resin"/>
    <s v="Day"/>
    <s v="M. Hassan"/>
    <n v="1771"/>
    <n v="1658"/>
    <n v="22"/>
    <n v="1636"/>
    <n v="9.5"/>
    <n v="7"/>
    <n v="122.15"/>
    <n v="202524.7"/>
    <n v="2687.3"/>
    <s v="Pass"/>
    <n v="1658"/>
  </r>
  <r>
    <s v="BAT-0476"/>
    <x v="191"/>
    <x v="2"/>
    <s v="Athi River Plant"/>
    <s v="Line E"/>
    <s v="Packaging Resin"/>
    <s v="Night"/>
    <s v="M. Hassan"/>
    <n v="1566"/>
    <n v="1531"/>
    <n v="47"/>
    <n v="1484"/>
    <n v="48.9"/>
    <n v="8.3000000000000007"/>
    <n v="122.34"/>
    <n v="187302.54"/>
    <n v="5749.9800000000005"/>
    <s v="Review"/>
    <n v="1531"/>
  </r>
  <r>
    <s v="BAT-0479"/>
    <x v="90"/>
    <x v="9"/>
    <s v="Athi River Plant"/>
    <s v="Line D"/>
    <s v="Protective Coatings"/>
    <s v="Night"/>
    <s v="F. Ali"/>
    <n v="1670"/>
    <n v="1608"/>
    <n v="43"/>
    <n v="1565"/>
    <n v="25.3"/>
    <n v="6.8"/>
    <n v="122.35"/>
    <n v="196738.8"/>
    <n v="5261.05"/>
    <s v="Review"/>
    <n v="1608"/>
  </r>
  <r>
    <s v="BAT-0410"/>
    <x v="270"/>
    <x v="5"/>
    <s v="Athi River Plant"/>
    <s v="Line B"/>
    <s v="Water Treatment Chemicals"/>
    <s v="Night"/>
    <s v="D. Kamau"/>
    <n v="1663"/>
    <n v="1748"/>
    <n v="39"/>
    <n v="1709"/>
    <n v="16.600000000000001"/>
    <n v="8"/>
    <n v="122.38"/>
    <n v="213920.24"/>
    <n v="4772.82"/>
    <s v="Review"/>
    <n v="1748"/>
  </r>
  <r>
    <s v="BAT-0356"/>
    <x v="271"/>
    <x v="3"/>
    <s v="Nakuru Plant"/>
    <s v="Line B"/>
    <s v="Protective Coatings"/>
    <s v="Night"/>
    <s v="P. Otieno"/>
    <n v="1316"/>
    <n v="1253"/>
    <n v="22"/>
    <n v="1231"/>
    <n v="43.5"/>
    <n v="6.5"/>
    <n v="122.51"/>
    <n v="153505.03"/>
    <n v="2695.2200000000003"/>
    <s v="Pass"/>
    <n v="1253"/>
  </r>
  <r>
    <s v="BAT-0433"/>
    <x v="125"/>
    <x v="2"/>
    <s v="Nakuru Plant"/>
    <s v="Line B"/>
    <s v="Protective Coatings"/>
    <s v="Evening"/>
    <s v="R. Njeri"/>
    <n v="778"/>
    <n v="747"/>
    <n v="26"/>
    <n v="721"/>
    <n v="39.6"/>
    <n v="6.2"/>
    <n v="123.03"/>
    <n v="91903.41"/>
    <n v="3198.78"/>
    <s v="Review"/>
    <n v="747"/>
  </r>
  <r>
    <s v="BAT-0330"/>
    <x v="48"/>
    <x v="10"/>
    <s v="Athi River Plant"/>
    <s v="Line A"/>
    <s v="Protective Coatings"/>
    <s v="Evening"/>
    <s v="M. Hassan"/>
    <n v="1406"/>
    <n v="1274"/>
    <n v="12"/>
    <n v="1262"/>
    <n v="13.7"/>
    <n v="7.8"/>
    <n v="123.08"/>
    <n v="156803.91999999998"/>
    <n v="1476.96"/>
    <s v="Pass"/>
    <n v="1274"/>
  </r>
  <r>
    <s v="BAT-0314"/>
    <x v="165"/>
    <x v="4"/>
    <s v="Mombasa Plant"/>
    <s v="Line C"/>
    <s v="Protective Coatings"/>
    <s v="Evening"/>
    <s v="Not Found"/>
    <n v="797"/>
    <n v="725"/>
    <n v="25"/>
    <n v="700"/>
    <n v="116.2"/>
    <n v="6.4"/>
    <n v="123.5"/>
    <n v="89537.5"/>
    <n v="3087.5"/>
    <s v="Review"/>
    <n v="725"/>
  </r>
  <r>
    <s v="BAT-0312"/>
    <x v="272"/>
    <x v="8"/>
    <s v="Athi River Plant"/>
    <s v="Line A"/>
    <s v="Packaging Resin"/>
    <s v="Evening"/>
    <s v="F. Ali"/>
    <n v="1459"/>
    <n v="1576"/>
    <n v="8"/>
    <n v="1568"/>
    <n v="22.2"/>
    <n v="8.1999999999999993"/>
    <n v="124.11"/>
    <n v="195597.36"/>
    <n v="992.88"/>
    <s v="Pass"/>
    <n v="1576"/>
  </r>
  <r>
    <s v="BAT-0280"/>
    <x v="7"/>
    <x v="5"/>
    <s v="Mombasa Plant"/>
    <s v="Line C"/>
    <s v="Packaging Resin"/>
    <s v="Night"/>
    <s v="R. Njeri"/>
    <n v="1061"/>
    <n v="1008"/>
    <n v="27"/>
    <n v="981"/>
    <n v="21.3"/>
    <n v="7.9"/>
    <n v="125.22"/>
    <n v="126221.75999999999"/>
    <n v="3380.94"/>
    <s v="Review"/>
    <n v="1008"/>
  </r>
  <r>
    <s v="BAT-0098"/>
    <x v="114"/>
    <x v="8"/>
    <s v="Nakuru Plant"/>
    <s v="Line A"/>
    <s v="Construction Additives"/>
    <s v="Evening"/>
    <s v="M. Hassan"/>
    <n v="1509"/>
    <n v="1354"/>
    <n v="8"/>
    <n v="1346"/>
    <n v="124.2"/>
    <n v="6.7"/>
    <n v="125.5"/>
    <n v="169927"/>
    <n v="1004"/>
    <s v="Pass"/>
    <n v="1354"/>
  </r>
  <r>
    <s v="BAT-0317"/>
    <x v="273"/>
    <x v="8"/>
    <s v="Nakuru Plant"/>
    <s v="Line E"/>
    <s v="Construction Additives"/>
    <s v="Night"/>
    <s v="J. Mwangi"/>
    <n v="1652"/>
    <n v="1671"/>
    <n v="12"/>
    <n v="1659"/>
    <n v="1.9"/>
    <n v="7.7"/>
    <n v="125.65"/>
    <n v="209961.15000000002"/>
    <n v="1507.8000000000002"/>
    <s v="Pass"/>
    <n v="1671"/>
  </r>
  <r>
    <s v="BAT-0571"/>
    <x v="274"/>
    <x v="3"/>
    <s v="Athi River Plant"/>
    <s v="Line C"/>
    <s v="Water Treatment Chemicals"/>
    <s v="Evening"/>
    <s v="A. Wanjiku"/>
    <n v="1076"/>
    <n v="1139"/>
    <n v="19"/>
    <n v="1120"/>
    <n v="66.2"/>
    <n v="8.1"/>
    <n v="125.91"/>
    <n v="143411.49"/>
    <n v="2392.29"/>
    <s v="Pass"/>
    <n v="1139"/>
  </r>
  <r>
    <s v="BAT-0209"/>
    <x v="275"/>
    <x v="4"/>
    <s v="Mombasa Plant"/>
    <s v="Line E"/>
    <s v="Construction Additives"/>
    <s v="Evening"/>
    <s v="J. Mwangi"/>
    <n v="981"/>
    <n v="998"/>
    <n v="9"/>
    <n v="989"/>
    <n v="33.5"/>
    <n v="8.3000000000000007"/>
    <n v="126.08"/>
    <n v="125827.84"/>
    <n v="1134.72"/>
    <s v="Pass"/>
    <n v="998"/>
  </r>
  <r>
    <s v="BAT-0519"/>
    <x v="15"/>
    <x v="6"/>
    <s v="Mombasa Plant"/>
    <s v="Line A"/>
    <s v="Packaging Resin"/>
    <s v="Night"/>
    <s v="F. Ali"/>
    <n v="1597"/>
    <n v="1392"/>
    <n v="48"/>
    <n v="1344"/>
    <n v="69.2"/>
    <n v="7.9"/>
    <n v="126.23"/>
    <n v="175712.16"/>
    <n v="6059.04"/>
    <s v="Review"/>
    <n v="1392"/>
  </r>
  <r>
    <s v="BAT-0146"/>
    <x v="276"/>
    <x v="11"/>
    <s v="Mombasa Plant"/>
    <s v="Line D"/>
    <s v="Water Treatment Chemicals"/>
    <s v="Evening"/>
    <s v="P. Otieno"/>
    <n v="760"/>
    <n v="528"/>
    <n v="12"/>
    <n v="516"/>
    <n v="7.7"/>
    <n v="6.3"/>
    <n v="126.25"/>
    <n v="66660"/>
    <n v="1515"/>
    <s v="Review"/>
    <n v="528"/>
  </r>
  <r>
    <s v="BAT-0183"/>
    <x v="238"/>
    <x v="10"/>
    <s v="Nakuru Plant"/>
    <s v="Line A"/>
    <s v="Protective Coatings"/>
    <s v="Night"/>
    <s v="M. Hassan"/>
    <n v="1489"/>
    <n v="1505"/>
    <n v="25"/>
    <n v="1480"/>
    <n v="29.5"/>
    <n v="7.6"/>
    <n v="126.74"/>
    <n v="190743.69999999998"/>
    <n v="3168.5"/>
    <s v="Pass"/>
    <n v="1505"/>
  </r>
  <r>
    <s v="BAT-0053"/>
    <x v="10"/>
    <x v="7"/>
    <s v="Athi River Plant"/>
    <s v="Line A"/>
    <s v="Packaging Resin"/>
    <s v="Day"/>
    <s v="D. Kamau"/>
    <n v="708"/>
    <n v="588"/>
    <n v="6"/>
    <n v="582"/>
    <n v="55.3"/>
    <n v="7.6"/>
    <n v="126.98"/>
    <n v="74664.240000000005"/>
    <n v="761.88"/>
    <s v="Pass"/>
    <n v="588"/>
  </r>
  <r>
    <s v="BAT-0494"/>
    <x v="251"/>
    <x v="9"/>
    <s v="Nakuru Plant"/>
    <s v="Line E"/>
    <s v="Industrial Cleaners"/>
    <s v="Day"/>
    <s v="R. Njeri"/>
    <n v="870"/>
    <n v="715"/>
    <n v="4"/>
    <n v="711"/>
    <n v="47.2"/>
    <n v="8.1"/>
    <n v="127.69"/>
    <n v="91298.349999999991"/>
    <n v="510.76"/>
    <s v="Pass"/>
    <n v="715"/>
  </r>
  <r>
    <s v="BAT-0047"/>
    <x v="134"/>
    <x v="6"/>
    <s v="Mombasa Plant"/>
    <s v="Line D"/>
    <s v="Industrial Cleaners"/>
    <s v="Night"/>
    <s v="R. Njeri"/>
    <n v="1667"/>
    <n v="1558"/>
    <n v="52"/>
    <n v="1506"/>
    <n v="43"/>
    <n v="8"/>
    <n v="128.08000000000001"/>
    <n v="199548.64"/>
    <n v="6660.1600000000008"/>
    <s v="Review"/>
    <n v="1558"/>
  </r>
  <r>
    <s v="BAT-0599"/>
    <x v="207"/>
    <x v="9"/>
    <s v="Nakuru Plant"/>
    <s v="Line B"/>
    <s v="Industrial Cleaners"/>
    <s v="Night"/>
    <s v="S. Kiptoo"/>
    <n v="1459"/>
    <n v="1602"/>
    <n v="13"/>
    <n v="1589"/>
    <n v="37.9"/>
    <n v="7"/>
    <n v="128.26"/>
    <n v="205472.52"/>
    <n v="1667.3799999999999"/>
    <s v="Pass"/>
    <n v="1602"/>
  </r>
  <r>
    <s v="BAT-0300"/>
    <x v="189"/>
    <x v="5"/>
    <s v="Mombasa Plant"/>
    <s v="Line C"/>
    <s v="Construction Additives"/>
    <s v="Night"/>
    <s v="D. Kamau"/>
    <n v="1573"/>
    <n v="1373"/>
    <n v="26"/>
    <n v="1347"/>
    <n v="32.6"/>
    <n v="7.8"/>
    <n v="128.41"/>
    <n v="176306.93"/>
    <n v="3338.66"/>
    <s v="Pass"/>
    <n v="1373"/>
  </r>
  <r>
    <s v="BAT-0501"/>
    <x v="263"/>
    <x v="0"/>
    <s v="Nakuru Plant"/>
    <s v="Line A"/>
    <s v="Industrial Cleaners"/>
    <s v="Evening"/>
    <s v="J. Mwangi"/>
    <n v="1190"/>
    <n v="1019"/>
    <n v="4"/>
    <n v="1015"/>
    <n v="47.9"/>
    <n v="8.5"/>
    <n v="128.41999999999999"/>
    <n v="130859.97999999998"/>
    <n v="513.67999999999995"/>
    <s v="Pass"/>
    <n v="1019"/>
  </r>
  <r>
    <s v="BAT-0374"/>
    <x v="244"/>
    <x v="7"/>
    <s v="Athi River Plant"/>
    <s v="Line C"/>
    <s v="Protective Coatings"/>
    <s v="Day"/>
    <s v="A. Wanjiku"/>
    <n v="1096"/>
    <n v="842"/>
    <n v="26"/>
    <n v="816"/>
    <n v="8.8000000000000007"/>
    <n v="8"/>
    <n v="128.44999999999999"/>
    <n v="108154.9"/>
    <n v="3339.7"/>
    <s v="Review"/>
    <n v="842"/>
  </r>
  <r>
    <s v="BAT-0329"/>
    <x v="224"/>
    <x v="0"/>
    <s v="Nakuru Plant"/>
    <s v="Line E"/>
    <s v="Packaging Resin"/>
    <s v="Day"/>
    <s v="D. Kamau"/>
    <n v="908"/>
    <n v="808"/>
    <n v="9"/>
    <n v="799"/>
    <n v="14.3"/>
    <n v="7.3"/>
    <n v="128.87"/>
    <n v="104126.96"/>
    <n v="1159.83"/>
    <s v="Pass"/>
    <n v="808"/>
  </r>
  <r>
    <s v="BAT-0099"/>
    <x v="277"/>
    <x v="9"/>
    <s v="Athi River Plant"/>
    <s v="Line E"/>
    <s v="Packaging Resin"/>
    <s v="Night"/>
    <s v="R. Njeri"/>
    <n v="1380"/>
    <n v="1379"/>
    <n v="35"/>
    <n v="1344"/>
    <n v="49.4"/>
    <n v="8.1"/>
    <n v="129.07"/>
    <n v="177987.53"/>
    <n v="4517.45"/>
    <s v="Review"/>
    <n v="1379"/>
  </r>
  <r>
    <s v="BAT-0425"/>
    <x v="178"/>
    <x v="6"/>
    <s v="Athi River Plant"/>
    <s v="Line C"/>
    <s v="Packaging Resin"/>
    <s v="Evening"/>
    <s v="R. Njeri"/>
    <n v="1602"/>
    <n v="1696"/>
    <n v="34"/>
    <n v="1662"/>
    <n v="19.399999999999999"/>
    <n v="8.3000000000000007"/>
    <n v="129.1"/>
    <n v="218953.59999999998"/>
    <n v="4389.3999999999996"/>
    <s v="Review"/>
    <n v="1696"/>
  </r>
  <r>
    <s v="BAT-0211"/>
    <x v="235"/>
    <x v="4"/>
    <s v="Athi River Plant"/>
    <s v="Line E"/>
    <s v="Water Treatment Chemicals"/>
    <s v="Night"/>
    <s v="D. Kamau"/>
    <n v="1291"/>
    <n v="1237"/>
    <n v="32"/>
    <n v="1205"/>
    <n v="40.4"/>
    <n v="7.1"/>
    <n v="129.34"/>
    <n v="159993.58000000002"/>
    <n v="4138.88"/>
    <s v="Review"/>
    <n v="1237"/>
  </r>
  <r>
    <s v="BAT-0513"/>
    <x v="68"/>
    <x v="11"/>
    <s v="Nakuru Plant"/>
    <s v="Line E"/>
    <s v="Construction Additives"/>
    <s v="Day"/>
    <s v="D. Kamau"/>
    <n v="818"/>
    <n v="951"/>
    <n v="13"/>
    <n v="938"/>
    <n v="12"/>
    <n v="8"/>
    <n v="129.55000000000001"/>
    <n v="123202.05000000002"/>
    <n v="1684.15"/>
    <s v="Pass"/>
    <n v="951"/>
  </r>
  <r>
    <s v="BAT-0130"/>
    <x v="181"/>
    <x v="9"/>
    <s v="Nakuru Plant"/>
    <s v="Line A"/>
    <s v="Packaging Resin"/>
    <s v="Night"/>
    <s v="J. Mwangi"/>
    <n v="1440"/>
    <n v="1596"/>
    <n v="50"/>
    <n v="1546"/>
    <n v="25.6"/>
    <n v="6.4"/>
    <n v="129.63999999999999"/>
    <n v="206905.43999999997"/>
    <n v="6481.9999999999991"/>
    <s v="Review"/>
    <n v="1596"/>
  </r>
  <r>
    <s v="BAT-0079"/>
    <x v="194"/>
    <x v="10"/>
    <s v="Athi River Plant"/>
    <s v="Line B"/>
    <s v="Industrial Cleaners"/>
    <s v="Night"/>
    <s v="S. Kiptoo"/>
    <n v="991"/>
    <n v="943"/>
    <n v="6"/>
    <n v="937"/>
    <n v="107.8"/>
    <n v="8.1999999999999993"/>
    <n v="129.81"/>
    <n v="122410.83"/>
    <n v="778.86"/>
    <s v="Pass"/>
    <n v="943"/>
  </r>
  <r>
    <s v="BAT-0357"/>
    <x v="210"/>
    <x v="0"/>
    <s v="Athi River Plant"/>
    <s v="Line A"/>
    <s v="Water Treatment Chemicals"/>
    <s v="Night"/>
    <s v="R. Njeri"/>
    <n v="1115"/>
    <n v="1178"/>
    <n v="36"/>
    <n v="1142"/>
    <n v="30"/>
    <n v="6.7"/>
    <n v="129.97"/>
    <n v="153104.66"/>
    <n v="4678.92"/>
    <s v="Review"/>
    <n v="1178"/>
  </r>
  <r>
    <s v="BAT-0401"/>
    <x v="278"/>
    <x v="3"/>
    <s v="Mombasa Plant"/>
    <s v="Line C"/>
    <s v="Protective Coatings"/>
    <s v="Day"/>
    <s v="P. Otieno"/>
    <n v="1153"/>
    <n v="1459"/>
    <n v="14"/>
    <n v="1445"/>
    <n v="11.1"/>
    <n v="7.4"/>
    <n v="130"/>
    <n v="189670"/>
    <n v="1820"/>
    <s v="Pass"/>
    <n v="1459"/>
  </r>
  <r>
    <s v="BAT-0187"/>
    <x v="43"/>
    <x v="1"/>
    <s v="Nakuru Plant"/>
    <s v="Line A"/>
    <s v="Water Treatment Chemicals"/>
    <s v="Day"/>
    <s v="Not Found"/>
    <n v="1320"/>
    <n v="1074"/>
    <n v="13"/>
    <n v="1061"/>
    <n v="22.9"/>
    <n v="7.3"/>
    <n v="130.12"/>
    <n v="139748.88"/>
    <n v="1691.56"/>
    <s v="Pass"/>
    <n v="1074"/>
  </r>
  <r>
    <s v="BAT-0334"/>
    <x v="52"/>
    <x v="2"/>
    <s v="Nakuru Plant"/>
    <s v="Line B"/>
    <s v="Water Treatment Chemicals"/>
    <s v="Night"/>
    <s v="D. Kamau"/>
    <n v="1256"/>
    <n v="1085"/>
    <n v="5"/>
    <n v="1080"/>
    <n v="12.5"/>
    <n v="8.3000000000000007"/>
    <n v="130.22999999999999"/>
    <n v="141299.54999999999"/>
    <n v="651.15"/>
    <s v="Pass"/>
    <n v="1085"/>
  </r>
  <r>
    <s v="BAT-0125"/>
    <x v="204"/>
    <x v="11"/>
    <s v="Nakuru Plant"/>
    <s v="Line D"/>
    <s v="Industrial Cleaners"/>
    <s v="Day"/>
    <s v="F. Ali"/>
    <n v="1666"/>
    <n v="1838"/>
    <n v="52"/>
    <n v="1786"/>
    <n v="39.200000000000003"/>
    <n v="6.7"/>
    <n v="130.38"/>
    <n v="239638.44"/>
    <n v="6779.76"/>
    <s v="Review"/>
    <n v="1838"/>
  </r>
  <r>
    <s v="BAT-0260"/>
    <x v="279"/>
    <x v="9"/>
    <s v="Athi River Plant"/>
    <s v="Line A"/>
    <s v="Packaging Resin"/>
    <s v="Day"/>
    <s v="D. Kamau"/>
    <n v="778"/>
    <n v="667"/>
    <n v="15"/>
    <n v="652"/>
    <s v=""/>
    <n v="6.3"/>
    <n v="130.41"/>
    <n v="86983.47"/>
    <n v="1956.1499999999999"/>
    <s v="Review"/>
    <n v="667"/>
  </r>
  <r>
    <s v="BAT-0355"/>
    <x v="99"/>
    <x v="3"/>
    <s v="Mombasa Plant"/>
    <s v="Line D"/>
    <s v="Industrial Cleaners"/>
    <s v="Night"/>
    <s v="J. Mwangi"/>
    <n v="1486"/>
    <n v="1157"/>
    <n v="6"/>
    <n v="1151"/>
    <n v="46.5"/>
    <n v="7.2"/>
    <n v="130.75"/>
    <n v="151277.75"/>
    <n v="784.5"/>
    <s v="Pass"/>
    <n v="1157"/>
  </r>
  <r>
    <s v="BAT-0413"/>
    <x v="35"/>
    <x v="4"/>
    <s v="Athi River Plant"/>
    <s v="Line E"/>
    <s v="Packaging Resin"/>
    <s v="Day"/>
    <s v="R. Njeri"/>
    <n v="1136"/>
    <n v="1005"/>
    <n v="27"/>
    <n v="978"/>
    <n v="98.8"/>
    <n v="6.7"/>
    <n v="130.94"/>
    <n v="131594.70000000001"/>
    <n v="3535.38"/>
    <s v="Review"/>
    <n v="1005"/>
  </r>
  <r>
    <s v="BAT-0196"/>
    <x v="280"/>
    <x v="0"/>
    <s v="Athi River Plant"/>
    <s v="Line A"/>
    <s v="Protective Coatings"/>
    <s v="Day"/>
    <s v="A. Wanjiku"/>
    <n v="1225"/>
    <n v="1058"/>
    <n v="36"/>
    <n v="1022"/>
    <n v="56.6"/>
    <n v="8.1999999999999993"/>
    <n v="131.02000000000001"/>
    <n v="138619.16"/>
    <n v="4716.72"/>
    <s v="Review"/>
    <n v="1058"/>
  </r>
  <r>
    <s v="BAT-0511"/>
    <x v="150"/>
    <x v="3"/>
    <s v="Athi River Plant"/>
    <s v="Line B"/>
    <s v="Protective Coatings"/>
    <s v="Day"/>
    <s v="Not Found"/>
    <n v="1660"/>
    <n v="1653"/>
    <n v="16"/>
    <n v="1637"/>
    <n v="30.4"/>
    <n v="8.3000000000000007"/>
    <n v="131.03"/>
    <n v="216592.59"/>
    <n v="2096.48"/>
    <s v="Pass"/>
    <n v="1653"/>
  </r>
  <r>
    <s v="BAT-0054"/>
    <x v="116"/>
    <x v="6"/>
    <s v="Athi River Plant"/>
    <s v="Line C"/>
    <s v="Industrial Cleaners"/>
    <s v="Evening"/>
    <s v="M. Hassan"/>
    <n v="1652"/>
    <n v="1591"/>
    <n v="6"/>
    <n v="1585"/>
    <n v="40"/>
    <n v="7"/>
    <n v="131.75"/>
    <n v="209614.25"/>
    <n v="790.5"/>
    <s v="Pass"/>
    <n v="1591"/>
  </r>
  <r>
    <s v="BAT-0293"/>
    <x v="148"/>
    <x v="3"/>
    <s v="Athi River Plant"/>
    <s v="Line E"/>
    <s v="Industrial Cleaners"/>
    <s v="Evening"/>
    <s v="M. Hassan"/>
    <n v="1420"/>
    <n v="1275"/>
    <n v="20"/>
    <n v="1255"/>
    <n v="14.5"/>
    <n v="6.5"/>
    <n v="132.09"/>
    <n v="168414.75"/>
    <n v="2641.8"/>
    <s v="Pass"/>
    <n v="1275"/>
  </r>
  <r>
    <s v="BAT-0171"/>
    <x v="218"/>
    <x v="0"/>
    <s v="Nakuru Plant"/>
    <s v="Line A"/>
    <s v="Water Treatment Chemicals"/>
    <s v="Day"/>
    <s v="S. Kiptoo"/>
    <n v="1381"/>
    <n v="1104"/>
    <n v="22"/>
    <n v="1082"/>
    <n v="31.6"/>
    <n v="7.4"/>
    <n v="132.16"/>
    <n v="145904.63999999998"/>
    <n v="2907.52"/>
    <s v="Pass"/>
    <n v="1104"/>
  </r>
  <r>
    <s v="BAT-0431"/>
    <x v="7"/>
    <x v="5"/>
    <s v="Mombasa Plant"/>
    <s v="Line A"/>
    <s v="Protective Coatings"/>
    <s v="Day"/>
    <s v="P. Otieno"/>
    <n v="1452"/>
    <n v="1262"/>
    <n v="41"/>
    <n v="1221"/>
    <n v="30.3"/>
    <n v="7.1"/>
    <n v="132.44"/>
    <n v="167139.28"/>
    <n v="5430.04"/>
    <s v="Review"/>
    <n v="1262"/>
  </r>
  <r>
    <s v="BAT-0353"/>
    <x v="179"/>
    <x v="4"/>
    <s v="Athi River Plant"/>
    <s v="Line B"/>
    <s v="Industrial Cleaners"/>
    <s v="Evening"/>
    <s v="A. Wanjiku"/>
    <n v="1042"/>
    <n v="960"/>
    <n v="29"/>
    <n v="931"/>
    <n v="2.4"/>
    <n v="8.1"/>
    <n v="132.57"/>
    <n v="127267.2"/>
    <n v="3844.5299999999997"/>
    <s v="Review"/>
    <n v="960"/>
  </r>
  <r>
    <s v="BAT-0339"/>
    <x v="57"/>
    <x v="1"/>
    <s v="Athi River Plant"/>
    <s v="Line E"/>
    <s v="Packaging Resin"/>
    <s v="Evening"/>
    <s v="F. Ali"/>
    <n v="1138"/>
    <n v="1167"/>
    <n v="9"/>
    <n v="1158"/>
    <n v="32.700000000000003"/>
    <n v="8.3000000000000007"/>
    <n v="132.62"/>
    <n v="154767.54"/>
    <n v="1193.58"/>
    <s v="Pass"/>
    <n v="1167"/>
  </r>
  <r>
    <s v="BAT-0472"/>
    <x v="36"/>
    <x v="2"/>
    <s v="Mombasa Plant"/>
    <s v="Line C"/>
    <s v="Packaging Resin"/>
    <s v="Evening"/>
    <s v="S. Kiptoo"/>
    <n v="1469"/>
    <n v="1364"/>
    <n v="40"/>
    <n v="1324"/>
    <n v="36.9"/>
    <n v="7.3"/>
    <n v="133.21"/>
    <n v="181698.44"/>
    <n v="5328.4000000000005"/>
    <s v="Review"/>
    <n v="1364"/>
  </r>
  <r>
    <s v="BAT-0298"/>
    <x v="131"/>
    <x v="6"/>
    <s v="Nakuru Plant"/>
    <s v="Line B"/>
    <s v="Construction Additives"/>
    <s v="Night"/>
    <s v="R. Njeri"/>
    <n v="1124"/>
    <n v="1059"/>
    <n v="35"/>
    <n v="1024"/>
    <n v="34.700000000000003"/>
    <n v="7.3"/>
    <n v="133.54"/>
    <n v="141418.85999999999"/>
    <n v="4673.8999999999996"/>
    <s v="Review"/>
    <n v="1059"/>
  </r>
  <r>
    <s v="BAT-0552"/>
    <x v="281"/>
    <x v="7"/>
    <s v="Athi River Plant"/>
    <s v="Line E"/>
    <s v="Protective Coatings"/>
    <s v="Evening"/>
    <s v="D. Kamau"/>
    <n v="1299"/>
    <n v="1146"/>
    <n v="33"/>
    <n v="1113"/>
    <n v="87.4"/>
    <n v="6.3"/>
    <n v="133.56"/>
    <n v="153059.76"/>
    <n v="4407.4800000000005"/>
    <s v="Review"/>
    <n v="1146"/>
  </r>
  <r>
    <s v="BAT-0573"/>
    <x v="59"/>
    <x v="4"/>
    <s v="Nakuru Plant"/>
    <s v="Line B"/>
    <s v="Protective Coatings"/>
    <s v="Evening"/>
    <s v="A. Wanjiku"/>
    <n v="1528"/>
    <n v="1308"/>
    <n v="15"/>
    <n v="1293"/>
    <n v="6"/>
    <n v="7.7"/>
    <n v="133.58000000000001"/>
    <n v="174722.64"/>
    <n v="2003.7000000000003"/>
    <s v="Pass"/>
    <n v="1308"/>
  </r>
  <r>
    <s v="BAT-0213"/>
    <x v="106"/>
    <x v="2"/>
    <s v="Nakuru Plant"/>
    <s v="Line A"/>
    <s v="Construction Additives"/>
    <s v="Night"/>
    <s v="A. Wanjiku"/>
    <n v="1786"/>
    <n v="1724"/>
    <n v="26"/>
    <n v="1698"/>
    <n v="29.2"/>
    <n v="8"/>
    <n v="133.97"/>
    <n v="230964.28"/>
    <n v="3483.22"/>
    <s v="Pass"/>
    <n v="1724"/>
  </r>
  <r>
    <s v="BAT-0199"/>
    <x v="282"/>
    <x v="7"/>
    <s v="Mombasa Plant"/>
    <s v="Line D"/>
    <s v="Construction Additives"/>
    <s v="Night"/>
    <s v="P. Otieno"/>
    <n v="765"/>
    <n v="686"/>
    <n v="19"/>
    <n v="667"/>
    <n v="16.5"/>
    <n v="6.7"/>
    <n v="133.99"/>
    <n v="91917.14"/>
    <n v="2545.8100000000004"/>
    <s v="Review"/>
    <n v="686"/>
  </r>
  <r>
    <s v="BAT-0405"/>
    <x v="195"/>
    <x v="10"/>
    <s v="Nakuru Plant"/>
    <s v="Line B"/>
    <s v="Protective Coatings"/>
    <s v="Night"/>
    <s v="P. Otieno"/>
    <n v="1215"/>
    <n v="1126"/>
    <n v="3"/>
    <n v="1123"/>
    <n v="15"/>
    <n v="6.6"/>
    <n v="134.08000000000001"/>
    <n v="150974.08000000002"/>
    <n v="402.24"/>
    <s v="Pass"/>
    <n v="1126"/>
  </r>
  <r>
    <s v="BAT-0071"/>
    <x v="37"/>
    <x v="2"/>
    <s v="Mombasa Plant"/>
    <s v="Line C"/>
    <s v="Protective Coatings"/>
    <s v="Evening"/>
    <s v="S. Kiptoo"/>
    <n v="1231"/>
    <n v="1043"/>
    <n v="4"/>
    <n v="1039"/>
    <n v="45.7"/>
    <n v="6.3"/>
    <n v="134.69"/>
    <n v="140481.66999999998"/>
    <n v="538.76"/>
    <s v="Pass"/>
    <n v="1043"/>
  </r>
  <r>
    <s v="BAT-0031"/>
    <x v="267"/>
    <x v="6"/>
    <s v="Athi River Plant"/>
    <s v="Line B"/>
    <s v="Packaging Resin"/>
    <s v="Night"/>
    <s v="J. Mwangi"/>
    <n v="916"/>
    <n v="879"/>
    <n v="23"/>
    <n v="856"/>
    <n v="162.80000000000001"/>
    <n v="8.1999999999999993"/>
    <n v="134.97"/>
    <n v="118638.63"/>
    <n v="3104.31"/>
    <s v="Review"/>
    <n v="879"/>
  </r>
  <r>
    <s v="BAT-0234"/>
    <x v="259"/>
    <x v="2"/>
    <s v="Mombasa Plant"/>
    <s v="Line B"/>
    <s v="Packaging Resin"/>
    <s v="Night"/>
    <s v="R. Njeri"/>
    <n v="1537"/>
    <n v="1303"/>
    <n v="25"/>
    <n v="1278"/>
    <n v="89"/>
    <n v="7.2"/>
    <n v="135.05000000000001"/>
    <n v="175970.15000000002"/>
    <n v="3376.2500000000005"/>
    <s v="Pass"/>
    <n v="1303"/>
  </r>
  <r>
    <s v="BAT-0108"/>
    <x v="90"/>
    <x v="9"/>
    <s v="Athi River Plant"/>
    <s v="Line A"/>
    <s v="Protective Coatings"/>
    <s v="Night"/>
    <s v="S. Kiptoo"/>
    <n v="1717"/>
    <n v="1807"/>
    <n v="41"/>
    <n v="1766"/>
    <n v="33.200000000000003"/>
    <n v="7"/>
    <n v="135.08000000000001"/>
    <n v="244089.56000000003"/>
    <n v="5538.2800000000007"/>
    <s v="Review"/>
    <n v="1807"/>
  </r>
  <r>
    <s v="BAT-0551"/>
    <x v="36"/>
    <x v="2"/>
    <s v="Mombasa Plant"/>
    <s v="Line C"/>
    <s v="Construction Additives"/>
    <s v="Day"/>
    <s v="S. Kiptoo"/>
    <n v="1713"/>
    <n v="1684"/>
    <n v="51"/>
    <n v="1633"/>
    <n v="39"/>
    <n v="6.9"/>
    <n v="135.21"/>
    <n v="227693.64"/>
    <n v="6895.71"/>
    <s v="Review"/>
    <n v="1684"/>
  </r>
  <r>
    <s v="BAT-0252"/>
    <x v="172"/>
    <x v="6"/>
    <s v="Mombasa Plant"/>
    <s v="Line A"/>
    <s v="Water Treatment Chemicals"/>
    <s v="Evening"/>
    <s v="A. Wanjiku"/>
    <n v="1364"/>
    <n v="1162"/>
    <n v="38"/>
    <n v="1124"/>
    <n v="19.600000000000001"/>
    <n v="6"/>
    <n v="135.47"/>
    <n v="157416.13999999998"/>
    <n v="5147.8599999999997"/>
    <s v="Review"/>
    <n v="1162"/>
  </r>
  <r>
    <s v="BAT-0495"/>
    <x v="4"/>
    <x v="4"/>
    <s v="Mombasa Plant"/>
    <s v="Line E"/>
    <s v="Industrial Cleaners"/>
    <s v="Evening"/>
    <s v="P. Otieno"/>
    <n v="1412"/>
    <n v="1137"/>
    <n v="32"/>
    <n v="1105"/>
    <n v="24.8"/>
    <n v="7.2"/>
    <n v="135.58000000000001"/>
    <n v="154154.46000000002"/>
    <n v="4338.5600000000004"/>
    <s v="Review"/>
    <n v="1137"/>
  </r>
  <r>
    <s v="BAT-0347"/>
    <x v="241"/>
    <x v="3"/>
    <s v="Athi River Plant"/>
    <s v="Line A"/>
    <s v="Packaging Resin"/>
    <s v="Evening"/>
    <s v="S. Kiptoo"/>
    <n v="1223"/>
    <n v="1241"/>
    <n v="37"/>
    <n v="1204"/>
    <n v="4.8"/>
    <n v="6.3"/>
    <n v="135.63"/>
    <n v="168316.83"/>
    <n v="5018.3099999999995"/>
    <s v="Review"/>
    <n v="1241"/>
  </r>
  <r>
    <s v="BAT-0020"/>
    <x v="267"/>
    <x v="6"/>
    <s v="Nakuru Plant"/>
    <s v="Line D"/>
    <s v="Packaging Resin"/>
    <s v="Evening"/>
    <s v="F. Ali"/>
    <n v="918"/>
    <n v="762"/>
    <n v="3"/>
    <n v="759"/>
    <n v="6.7"/>
    <n v="8"/>
    <n v="135.83000000000001"/>
    <n v="103502.46"/>
    <n v="407.49"/>
    <s v="Pass"/>
    <n v="762"/>
  </r>
  <r>
    <s v="BAT-0530"/>
    <x v="147"/>
    <x v="3"/>
    <s v="Mombasa Plant"/>
    <s v="Line B"/>
    <s v="Water Treatment Chemicals"/>
    <s v="Night"/>
    <s v="F. Ali"/>
    <n v="1600"/>
    <n v="1324"/>
    <n v="13"/>
    <n v="1311"/>
    <s v=""/>
    <n v="7.3"/>
    <n v="135.84"/>
    <n v="179852.16"/>
    <n v="1765.92"/>
    <s v="Pass"/>
    <n v="1324"/>
  </r>
  <r>
    <s v="BAT-0442"/>
    <x v="179"/>
    <x v="4"/>
    <s v="Athi River Plant"/>
    <s v="Line B"/>
    <s v="Packaging Resin"/>
    <s v="Evening"/>
    <s v="F. Ali"/>
    <n v="1309"/>
    <n v="1329"/>
    <n v="42"/>
    <n v="1287"/>
    <n v="31.1"/>
    <n v="7.6"/>
    <n v="135.88999999999999"/>
    <n v="180597.80999999997"/>
    <n v="5707.3799999999992"/>
    <s v="Review"/>
    <n v="1329"/>
  </r>
  <r>
    <s v="BAT-0279"/>
    <x v="5"/>
    <x v="5"/>
    <s v="Nakuru Plant"/>
    <s v="Line B"/>
    <s v="Protective Coatings"/>
    <s v="Day"/>
    <s v="F. Ali"/>
    <n v="1076"/>
    <n v="1076"/>
    <n v="29"/>
    <n v="1047"/>
    <n v="43.7"/>
    <n v="8.5"/>
    <n v="135.91999999999999"/>
    <n v="146249.91999999998"/>
    <n v="3941.68"/>
    <s v="Review"/>
    <n v="1076"/>
  </r>
  <r>
    <s v="BAT-0292"/>
    <x v="206"/>
    <x v="4"/>
    <s v="Nakuru Plant"/>
    <s v="Line A"/>
    <s v="Packaging Resin"/>
    <s v="Evening"/>
    <s v="D. Kamau"/>
    <n v="1346"/>
    <n v="1467"/>
    <n v="8"/>
    <n v="1459"/>
    <n v="52.3"/>
    <n v="6.3"/>
    <n v="136.06"/>
    <n v="199600.02"/>
    <n v="1088.48"/>
    <s v="Pass"/>
    <n v="1467"/>
  </r>
  <r>
    <s v="BAT-0145"/>
    <x v="271"/>
    <x v="3"/>
    <s v="Athi River Plant"/>
    <s v="Line B"/>
    <s v="Water Treatment Chemicals"/>
    <s v="Evening"/>
    <s v="D. Kamau"/>
    <n v="968"/>
    <n v="1150"/>
    <n v="11"/>
    <n v="1139"/>
    <n v="40.9"/>
    <n v="8.1999999999999993"/>
    <n v="136.07"/>
    <n v="156480.5"/>
    <n v="1496.77"/>
    <s v="Pass"/>
    <n v="1150"/>
  </r>
  <r>
    <s v="BAT-0070"/>
    <x v="245"/>
    <x v="6"/>
    <s v="Mombasa Plant"/>
    <s v="Line C"/>
    <s v="Industrial Cleaners"/>
    <s v="Day"/>
    <s v="A. Wanjiku"/>
    <n v="1238"/>
    <n v="906"/>
    <n v="9"/>
    <n v="897"/>
    <n v="6.6"/>
    <n v="6.8"/>
    <n v="136.16"/>
    <n v="123360.95999999999"/>
    <n v="1225.44"/>
    <s v="Pass"/>
    <n v="906"/>
  </r>
  <r>
    <s v="BAT-0391"/>
    <x v="174"/>
    <x v="8"/>
    <s v="Nakuru Plant"/>
    <s v="Line A"/>
    <s v="Water Treatment Chemicals"/>
    <s v="Night"/>
    <s v="M. Hassan"/>
    <n v="936"/>
    <n v="838"/>
    <n v="13"/>
    <n v="825"/>
    <n v="25.8"/>
    <n v="7.4"/>
    <n v="136.19999999999999"/>
    <n v="114135.59999999999"/>
    <n v="1770.6"/>
    <s v="Pass"/>
    <n v="838"/>
  </r>
  <r>
    <s v="BAT-0323"/>
    <x v="283"/>
    <x v="9"/>
    <s v="Nakuru Plant"/>
    <s v="Line E"/>
    <s v="Water Treatment Chemicals"/>
    <s v="Day"/>
    <s v="R. Njeri"/>
    <n v="916"/>
    <n v="1111"/>
    <n v="22"/>
    <n v="1089"/>
    <n v="89.9"/>
    <n v="6.2"/>
    <n v="136.30000000000001"/>
    <n v="151429.30000000002"/>
    <n v="2998.6000000000004"/>
    <s v="Pass"/>
    <n v="1111"/>
  </r>
  <r>
    <s v="BAT-0458"/>
    <x v="181"/>
    <x v="9"/>
    <s v="Nakuru Plant"/>
    <s v="Line B"/>
    <s v="Industrial Cleaners"/>
    <s v="Day"/>
    <s v="P. Otieno"/>
    <n v="1532"/>
    <n v="1565"/>
    <n v="34"/>
    <n v="1531"/>
    <n v="7"/>
    <n v="6.2"/>
    <n v="136.54"/>
    <n v="213685.09999999998"/>
    <n v="4642.3599999999997"/>
    <s v="Review"/>
    <n v="1565"/>
  </r>
  <r>
    <s v="BAT-0006"/>
    <x v="228"/>
    <x v="11"/>
    <s v="Nakuru Plant"/>
    <s v="Line C"/>
    <s v="Construction Additives"/>
    <s v="Day"/>
    <s v="P. Otieno"/>
    <n v="1585"/>
    <n v="1491"/>
    <n v="39"/>
    <n v="1452"/>
    <n v="74.599999999999994"/>
    <n v="6.2"/>
    <n v="136.86000000000001"/>
    <n v="204058.26"/>
    <n v="5337.5400000000009"/>
    <s v="Review"/>
    <n v="1491"/>
  </r>
  <r>
    <s v="BAT-0118"/>
    <x v="224"/>
    <x v="0"/>
    <s v="Athi River Plant"/>
    <s v="Line E"/>
    <s v="Construction Additives"/>
    <s v="Night"/>
    <s v="J. Mwangi"/>
    <n v="1371"/>
    <n v="1382"/>
    <n v="31"/>
    <n v="1351"/>
    <n v="20.100000000000001"/>
    <n v="7.1"/>
    <n v="136.86000000000001"/>
    <n v="189140.52000000002"/>
    <n v="4242.6600000000008"/>
    <s v="Review"/>
    <n v="1382"/>
  </r>
  <r>
    <s v="BAT-0179"/>
    <x v="284"/>
    <x v="11"/>
    <s v="Athi River Plant"/>
    <s v="Line C"/>
    <s v="Industrial Cleaners"/>
    <s v="Night"/>
    <s v="D. Kamau"/>
    <n v="904"/>
    <n v="785"/>
    <n v="20"/>
    <n v="765"/>
    <n v="59.6"/>
    <n v="6.4"/>
    <n v="136.96"/>
    <n v="107513.60000000001"/>
    <n v="2739.2000000000003"/>
    <s v="Review"/>
    <n v="785"/>
  </r>
  <r>
    <s v="BAT-0336"/>
    <x v="85"/>
    <x v="2"/>
    <s v="Mombasa Plant"/>
    <s v="Line D"/>
    <s v="Construction Additives"/>
    <s v="Evening"/>
    <s v="S. Kiptoo"/>
    <n v="1274"/>
    <n v="1321"/>
    <n v="6"/>
    <n v="1315"/>
    <n v="59.4"/>
    <n v="8.4"/>
    <n v="137.01"/>
    <n v="180990.21"/>
    <n v="822.06"/>
    <s v="Pass"/>
    <n v="1321"/>
  </r>
  <r>
    <s v="BAT-0389"/>
    <x v="187"/>
    <x v="11"/>
    <s v="Mombasa Plant"/>
    <s v="Line B"/>
    <s v="Packaging Resin"/>
    <s v="Day"/>
    <s v="F. Ali"/>
    <n v="1491"/>
    <n v="1422"/>
    <n v="18"/>
    <n v="1404"/>
    <n v="19.2"/>
    <n v="7.9"/>
    <n v="137.32"/>
    <n v="195269.03999999998"/>
    <n v="2471.7599999999998"/>
    <s v="Pass"/>
    <n v="1422"/>
  </r>
  <r>
    <s v="BAT-0100"/>
    <x v="224"/>
    <x v="0"/>
    <s v="Athi River Plant"/>
    <s v="Line D"/>
    <s v="Construction Additives"/>
    <s v="Night"/>
    <s v="S. Kiptoo"/>
    <n v="897"/>
    <n v="774"/>
    <n v="8"/>
    <n v="766"/>
    <n v="48.5"/>
    <n v="6.4"/>
    <n v="137.38"/>
    <n v="106332.12"/>
    <n v="1099.04"/>
    <s v="Pass"/>
    <n v="774"/>
  </r>
  <r>
    <s v="BAT-0394"/>
    <x v="16"/>
    <x v="9"/>
    <s v="Athi River Plant"/>
    <s v="Line E"/>
    <s v="Industrial Cleaners"/>
    <s v="Night"/>
    <s v="R. Njeri"/>
    <n v="938"/>
    <n v="973"/>
    <n v="9"/>
    <n v="964"/>
    <n v="56.8"/>
    <n v="6.1"/>
    <n v="137.55000000000001"/>
    <n v="133836.15000000002"/>
    <n v="1237.95"/>
    <s v="Pass"/>
    <n v="973"/>
  </r>
  <r>
    <s v="BAT-0461"/>
    <x v="285"/>
    <x v="8"/>
    <s v="Nakuru Plant"/>
    <s v="Line E"/>
    <s v="Industrial Cleaners"/>
    <s v="Day"/>
    <s v="J. Mwangi"/>
    <n v="1305"/>
    <n v="1366"/>
    <n v="26"/>
    <n v="1340"/>
    <n v="37.5"/>
    <n v="6.6"/>
    <n v="137.91"/>
    <n v="188385.06"/>
    <n v="3585.66"/>
    <s v="Pass"/>
    <n v="1366"/>
  </r>
  <r>
    <s v="BAT-0332"/>
    <x v="102"/>
    <x v="7"/>
    <s v="Mombasa Plant"/>
    <s v="Line B"/>
    <s v="Packaging Resin"/>
    <s v="Day"/>
    <s v="M. Hassan"/>
    <n v="1353"/>
    <n v="1508"/>
    <n v="13"/>
    <n v="1495"/>
    <n v="22"/>
    <n v="6.9"/>
    <n v="137.91"/>
    <n v="207968.28"/>
    <n v="1792.83"/>
    <s v="Pass"/>
    <n v="1508"/>
  </r>
  <r>
    <s v="BAT-0219"/>
    <x v="12"/>
    <x v="6"/>
    <s v="Mombasa Plant"/>
    <s v="Line A"/>
    <s v="Packaging Resin"/>
    <s v="Night"/>
    <s v="D. Kamau"/>
    <n v="1366"/>
    <n v="1224"/>
    <n v="4"/>
    <n v="1220"/>
    <n v="52.5"/>
    <n v="7"/>
    <n v="138.03"/>
    <n v="168948.72"/>
    <n v="552.12"/>
    <s v="Pass"/>
    <n v="1224"/>
  </r>
  <r>
    <s v="BAT-0007"/>
    <x v="280"/>
    <x v="0"/>
    <s v="Athi River Plant"/>
    <s v="Line C"/>
    <s v="Construction Additives"/>
    <s v="Day"/>
    <s v="S. Kiptoo"/>
    <n v="1496"/>
    <n v="1260"/>
    <n v="35"/>
    <n v="1225"/>
    <n v="20.3"/>
    <n v="8"/>
    <n v="138.15"/>
    <n v="174069"/>
    <n v="4835.25"/>
    <s v="Review"/>
    <n v="1260"/>
  </r>
  <r>
    <s v="BAT-0364"/>
    <x v="260"/>
    <x v="11"/>
    <s v="Nakuru Plant"/>
    <s v="Line D"/>
    <s v="Packaging Resin"/>
    <s v="Night"/>
    <s v="F. Ali"/>
    <n v="1520"/>
    <n v="1664"/>
    <n v="18"/>
    <n v="1646"/>
    <n v="89.2"/>
    <n v="7.3"/>
    <n v="138.47999999999999"/>
    <n v="230430.71999999997"/>
    <n v="2492.64"/>
    <s v="Pass"/>
    <n v="1664"/>
  </r>
  <r>
    <s v="BAT-0003"/>
    <x v="72"/>
    <x v="9"/>
    <s v="Athi River Plant"/>
    <s v="Line A"/>
    <s v="Protective Coatings"/>
    <s v="Day"/>
    <s v="A. Wanjiku"/>
    <n v="1072"/>
    <n v="1121"/>
    <n v="27"/>
    <n v="1094"/>
    <n v="24.3"/>
    <n v="6.7"/>
    <n v="138.5"/>
    <n v="155258.5"/>
    <n v="3739.5"/>
    <s v="Review"/>
    <n v="1121"/>
  </r>
  <r>
    <s v="BAT-0343"/>
    <x v="286"/>
    <x v="9"/>
    <s v="Mombasa Plant"/>
    <s v="Line C"/>
    <s v="Protective Coatings"/>
    <s v="Day"/>
    <s v="P. Otieno"/>
    <n v="1189"/>
    <n v="1232"/>
    <n v="23"/>
    <n v="1209"/>
    <n v="15.9"/>
    <n v="7.6"/>
    <n v="138.65"/>
    <n v="170816.80000000002"/>
    <n v="3188.9500000000003"/>
    <s v="Pass"/>
    <n v="1232"/>
  </r>
  <r>
    <s v="BAT-0109"/>
    <x v="157"/>
    <x v="6"/>
    <s v="Athi River Plant"/>
    <s v="Line B"/>
    <s v="Industrial Cleaners"/>
    <s v="Evening"/>
    <s v="R. Njeri"/>
    <n v="1413"/>
    <n v="1209"/>
    <n v="26"/>
    <n v="1183"/>
    <n v="71.599999999999994"/>
    <n v="7.2"/>
    <n v="138.66"/>
    <n v="167639.94"/>
    <n v="3605.16"/>
    <s v="Review"/>
    <n v="1209"/>
  </r>
  <r>
    <s v="BAT-0350"/>
    <x v="43"/>
    <x v="1"/>
    <s v="Nakuru Plant"/>
    <s v="Line D"/>
    <s v="Packaging Resin"/>
    <s v="Evening"/>
    <s v="J. Mwangi"/>
    <n v="1068"/>
    <n v="1136"/>
    <n v="18"/>
    <n v="1118"/>
    <n v="14.3"/>
    <n v="8.4"/>
    <n v="138.72999999999999"/>
    <n v="157597.28"/>
    <n v="2497.14"/>
    <s v="Pass"/>
    <n v="1136"/>
  </r>
  <r>
    <s v="BAT-0581"/>
    <x v="186"/>
    <x v="0"/>
    <s v="Nakuru Plant"/>
    <s v="Line B"/>
    <s v="Protective Coatings"/>
    <s v="Night"/>
    <s v="J. Mwangi"/>
    <n v="1073"/>
    <n v="1068"/>
    <n v="14"/>
    <n v="1054"/>
    <n v="7.9"/>
    <n v="7.2"/>
    <n v="138.78"/>
    <n v="148217.04"/>
    <n v="1942.92"/>
    <s v="Pass"/>
    <n v="1068"/>
  </r>
  <r>
    <s v="BAT-0116"/>
    <x v="287"/>
    <x v="10"/>
    <s v="Mombasa Plant"/>
    <s v="Line D"/>
    <s v="Packaging Resin"/>
    <s v="Evening"/>
    <s v="R. Njeri"/>
    <n v="1647"/>
    <n v="1637"/>
    <n v="33"/>
    <n v="1604"/>
    <n v="41.4"/>
    <n v="7.8"/>
    <n v="139.02000000000001"/>
    <n v="227575.74000000002"/>
    <n v="4587.6600000000008"/>
    <s v="Review"/>
    <n v="1637"/>
  </r>
  <r>
    <s v="BAT-0094"/>
    <x v="288"/>
    <x v="7"/>
    <s v="Athi River Plant"/>
    <s v="Line A"/>
    <s v="Protective Coatings"/>
    <s v="Night"/>
    <s v="M. Hassan"/>
    <n v="1230"/>
    <n v="1168"/>
    <n v="40"/>
    <n v="1128"/>
    <n v="31.5"/>
    <n v="8.5"/>
    <n v="139.03"/>
    <n v="162387.04"/>
    <n v="5561.2"/>
    <s v="Review"/>
    <n v="1168"/>
  </r>
  <r>
    <s v="BAT-0539"/>
    <x v="132"/>
    <x v="10"/>
    <s v="Mombasa Plant"/>
    <s v="Line A"/>
    <s v="Packaging Resin"/>
    <s v="Night"/>
    <s v="P. Otieno"/>
    <n v="1537"/>
    <n v="1448"/>
    <n v="34"/>
    <n v="1414"/>
    <n v="57"/>
    <n v="7.5"/>
    <n v="139.81"/>
    <n v="202444.88"/>
    <n v="4753.54"/>
    <s v="Review"/>
    <n v="1448"/>
  </r>
  <r>
    <s v="BAT-0529"/>
    <x v="230"/>
    <x v="3"/>
    <s v="Athi River Plant"/>
    <s v="Line D"/>
    <s v="Water Treatment Chemicals"/>
    <s v="Evening"/>
    <s v="P. Otieno"/>
    <n v="1428"/>
    <n v="1431"/>
    <n v="7"/>
    <n v="1424"/>
    <n v="165"/>
    <n v="7.9"/>
    <n v="140.15"/>
    <n v="200554.65"/>
    <n v="981.05000000000007"/>
    <s v="Pass"/>
    <n v="1431"/>
  </r>
  <r>
    <s v="BAT-0200"/>
    <x v="112"/>
    <x v="3"/>
    <s v="Mombasa Plant"/>
    <s v="Line E"/>
    <s v="Construction Additives"/>
    <s v="Night"/>
    <s v="P. Otieno"/>
    <n v="1618"/>
    <n v="1575"/>
    <n v="16"/>
    <n v="1559"/>
    <n v="15"/>
    <n v="6.7"/>
    <n v="140.49"/>
    <n v="221271.75"/>
    <n v="2247.84"/>
    <s v="Pass"/>
    <n v="1575"/>
  </r>
  <r>
    <s v="BAT-0158"/>
    <x v="289"/>
    <x v="10"/>
    <s v="Mombasa Plant"/>
    <s v="Line C"/>
    <s v="Industrial Cleaners"/>
    <s v="Day"/>
    <s v="R. Njeri"/>
    <n v="1212"/>
    <n v="1184"/>
    <n v="22"/>
    <n v="1162"/>
    <n v="21.9"/>
    <n v="7.3"/>
    <n v="140.61000000000001"/>
    <n v="166482.24000000002"/>
    <n v="3093.42"/>
    <s v="Pass"/>
    <n v="1184"/>
  </r>
  <r>
    <s v="BAT-0456"/>
    <x v="48"/>
    <x v="10"/>
    <s v="Mombasa Plant"/>
    <s v="Line E"/>
    <s v="Packaging Resin"/>
    <s v="Day"/>
    <s v="S. Kiptoo"/>
    <n v="803"/>
    <n v="808"/>
    <n v="15"/>
    <n v="793"/>
    <n v="8.4"/>
    <n v="7.2"/>
    <n v="140.72"/>
    <n v="113701.75999999999"/>
    <n v="2110.8000000000002"/>
    <s v="Pass"/>
    <n v="808"/>
  </r>
  <r>
    <s v="BAT-0048"/>
    <x v="187"/>
    <x v="11"/>
    <s v="Mombasa Plant"/>
    <s v="Line B"/>
    <s v="Industrial Cleaners"/>
    <s v="Day"/>
    <s v="F. Ali"/>
    <n v="1225"/>
    <n v="1263"/>
    <n v="26"/>
    <n v="1237"/>
    <n v="120.1"/>
    <n v="7.6"/>
    <n v="141.16999999999999"/>
    <n v="178297.71"/>
    <n v="3670.4199999999996"/>
    <s v="Review"/>
    <n v="1263"/>
  </r>
  <r>
    <s v="BAT-0342"/>
    <x v="290"/>
    <x v="4"/>
    <s v="Nakuru Plant"/>
    <s v="Line D"/>
    <s v="Industrial Cleaners"/>
    <s v="Evening"/>
    <s v="A. Wanjiku"/>
    <n v="1754"/>
    <n v="1832"/>
    <n v="36"/>
    <n v="1796"/>
    <n v="84.7"/>
    <n v="6.9"/>
    <n v="141.18"/>
    <n v="258641.76"/>
    <n v="5082.4800000000005"/>
    <s v="Pass"/>
    <n v="1832"/>
  </r>
  <r>
    <s v="BAT-0449"/>
    <x v="128"/>
    <x v="10"/>
    <s v="Athi River Plant"/>
    <s v="Line D"/>
    <s v="Construction Additives"/>
    <s v="Evening"/>
    <s v="M. Hassan"/>
    <n v="845"/>
    <n v="901"/>
    <n v="28"/>
    <n v="873"/>
    <n v="54.3"/>
    <n v="7.2"/>
    <n v="141.36000000000001"/>
    <n v="127365.36000000002"/>
    <n v="3958.0800000000004"/>
    <s v="Review"/>
    <n v="901"/>
  </r>
  <r>
    <s v="BAT-0367"/>
    <x v="245"/>
    <x v="6"/>
    <s v="Athi River Plant"/>
    <s v="Line C"/>
    <s v="Industrial Cleaners"/>
    <s v="Night"/>
    <s v="D. Kamau"/>
    <n v="1316"/>
    <n v="1453"/>
    <n v="12"/>
    <n v="1441"/>
    <n v="28.3"/>
    <n v="7.6"/>
    <n v="141.44"/>
    <n v="205512.32000000001"/>
    <n v="1697.28"/>
    <s v="Pass"/>
    <n v="1453"/>
  </r>
  <r>
    <s v="BAT-0223"/>
    <x v="291"/>
    <x v="8"/>
    <s v="Athi River Plant"/>
    <s v="Line C"/>
    <s v="Industrial Cleaners"/>
    <s v="Night"/>
    <s v="M. Hassan"/>
    <n v="1041"/>
    <n v="982"/>
    <n v="21"/>
    <n v="961"/>
    <n v="19.100000000000001"/>
    <n v="6.4"/>
    <n v="141.49"/>
    <n v="138943.18000000002"/>
    <n v="2971.29"/>
    <s v="Review"/>
    <n v="982"/>
  </r>
  <r>
    <s v="BAT-0170"/>
    <x v="93"/>
    <x v="5"/>
    <s v="Nakuru Plant"/>
    <s v="Line A"/>
    <s v="Protective Coatings"/>
    <s v="Day"/>
    <s v="S. Kiptoo"/>
    <n v="1137"/>
    <n v="963"/>
    <n v="24"/>
    <n v="939"/>
    <s v=""/>
    <n v="8.1"/>
    <n v="141.94"/>
    <n v="136688.22"/>
    <n v="3406.56"/>
    <s v="Review"/>
    <n v="963"/>
  </r>
  <r>
    <s v="BAT-0598"/>
    <x v="47"/>
    <x v="2"/>
    <s v="Mombasa Plant"/>
    <s v="Line A"/>
    <s v="Water Treatment Chemicals"/>
    <s v="Day"/>
    <s v="R. Njeri"/>
    <n v="1774"/>
    <n v="1529"/>
    <n v="31"/>
    <n v="1498"/>
    <n v="67.7"/>
    <n v="6.6"/>
    <n v="141.97999999999999"/>
    <n v="217087.41999999998"/>
    <n v="4401.38"/>
    <s v="Review"/>
    <n v="1529"/>
  </r>
  <r>
    <s v="BAT-0411"/>
    <x v="1"/>
    <x v="1"/>
    <s v="Athi River Plant"/>
    <s v="Line A"/>
    <s v="Water Treatment Chemicals"/>
    <s v="Night"/>
    <s v="J. Mwangi"/>
    <n v="854"/>
    <n v="888"/>
    <n v="21"/>
    <n v="867"/>
    <n v="40.200000000000003"/>
    <n v="6.5"/>
    <n v="142.36000000000001"/>
    <n v="126415.68000000001"/>
    <n v="2989.5600000000004"/>
    <s v="Review"/>
    <n v="888"/>
  </r>
  <r>
    <s v="BAT-0024"/>
    <x v="3"/>
    <x v="3"/>
    <s v="Mombasa Plant"/>
    <s v="Line B"/>
    <s v="Industrial Cleaners"/>
    <s v="Night"/>
    <s v="P. Otieno"/>
    <n v="998"/>
    <n v="944"/>
    <n v="5"/>
    <n v="939"/>
    <n v="3.9"/>
    <n v="6.5"/>
    <n v="142.46"/>
    <n v="134482.24000000002"/>
    <n v="712.30000000000007"/>
    <s v="Pass"/>
    <n v="944"/>
  </r>
  <r>
    <s v="BAT-0266"/>
    <x v="265"/>
    <x v="9"/>
    <s v="Mombasa Plant"/>
    <s v="Line C"/>
    <s v="Industrial Cleaners"/>
    <s v="Night"/>
    <s v="P. Otieno"/>
    <n v="1079"/>
    <n v="1045"/>
    <n v="24"/>
    <n v="1021"/>
    <n v="43.9"/>
    <n v="8.3000000000000007"/>
    <n v="142.59"/>
    <n v="149006.55000000002"/>
    <n v="3422.16"/>
    <s v="Review"/>
    <n v="1045"/>
  </r>
  <r>
    <s v="BAT-0013"/>
    <x v="208"/>
    <x v="8"/>
    <s v="Mombasa Plant"/>
    <s v="Line D"/>
    <s v="Packaging Resin"/>
    <s v="Evening"/>
    <s v="Not Found"/>
    <n v="840"/>
    <n v="743"/>
    <n v="13"/>
    <n v="730"/>
    <n v="14.9"/>
    <n v="6.9"/>
    <n v="143.30000000000001"/>
    <n v="106471.90000000001"/>
    <n v="1862.9"/>
    <s v="Pass"/>
    <n v="743"/>
  </r>
  <r>
    <s v="BAT-0437"/>
    <x v="287"/>
    <x v="10"/>
    <s v="Nakuru Plant"/>
    <s v="Line A"/>
    <s v="Water Treatment Chemicals"/>
    <s v="Evening"/>
    <s v="M. Hassan"/>
    <n v="785"/>
    <n v="701"/>
    <n v="3"/>
    <n v="698"/>
    <n v="64.2"/>
    <n v="7.5"/>
    <n v="143.30000000000001"/>
    <n v="100453.3"/>
    <n v="429.90000000000003"/>
    <s v="Pass"/>
    <n v="701"/>
  </r>
  <r>
    <s v="BAT-0395"/>
    <x v="233"/>
    <x v="8"/>
    <s v="Nakuru Plant"/>
    <s v="Line B"/>
    <s v="Construction Additives"/>
    <s v="Night"/>
    <s v="A. Wanjiku"/>
    <n v="1138"/>
    <n v="1093"/>
    <n v="24"/>
    <n v="1069"/>
    <n v="29.3"/>
    <n v="7.5"/>
    <n v="143.31"/>
    <n v="156637.83000000002"/>
    <n v="3439.44"/>
    <s v="Review"/>
    <n v="1093"/>
  </r>
  <r>
    <s v="BAT-0318"/>
    <x v="292"/>
    <x v="8"/>
    <s v="Nakuru Plant"/>
    <s v="Line B"/>
    <s v="Construction Additives"/>
    <s v="Evening"/>
    <s v="F. Ali"/>
    <n v="1101"/>
    <n v="886"/>
    <n v="3"/>
    <n v="883"/>
    <n v="39.700000000000003"/>
    <n v="7.9"/>
    <n v="143.37"/>
    <n v="127025.82"/>
    <n v="430.11"/>
    <s v="Pass"/>
    <n v="886"/>
  </r>
  <r>
    <s v="BAT-0104"/>
    <x v="135"/>
    <x v="5"/>
    <s v="Mombasa Plant"/>
    <s v="Line A"/>
    <s v="Packaging Resin"/>
    <s v="Day"/>
    <s v="F. Ali"/>
    <n v="1310"/>
    <n v="1321"/>
    <n v="26"/>
    <n v="1295"/>
    <n v="76"/>
    <n v="6.5"/>
    <n v="143.55000000000001"/>
    <n v="189629.55000000002"/>
    <n v="3732.3"/>
    <s v="Pass"/>
    <n v="1321"/>
  </r>
  <r>
    <s v="BAT-0561"/>
    <x v="293"/>
    <x v="10"/>
    <s v="Athi River Plant"/>
    <s v="Line C"/>
    <s v="Construction Additives"/>
    <s v="Day"/>
    <s v="A. Wanjiku"/>
    <n v="757"/>
    <n v="619"/>
    <n v="6"/>
    <n v="613"/>
    <n v="1.5"/>
    <n v="7.2"/>
    <n v="143.79"/>
    <n v="89006.01"/>
    <n v="862.74"/>
    <s v="Pass"/>
    <n v="619"/>
  </r>
  <r>
    <s v="BAT-0368"/>
    <x v="89"/>
    <x v="4"/>
    <s v="Athi River Plant"/>
    <s v="Line C"/>
    <s v="Protective Coatings"/>
    <s v="Day"/>
    <s v="S. Kiptoo"/>
    <n v="1481"/>
    <n v="1265"/>
    <n v="12"/>
    <n v="1253"/>
    <n v="3.5"/>
    <n v="7.3"/>
    <n v="143.84"/>
    <n v="181957.6"/>
    <n v="1726.08"/>
    <s v="Pass"/>
    <n v="1265"/>
  </r>
  <r>
    <s v="BAT-0376"/>
    <x v="186"/>
    <x v="0"/>
    <s v="Nakuru Plant"/>
    <s v="Line D"/>
    <s v="Protective Coatings"/>
    <s v="Day"/>
    <s v="F. Ali"/>
    <n v="1468"/>
    <n v="1531"/>
    <n v="37"/>
    <n v="1494"/>
    <n v="75.3"/>
    <n v="8.1"/>
    <n v="143.86000000000001"/>
    <n v="220249.66000000003"/>
    <n v="5322.8200000000006"/>
    <s v="Review"/>
    <n v="1531"/>
  </r>
  <r>
    <s v="BAT-0078"/>
    <x v="211"/>
    <x v="1"/>
    <s v="Mombasa Plant"/>
    <s v="Line A"/>
    <s v="Construction Additives"/>
    <s v="Evening"/>
    <s v="R. Njeri"/>
    <n v="882"/>
    <n v="847"/>
    <n v="7"/>
    <n v="840"/>
    <n v="38"/>
    <n v="7.3"/>
    <n v="143.96"/>
    <n v="121934.12000000001"/>
    <n v="1007.72"/>
    <s v="Pass"/>
    <n v="847"/>
  </r>
  <r>
    <s v="BAT-0589"/>
    <x v="294"/>
    <x v="11"/>
    <s v="Nakuru Plant"/>
    <s v="Line D"/>
    <s v="Protective Coatings"/>
    <s v="Evening"/>
    <s v="D. Kamau"/>
    <n v="1485"/>
    <n v="1402"/>
    <n v="47"/>
    <n v="1355"/>
    <n v="28.2"/>
    <n v="7.8"/>
    <n v="144.44999999999999"/>
    <n v="202518.9"/>
    <n v="6789.15"/>
    <s v="Review"/>
    <n v="1402"/>
  </r>
  <r>
    <s v="BAT-0016"/>
    <x v="191"/>
    <x v="2"/>
    <s v="Nakuru Plant"/>
    <s v="Line B"/>
    <s v="Protective Coatings"/>
    <s v="Day"/>
    <s v="F. Ali"/>
    <n v="1347"/>
    <n v="1186"/>
    <n v="33"/>
    <n v="1153"/>
    <n v="45.5"/>
    <n v="6.3"/>
    <n v="144.62"/>
    <n v="171519.32"/>
    <n v="4772.46"/>
    <s v="Review"/>
    <n v="1186"/>
  </r>
  <r>
    <s v="BAT-0399"/>
    <x v="165"/>
    <x v="4"/>
    <s v="Athi River Plant"/>
    <s v="Line B"/>
    <s v="Protective Coatings"/>
    <s v="Night"/>
    <s v="P. Otieno"/>
    <n v="830"/>
    <n v="783"/>
    <n v="3"/>
    <n v="780"/>
    <n v="87.4"/>
    <n v="7.8"/>
    <n v="144.91999999999999"/>
    <n v="113472.35999999999"/>
    <n v="434.76"/>
    <s v="Pass"/>
    <n v="7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D2B5F4-0CC6-4C8B-AE3E-5CA2C9343CA0}"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47:E48"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Accepted_Units" fld="11" baseField="0" baseItem="0"/>
    <dataField name="Sum of Rejected_Unit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51F87-F4D6-4BB1-BC9A-5DADE380BFE0}"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6:F27"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Target_Units" fld="8" baseField="0" baseItem="0"/>
    <dataField name="Sum of Units_Produced" fld="9"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E88A12-11D4-4600-A454-9DDFC03AE6A0}"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87:F95" firstHeaderRow="1" firstDataRow="2" firstDataCol="1"/>
  <pivotFields count="21">
    <pivotField showAll="0"/>
    <pivotField showAll="0"/>
    <pivotField numFmtId="167" showAll="0"/>
    <pivotField showAll="0"/>
    <pivotField axis="axisRow" showAll="0" sortType="ascending">
      <items count="7">
        <item x="0"/>
        <item x="1"/>
        <item x="4"/>
        <item x="3"/>
        <item x="2"/>
        <item x="5"/>
        <item t="default"/>
      </items>
    </pivotField>
    <pivotField axis="axisCol" showAll="0">
      <items count="5">
        <item x="1"/>
        <item x="3"/>
        <item x="0"/>
        <item x="2"/>
        <item t="default"/>
      </items>
    </pivotField>
    <pivotField showAll="0"/>
    <pivotField showAll="0"/>
    <pivotField dataField="1" showAll="0"/>
    <pivotField numFmtId="165" showAll="0"/>
    <pivotField numFmtId="165" showAll="0"/>
    <pivotField showAll="0"/>
    <pivotField showAll="0"/>
    <pivotField numFmtId="167" showAll="0"/>
    <pivotField showAll="0"/>
    <pivotField showAll="0"/>
    <pivotField showAll="0"/>
    <pivotField numFmtId="166" showAll="0"/>
    <pivotField numFmtId="166" showAll="0"/>
    <pivotField showAll="0"/>
    <pivotField showAll="0"/>
  </pivotFields>
  <rowFields count="1">
    <field x="4"/>
  </rowFields>
  <rowItems count="7">
    <i>
      <x/>
    </i>
    <i>
      <x v="1"/>
    </i>
    <i>
      <x v="2"/>
    </i>
    <i>
      <x v="3"/>
    </i>
    <i>
      <x v="4"/>
    </i>
    <i>
      <x v="5"/>
    </i>
    <i t="grand">
      <x/>
    </i>
  </rowItems>
  <colFields count="1">
    <field x="5"/>
  </colFields>
  <colItems count="5">
    <i>
      <x/>
    </i>
    <i>
      <x v="1"/>
    </i>
    <i>
      <x v="2"/>
    </i>
    <i>
      <x v="3"/>
    </i>
    <i t="grand">
      <x/>
    </i>
  </colItems>
  <dataFields count="1">
    <dataField name="Sum of Quantity_Units" fld="8"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2">
          <reference field="4294967294" count="1" selected="0">
            <x v="0"/>
          </reference>
          <reference field="5" count="1" selected="0">
            <x v="1"/>
          </reference>
        </references>
      </pivotArea>
    </chartFormat>
    <chartFormat chart="6" format="7" series="1">
      <pivotArea type="data" outline="0" fieldPosition="0">
        <references count="2">
          <reference field="4294967294" count="1" selected="0">
            <x v="0"/>
          </reference>
          <reference field="5" count="1" selected="0">
            <x v="2"/>
          </reference>
        </references>
      </pivotArea>
    </chartFormat>
    <chartFormat chart="6" format="8"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7EF557-3F84-4CF9-8BA9-84A57EE80759}"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5:C69" firstHeaderRow="0" firstDataRow="1" firstDataCol="1"/>
  <pivotFields count="18">
    <pivotField showAll="0"/>
    <pivotField numFmtId="14"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numFmtId="166" showAll="0"/>
    <pivotField numFmtId="166" showAll="0"/>
    <pivotField numFmtId="166" showAll="0"/>
    <pivotField showAll="0"/>
  </pivotFields>
  <rowFields count="1">
    <field x="3"/>
  </rowFields>
  <rowItems count="4">
    <i>
      <x/>
    </i>
    <i>
      <x v="1"/>
    </i>
    <i>
      <x v="2"/>
    </i>
    <i t="grand">
      <x/>
    </i>
  </rowItems>
  <colFields count="1">
    <field x="-2"/>
  </colFields>
  <colItems count="2">
    <i>
      <x/>
    </i>
    <i i="1">
      <x v="1"/>
    </i>
  </colItems>
  <dataFields count="2">
    <dataField name=" Downtime_Hours" fld="12" subtotal="count" baseField="3" baseItem="0"/>
    <dataField name=" Operating_Hours" fld="13" baseField="3"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C219E-62D9-45BD-A85C-F657CC334462}"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B120:C133"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66" showAll="0"/>
    <pivotField numFmtId="166" showAll="0"/>
    <pivotField numFmtId="166"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Units_Produced" fld="9"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DBDEC3-2C59-4C0F-AF34-BAB8ACA6744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B47" firstHeaderRow="1" firstDataRow="1" firstDataCol="1"/>
  <pivotFields count="16">
    <pivotField showAll="0"/>
    <pivotField showAll="0"/>
    <pivotField showAll="0"/>
    <pivotField showAll="0"/>
    <pivotField axis="axisRow" showAll="0" sortType="a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dataField="1" numFmtId="44" showAll="0"/>
    <pivotField numFmtId="164" showAll="0"/>
    <pivotField showAll="0"/>
  </pivotFields>
  <rowFields count="1">
    <field x="4"/>
  </rowFields>
  <rowItems count="6">
    <i>
      <x/>
    </i>
    <i>
      <x v="3"/>
    </i>
    <i>
      <x v="4"/>
    </i>
    <i>
      <x v="2"/>
    </i>
    <i>
      <x v="1"/>
    </i>
    <i t="grand">
      <x/>
    </i>
  </rowItems>
  <colItems count="1">
    <i/>
  </colItems>
  <dataFields count="1">
    <dataField name="Sum of Total_Production_Cos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3D63A-7F64-4B4A-A6FD-0440C27E8BA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G8" firstHeaderRow="1" firstDataRow="2" firstDataCol="1"/>
  <pivotFields count="16">
    <pivotField showAll="0"/>
    <pivotField showAll="0"/>
    <pivotField axis="axisRow" showAll="0">
      <items count="4">
        <item x="0"/>
        <item x="1"/>
        <item x="2"/>
        <item t="default"/>
      </items>
    </pivotField>
    <pivotField showAll="0">
      <items count="6">
        <item x="3"/>
        <item x="4"/>
        <item x="2"/>
        <item x="1"/>
        <item x="0"/>
        <item t="default"/>
      </items>
    </pivotField>
    <pivotField axis="axisCol" showAll="0">
      <items count="6">
        <item x="4"/>
        <item x="1"/>
        <item x="0"/>
        <item x="3"/>
        <item x="2"/>
        <item t="default"/>
      </items>
    </pivotField>
    <pivotField showAll="0"/>
    <pivotField showAll="0"/>
    <pivotField showAll="0"/>
    <pivotField showAll="0"/>
    <pivotField showAll="0"/>
    <pivotField showAll="0"/>
    <pivotField showAll="0"/>
    <pivotField numFmtId="164" showAll="0"/>
    <pivotField dataField="1" numFmtId="44" showAll="0"/>
    <pivotField numFmtId="164" showAll="0"/>
    <pivotField showAll="0">
      <items count="3">
        <item x="1"/>
        <item x="0"/>
        <item t="default"/>
      </items>
    </pivotField>
  </pivotFields>
  <rowFields count="1">
    <field x="2"/>
  </rowFields>
  <rowItems count="4">
    <i>
      <x/>
    </i>
    <i>
      <x v="1"/>
    </i>
    <i>
      <x v="2"/>
    </i>
    <i t="grand">
      <x/>
    </i>
  </rowItems>
  <colFields count="1">
    <field x="4"/>
  </colFields>
  <colItems count="6">
    <i>
      <x/>
    </i>
    <i>
      <x v="1"/>
    </i>
    <i>
      <x v="2"/>
    </i>
    <i>
      <x v="3"/>
    </i>
    <i>
      <x v="4"/>
    </i>
    <i t="grand">
      <x/>
    </i>
  </colItems>
  <dataFields count="1">
    <dataField name="Total_production_cost_percompany." fld="13" baseField="2" baseItem="0"/>
  </dataFields>
  <chartFormats count="2">
    <chartFormat chart="4" format="21"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5CE59B-BAEA-4597-BE50-65682CA5C477}"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O5:P12" firstHeaderRow="1" firstDataRow="1" firstDataCol="1"/>
  <pivotFields count="20">
    <pivotField showAll="0"/>
    <pivotField showAll="0"/>
    <pivotField showAll="0">
      <items count="15">
        <item x="0"/>
        <item x="1"/>
        <item x="2"/>
        <item x="3"/>
        <item x="4"/>
        <item x="5"/>
        <item x="6"/>
        <item x="7"/>
        <item x="8"/>
        <item x="9"/>
        <item x="10"/>
        <item x="11"/>
        <item x="12"/>
        <item x="13"/>
        <item t="default"/>
      </items>
    </pivotField>
    <pivotField showAll="0">
      <items count="9">
        <item x="5"/>
        <item x="6"/>
        <item x="7"/>
        <item x="4"/>
        <item x="1"/>
        <item x="2"/>
        <item x="3"/>
        <item x="0"/>
        <item t="default"/>
      </items>
    </pivotField>
    <pivotField axis="axisRow" showAll="0" sortType="ascending">
      <items count="7">
        <item x="0"/>
        <item x="1"/>
        <item x="4"/>
        <item x="3"/>
        <item x="2"/>
        <item x="5"/>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showAll="0"/>
    <pivotField numFmtId="165" showAll="0"/>
    <pivotField numFmtId="165" showAll="0"/>
    <pivotField showAll="0"/>
    <pivotField showAll="0"/>
    <pivotField showAll="0"/>
    <pivotField showAll="0"/>
    <pivotField showAll="0"/>
    <pivotField showAll="0">
      <items count="3">
        <item x="0"/>
        <item x="1"/>
        <item t="default"/>
      </items>
    </pivotField>
    <pivotField numFmtId="166" showAll="0"/>
    <pivotField dataField="1" numFmtId="166" showAll="0"/>
    <pivotField showAll="0">
      <items count="4">
        <item x="0"/>
        <item x="1"/>
        <item x="2"/>
        <item t="default"/>
      </items>
    </pivotField>
  </pivotFields>
  <rowFields count="1">
    <field x="4"/>
  </rowFields>
  <rowItems count="7">
    <i>
      <x v="5"/>
    </i>
    <i>
      <x v="4"/>
    </i>
    <i>
      <x v="3"/>
    </i>
    <i>
      <x v="2"/>
    </i>
    <i>
      <x/>
    </i>
    <i>
      <x v="1"/>
    </i>
    <i t="grand">
      <x/>
    </i>
  </rowItems>
  <colItems count="1">
    <i/>
  </colItems>
  <dataFields count="1">
    <dataField name="Sum of Total_Cost" fld="1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BFFDEF-43AF-42F8-A5F8-F2BE5CBA44B7}"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4:B23" firstHeaderRow="1" firstDataRow="1" firstDataCol="1"/>
  <pivotFields count="17">
    <pivotField showAll="0"/>
    <pivotField axis="axisRow" showAll="0" sortType="ascending">
      <items count="9">
        <item x="5"/>
        <item x="6"/>
        <item x="7"/>
        <item x="4"/>
        <item x="1"/>
        <item x="2"/>
        <item x="3"/>
        <item x="0"/>
        <item t="default"/>
      </items>
      <autoSortScope>
        <pivotArea dataOnly="0" outline="0" fieldPosition="0">
          <references count="1">
            <reference field="4294967294" count="1" selected="0">
              <x v="0"/>
            </reference>
          </references>
        </pivotArea>
      </autoSortScope>
    </pivotField>
    <pivotField showAll="0">
      <items count="7">
        <item x="0"/>
        <item x="1"/>
        <item x="4"/>
        <item x="3"/>
        <item x="2"/>
        <item x="5"/>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dataField="1" numFmtId="165" showAll="0"/>
  </pivotFields>
  <rowFields count="1">
    <field x="1"/>
  </rowFields>
  <rowItems count="9">
    <i>
      <x v="3"/>
    </i>
    <i>
      <x v="1"/>
    </i>
    <i>
      <x v="2"/>
    </i>
    <i>
      <x v="7"/>
    </i>
    <i>
      <x v="5"/>
    </i>
    <i>
      <x/>
    </i>
    <i>
      <x v="6"/>
    </i>
    <i>
      <x v="4"/>
    </i>
    <i t="grand">
      <x/>
    </i>
  </rowItems>
  <colItems count="1">
    <i/>
  </colItems>
  <dataFields count="1">
    <dataField name="Sum of Total_Cost" fld="16" baseField="0" baseItem="0"/>
  </dataField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18DCDA-2D1C-4217-ABE8-FE05ACF28CB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6:B40" firstHeaderRow="1" firstDataRow="1" firstDataCol="1"/>
  <pivotFields count="20">
    <pivotField showAll="0"/>
    <pivotField showAll="0"/>
    <pivotField axis="axisRow"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65" showAll="0"/>
    <pivotField numFmtId="165" showAll="0"/>
    <pivotField showAll="0"/>
    <pivotField showAll="0"/>
    <pivotField numFmtId="167" showAll="0"/>
    <pivotField showAll="0"/>
    <pivotField showAll="0"/>
    <pivotField showAll="0"/>
    <pivotField numFmtId="166" showAll="0"/>
    <pivotField dataField="1" numFmtId="166" showAll="0"/>
    <pivotField axis="axisRow" showAll="0">
      <items count="4">
        <item x="0"/>
        <item x="1"/>
        <item x="2"/>
        <item t="default"/>
      </items>
    </pivotField>
  </pivotFields>
  <rowFields count="2">
    <field x="19"/>
    <field x="2"/>
  </rowFields>
  <rowItems count="14">
    <i>
      <x v="1"/>
    </i>
    <i r="1">
      <x v="1"/>
    </i>
    <i r="1">
      <x v="2"/>
    </i>
    <i r="1">
      <x v="3"/>
    </i>
    <i r="1">
      <x v="4"/>
    </i>
    <i r="1">
      <x v="5"/>
    </i>
    <i r="1">
      <x v="6"/>
    </i>
    <i r="1">
      <x v="7"/>
    </i>
    <i r="1">
      <x v="8"/>
    </i>
    <i r="1">
      <x v="9"/>
    </i>
    <i r="1">
      <x v="10"/>
    </i>
    <i r="1">
      <x v="11"/>
    </i>
    <i r="1">
      <x v="12"/>
    </i>
    <i t="grand">
      <x/>
    </i>
  </rowItems>
  <colItems count="1">
    <i/>
  </colItems>
  <dataFields count="1">
    <dataField name="Sum of Total_Cos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59916C6A-CF8D-431E-8111-E128ADF37D45}" sourceName="Plant">
  <pivotTables>
    <pivotTable tabId="3" name="PivotTable1"/>
  </pivotTables>
  <data>
    <tabular pivotCacheId="8983666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42890C2C-FC81-4712-99FE-FBF407E6C1D2}" sourceName="Production_Line">
  <pivotTables>
    <pivotTable tabId="3" name="PivotTable1"/>
  </pivotTables>
  <data>
    <tabular pivotCacheId="898366621">
      <items count="5">
        <i x="3"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Status" xr10:uid="{8F66FD9F-65AD-4DBD-9A9E-5A71BEC4BE4A}" sourceName="Quality_Status">
  <pivotTables>
    <pivotTable tabId="3" name="PivotTable1"/>
  </pivotTables>
  <data>
    <tabular pivotCacheId="89836662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1A20923-2A46-456C-88E1-15AFFAB7EB64}" sourceName="Shift">
  <data>
    <tabular pivotCacheId="100331009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2DC53BF-F980-4089-B797-75C52458DBD4}" sourceName="Delivery_Status">
  <pivotTables>
    <pivotTable tabId="4" name="PivotTable2"/>
  </pivotTables>
  <data>
    <tabular pivotCacheId="61870289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7ECBBD11-ACE2-460E-9F8C-31B671DECD60}" sourceName="Customer">
  <pivotTables>
    <pivotTable tabId="4" name="PivotTable2"/>
  </pivotTables>
  <data>
    <tabular pivotCacheId="618702896">
      <items count="8">
        <i x="5" s="1"/>
        <i x="6" s="1"/>
        <i x="7" s="1"/>
        <i x="4" s="1"/>
        <i x="1" s="1"/>
        <i x="2"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 xr10:uid="{238CF848-4B8E-4276-9887-D42EDC70763D}" sourceName="Material_Category">
  <pivotTables>
    <pivotTable tabId="4" name="PivotTable2"/>
  </pivotTables>
  <data>
    <tabular pivotCacheId="618702896">
      <items count="6">
        <i x="0" s="1"/>
        <i x="1" s="1"/>
        <i x="4" s="1"/>
        <i x="3"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atch_Depot" xr10:uid="{A43E4D64-4BCF-4247-B89F-6DB3AA28112B}" sourceName="Dispatch_Depot">
  <pivotTables>
    <pivotTable tabId="4" name="PivotTable2"/>
  </pivotTables>
  <data>
    <tabular pivotCacheId="618702896">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C947F976-9DB2-4C72-9AF4-56394055B622}" cache="Slicer_Plant" caption="Plant" rowHeight="234950"/>
  <slicer name="Production_Line" xr10:uid="{239E3CE5-F118-4F6A-AC0D-E5384ED93B34}" cache="Slicer_Production_Line" caption="Production_Line" rowHeight="234950"/>
  <slicer name="Quality_Status" xr10:uid="{19B312E6-E2EC-47B2-9CD2-2958FF5E2831}" cache="Slicer_Quality_Status" caption="Quality_Status" rowHeight="234950"/>
  <slicer name="Shift" xr10:uid="{9F994A6E-0A44-4684-ACB8-6E47335A28A1}" cache="Slicer_Shift" caption="Shift" rowHeight="234950"/>
  <slicer name="Delivery_Status" xr10:uid="{81B69B60-D63B-46C0-869A-8329DF7D95CC}" cache="Slicer_Delivery_Status" caption="Delivery_Status" rowHeight="234950"/>
  <slicer name="Customer" xr10:uid="{4F91DF78-008C-4160-B014-6AE6C28A89E9}" cache="Slicer_Customer" caption="Customer" rowHeight="234950"/>
  <slicer name="Material_Category" xr10:uid="{77F56495-A98D-4BBF-8FCD-82FD22BFA6D9}" cache="Slicer_Material_Category" caption="Material_Category" startItem="1" rowHeight="234950"/>
  <slicer name="Dispatch_Depot" xr10:uid="{EF415D50-32C4-4A5B-9CDF-CF1BF403D6E0}" cache="Slicer_Dispatch_Depot" caption="Dispatch_Depo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D2D3-2712-43C7-9CC1-A4330C3201A2}">
  <dimension ref="A3:H133"/>
  <sheetViews>
    <sheetView topLeftCell="A108" workbookViewId="0">
      <selection activeCell="G124" sqref="G124"/>
    </sheetView>
  </sheetViews>
  <sheetFormatPr defaultRowHeight="14.4" x14ac:dyDescent="0.3"/>
  <cols>
    <col min="1" max="2" width="12.5546875" bestFit="1" customWidth="1"/>
    <col min="3" max="3" width="21.109375" bestFit="1" customWidth="1"/>
    <col min="4" max="4" width="20.88671875" bestFit="1" customWidth="1"/>
    <col min="5" max="5" width="20.33203125" bestFit="1" customWidth="1"/>
    <col min="6" max="6" width="21.109375" bestFit="1" customWidth="1"/>
    <col min="7" max="7" width="24.5546875" bestFit="1" customWidth="1"/>
    <col min="8" max="8" width="4" hidden="1" customWidth="1"/>
    <col min="9" max="9" width="9.21875" bestFit="1" customWidth="1"/>
    <col min="10" max="10" width="14.77734375" bestFit="1" customWidth="1"/>
    <col min="11" max="11" width="11.33203125" bestFit="1" customWidth="1"/>
    <col min="12" max="12" width="8.6640625" bestFit="1" customWidth="1"/>
    <col min="13" max="13" width="14.44140625" bestFit="1" customWidth="1"/>
    <col min="14" max="14" width="10.77734375" bestFit="1" customWidth="1"/>
    <col min="15" max="151" width="4" bestFit="1" customWidth="1"/>
    <col min="152" max="480" width="5" bestFit="1" customWidth="1"/>
    <col min="481" max="481" width="10.77734375" bestFit="1" customWidth="1"/>
  </cols>
  <sheetData>
    <row r="3" spans="1:7" x14ac:dyDescent="0.3">
      <c r="A3" s="4" t="s">
        <v>1888</v>
      </c>
      <c r="B3" s="4" t="s">
        <v>1887</v>
      </c>
    </row>
    <row r="4" spans="1:7" x14ac:dyDescent="0.3">
      <c r="A4" s="4" t="s">
        <v>1885</v>
      </c>
      <c r="B4" t="s">
        <v>43</v>
      </c>
      <c r="C4" t="s">
        <v>18</v>
      </c>
      <c r="D4" t="s">
        <v>26</v>
      </c>
      <c r="E4" t="s">
        <v>33</v>
      </c>
      <c r="F4" t="s">
        <v>49</v>
      </c>
      <c r="G4" t="s">
        <v>1886</v>
      </c>
    </row>
    <row r="5" spans="1:7" x14ac:dyDescent="0.3">
      <c r="A5" s="5" t="s">
        <v>32</v>
      </c>
      <c r="B5" s="6">
        <v>2931697.07</v>
      </c>
      <c r="C5" s="6">
        <v>3835277.0500000003</v>
      </c>
      <c r="D5" s="6">
        <v>4184172.3900000011</v>
      </c>
      <c r="E5" s="6">
        <v>5068281.8599999994</v>
      </c>
      <c r="F5" s="6">
        <v>4025045.8900000006</v>
      </c>
      <c r="G5" s="6">
        <v>20044474.260000002</v>
      </c>
    </row>
    <row r="6" spans="1:7" x14ac:dyDescent="0.3">
      <c r="A6" s="5" t="s">
        <v>16</v>
      </c>
      <c r="B6" s="6">
        <v>3549031.3899999997</v>
      </c>
      <c r="C6" s="6">
        <v>4708701.0500000007</v>
      </c>
      <c r="D6" s="6">
        <v>4314451.9399999995</v>
      </c>
      <c r="E6" s="6">
        <v>2541742.5399999996</v>
      </c>
      <c r="F6" s="6">
        <v>3773468.5399999991</v>
      </c>
      <c r="G6" s="6">
        <v>18887395.459999997</v>
      </c>
    </row>
    <row r="7" spans="1:7" x14ac:dyDescent="0.3">
      <c r="A7" s="5" t="s">
        <v>24</v>
      </c>
      <c r="B7" s="6">
        <v>3638109.9</v>
      </c>
      <c r="C7" s="6">
        <v>3979502.58</v>
      </c>
      <c r="D7" s="6">
        <v>3908928.7099999995</v>
      </c>
      <c r="E7" s="6">
        <v>3680078.2600000002</v>
      </c>
      <c r="F7" s="6">
        <v>4010555.2299999991</v>
      </c>
      <c r="G7" s="6">
        <v>19217174.68</v>
      </c>
    </row>
    <row r="8" spans="1:7" x14ac:dyDescent="0.3">
      <c r="A8" s="5" t="s">
        <v>1886</v>
      </c>
      <c r="B8" s="6">
        <v>10118838.359999999</v>
      </c>
      <c r="C8" s="6">
        <v>12523480.680000002</v>
      </c>
      <c r="D8" s="6">
        <v>12407553.039999999</v>
      </c>
      <c r="E8" s="6">
        <v>11290102.659999998</v>
      </c>
      <c r="F8" s="6">
        <v>11809069.659999998</v>
      </c>
      <c r="G8" s="6">
        <v>58149044.399999999</v>
      </c>
    </row>
    <row r="26" spans="4:6" x14ac:dyDescent="0.3">
      <c r="E26" t="s">
        <v>1918</v>
      </c>
      <c r="F26" t="s">
        <v>1889</v>
      </c>
    </row>
    <row r="27" spans="4:6" x14ac:dyDescent="0.3">
      <c r="E27" s="6">
        <v>752080</v>
      </c>
      <c r="F27" s="6">
        <v>719038</v>
      </c>
    </row>
    <row r="28" spans="4:6" x14ac:dyDescent="0.3">
      <c r="D28" s="23"/>
      <c r="E28" s="6"/>
    </row>
    <row r="29" spans="4:6" x14ac:dyDescent="0.3">
      <c r="D29" s="23"/>
      <c r="E29" s="6"/>
    </row>
    <row r="30" spans="4:6" x14ac:dyDescent="0.3">
      <c r="D30" s="23"/>
      <c r="E30" s="6"/>
    </row>
    <row r="31" spans="4:6" x14ac:dyDescent="0.3">
      <c r="D31" s="23"/>
      <c r="E31" s="6"/>
    </row>
    <row r="32" spans="4:6" x14ac:dyDescent="0.3">
      <c r="D32" s="23"/>
      <c r="E32" s="6"/>
    </row>
    <row r="33" spans="1:5" x14ac:dyDescent="0.3">
      <c r="D33" s="23"/>
      <c r="E33" s="6"/>
    </row>
    <row r="34" spans="1:5" x14ac:dyDescent="0.3">
      <c r="D34" s="23"/>
      <c r="E34" s="6"/>
    </row>
    <row r="35" spans="1:5" x14ac:dyDescent="0.3">
      <c r="D35" s="23"/>
      <c r="E35" s="6"/>
    </row>
    <row r="36" spans="1:5" x14ac:dyDescent="0.3">
      <c r="D36" s="23"/>
      <c r="E36" s="6"/>
    </row>
    <row r="37" spans="1:5" x14ac:dyDescent="0.3">
      <c r="D37" s="23"/>
      <c r="E37" s="6"/>
    </row>
    <row r="38" spans="1:5" x14ac:dyDescent="0.3">
      <c r="D38" s="23"/>
      <c r="E38" s="6"/>
    </row>
    <row r="39" spans="1:5" x14ac:dyDescent="0.3">
      <c r="D39" s="23"/>
      <c r="E39" s="6"/>
    </row>
    <row r="41" spans="1:5" x14ac:dyDescent="0.3">
      <c r="A41" s="4" t="s">
        <v>1885</v>
      </c>
      <c r="B41" t="s">
        <v>1914</v>
      </c>
    </row>
    <row r="42" spans="1:5" x14ac:dyDescent="0.3">
      <c r="A42" s="5" t="s">
        <v>43</v>
      </c>
      <c r="B42" s="6">
        <v>10118838.359999998</v>
      </c>
    </row>
    <row r="43" spans="1:5" x14ac:dyDescent="0.3">
      <c r="A43" s="5" t="s">
        <v>33</v>
      </c>
      <c r="B43" s="6">
        <v>11290102.66</v>
      </c>
    </row>
    <row r="44" spans="1:5" x14ac:dyDescent="0.3">
      <c r="A44" s="5" t="s">
        <v>49</v>
      </c>
      <c r="B44" s="6">
        <v>11809069.660000004</v>
      </c>
    </row>
    <row r="45" spans="1:5" x14ac:dyDescent="0.3">
      <c r="A45" s="5" t="s">
        <v>26</v>
      </c>
      <c r="B45" s="6">
        <v>12407553.039999999</v>
      </c>
    </row>
    <row r="46" spans="1:5" x14ac:dyDescent="0.3">
      <c r="A46" s="5" t="s">
        <v>18</v>
      </c>
      <c r="B46" s="6">
        <v>12523480.679999998</v>
      </c>
    </row>
    <row r="47" spans="1:5" x14ac:dyDescent="0.3">
      <c r="A47" s="5" t="s">
        <v>1886</v>
      </c>
      <c r="B47" s="6">
        <v>58149044.399999999</v>
      </c>
      <c r="D47" t="s">
        <v>1916</v>
      </c>
      <c r="E47" t="s">
        <v>1915</v>
      </c>
    </row>
    <row r="48" spans="1:5" x14ac:dyDescent="0.3">
      <c r="D48" s="6">
        <v>705614</v>
      </c>
      <c r="E48" s="6">
        <v>13424</v>
      </c>
    </row>
    <row r="65" spans="1:3" x14ac:dyDescent="0.3">
      <c r="A65" s="4" t="s">
        <v>1885</v>
      </c>
      <c r="B65" t="s">
        <v>1892</v>
      </c>
      <c r="C65" t="s">
        <v>1893</v>
      </c>
    </row>
    <row r="66" spans="1:3" x14ac:dyDescent="0.3">
      <c r="A66" s="5" t="s">
        <v>32</v>
      </c>
      <c r="B66" s="6">
        <v>205</v>
      </c>
      <c r="C66" s="6">
        <v>1489.3999999999994</v>
      </c>
    </row>
    <row r="67" spans="1:3" x14ac:dyDescent="0.3">
      <c r="A67" s="5" t="s">
        <v>16</v>
      </c>
      <c r="B67" s="6">
        <v>198</v>
      </c>
      <c r="C67" s="6">
        <v>1425.0000000000007</v>
      </c>
    </row>
    <row r="68" spans="1:3" x14ac:dyDescent="0.3">
      <c r="A68" s="5" t="s">
        <v>24</v>
      </c>
      <c r="B68" s="6">
        <v>197</v>
      </c>
      <c r="C68" s="6">
        <v>1434.0999999999992</v>
      </c>
    </row>
    <row r="69" spans="1:3" x14ac:dyDescent="0.3">
      <c r="A69" s="5" t="s">
        <v>1886</v>
      </c>
      <c r="B69" s="6">
        <v>600</v>
      </c>
      <c r="C69" s="6">
        <v>4348.4999999999973</v>
      </c>
    </row>
    <row r="87" spans="1:6" x14ac:dyDescent="0.3">
      <c r="A87" s="4" t="s">
        <v>1920</v>
      </c>
      <c r="B87" s="4" t="s">
        <v>1887</v>
      </c>
    </row>
    <row r="88" spans="1:6" x14ac:dyDescent="0.3">
      <c r="A88" s="4" t="s">
        <v>1885</v>
      </c>
      <c r="B88" t="s">
        <v>963</v>
      </c>
      <c r="C88" t="s">
        <v>980</v>
      </c>
      <c r="D88" t="s">
        <v>956</v>
      </c>
      <c r="E88" t="s">
        <v>971</v>
      </c>
      <c r="F88" t="s">
        <v>1886</v>
      </c>
    </row>
    <row r="89" spans="1:6" x14ac:dyDescent="0.3">
      <c r="A89" s="5" t="s">
        <v>43</v>
      </c>
      <c r="B89" s="6">
        <v>43690</v>
      </c>
      <c r="C89" s="6">
        <v>46381</v>
      </c>
      <c r="D89" s="6">
        <v>49225</v>
      </c>
      <c r="E89" s="6">
        <v>49938</v>
      </c>
      <c r="F89" s="6">
        <v>189234</v>
      </c>
    </row>
    <row r="90" spans="1:6" x14ac:dyDescent="0.3">
      <c r="A90" s="5" t="s">
        <v>962</v>
      </c>
      <c r="B90" s="6">
        <v>36178</v>
      </c>
      <c r="C90" s="6">
        <v>36356</v>
      </c>
      <c r="D90" s="6">
        <v>45857</v>
      </c>
      <c r="E90" s="6">
        <v>59297</v>
      </c>
      <c r="F90" s="6">
        <v>177688</v>
      </c>
    </row>
    <row r="91" spans="1:6" x14ac:dyDescent="0.3">
      <c r="A91" s="5" t="s">
        <v>990</v>
      </c>
      <c r="B91" s="6">
        <v>24698</v>
      </c>
      <c r="C91" s="6">
        <v>59443</v>
      </c>
      <c r="D91" s="6">
        <v>43987</v>
      </c>
      <c r="E91" s="6">
        <v>43745</v>
      </c>
      <c r="F91" s="6">
        <v>171873</v>
      </c>
    </row>
    <row r="92" spans="1:6" x14ac:dyDescent="0.3">
      <c r="A92" s="5" t="s">
        <v>987</v>
      </c>
      <c r="B92" s="6">
        <v>35337</v>
      </c>
      <c r="C92" s="6">
        <v>46427</v>
      </c>
      <c r="D92" s="6">
        <v>33402</v>
      </c>
      <c r="E92" s="6">
        <v>45060</v>
      </c>
      <c r="F92" s="6">
        <v>160226</v>
      </c>
    </row>
    <row r="93" spans="1:6" x14ac:dyDescent="0.3">
      <c r="A93" s="5" t="s">
        <v>33</v>
      </c>
      <c r="B93" s="6">
        <v>34396</v>
      </c>
      <c r="C93" s="6">
        <v>49864</v>
      </c>
      <c r="D93" s="6">
        <v>41594</v>
      </c>
      <c r="E93" s="6">
        <v>38720</v>
      </c>
      <c r="F93" s="6">
        <v>164574</v>
      </c>
    </row>
    <row r="94" spans="1:6" x14ac:dyDescent="0.3">
      <c r="A94" s="5" t="s">
        <v>49</v>
      </c>
      <c r="B94" s="6">
        <v>32935</v>
      </c>
      <c r="C94" s="6">
        <v>38102</v>
      </c>
      <c r="D94" s="6">
        <v>38126</v>
      </c>
      <c r="E94" s="6">
        <v>38604</v>
      </c>
      <c r="F94" s="6">
        <v>147767</v>
      </c>
    </row>
    <row r="95" spans="1:6" x14ac:dyDescent="0.3">
      <c r="A95" s="5" t="s">
        <v>1886</v>
      </c>
      <c r="B95" s="6">
        <v>207234</v>
      </c>
      <c r="C95" s="6">
        <v>276573</v>
      </c>
      <c r="D95" s="6">
        <v>252191</v>
      </c>
      <c r="E95" s="6">
        <v>275364</v>
      </c>
      <c r="F95" s="6">
        <v>1011362</v>
      </c>
    </row>
    <row r="120" spans="2:3" x14ac:dyDescent="0.3">
      <c r="B120" s="4" t="s">
        <v>1885</v>
      </c>
      <c r="C120" t="s">
        <v>1889</v>
      </c>
    </row>
    <row r="121" spans="2:3" x14ac:dyDescent="0.3">
      <c r="B121" s="5" t="s">
        <v>1899</v>
      </c>
      <c r="C121" s="6">
        <v>51421</v>
      </c>
    </row>
    <row r="122" spans="2:3" x14ac:dyDescent="0.3">
      <c r="B122" s="5" t="s">
        <v>1900</v>
      </c>
      <c r="C122" s="6">
        <v>74000</v>
      </c>
    </row>
    <row r="123" spans="2:3" x14ac:dyDescent="0.3">
      <c r="B123" s="5" t="s">
        <v>1901</v>
      </c>
      <c r="C123" s="6">
        <v>57251</v>
      </c>
    </row>
    <row r="124" spans="2:3" x14ac:dyDescent="0.3">
      <c r="B124" s="5" t="s">
        <v>1902</v>
      </c>
      <c r="C124" s="6">
        <v>63586</v>
      </c>
    </row>
    <row r="125" spans="2:3" x14ac:dyDescent="0.3">
      <c r="B125" s="5" t="s">
        <v>1903</v>
      </c>
      <c r="C125" s="6">
        <v>45018</v>
      </c>
    </row>
    <row r="126" spans="2:3" x14ac:dyDescent="0.3">
      <c r="B126" s="5" t="s">
        <v>1904</v>
      </c>
      <c r="C126" s="6">
        <v>70355</v>
      </c>
    </row>
    <row r="127" spans="2:3" x14ac:dyDescent="0.3">
      <c r="B127" s="5" t="s">
        <v>1905</v>
      </c>
      <c r="C127" s="6">
        <v>60288</v>
      </c>
    </row>
    <row r="128" spans="2:3" x14ac:dyDescent="0.3">
      <c r="B128" s="5" t="s">
        <v>1906</v>
      </c>
      <c r="C128" s="6">
        <v>53108</v>
      </c>
    </row>
    <row r="129" spans="2:3" x14ac:dyDescent="0.3">
      <c r="B129" s="5" t="s">
        <v>1907</v>
      </c>
      <c r="C129" s="6">
        <v>50810</v>
      </c>
    </row>
    <row r="130" spans="2:3" x14ac:dyDescent="0.3">
      <c r="B130" s="5" t="s">
        <v>1908</v>
      </c>
      <c r="C130" s="6">
        <v>77073</v>
      </c>
    </row>
    <row r="131" spans="2:3" x14ac:dyDescent="0.3">
      <c r="B131" s="5" t="s">
        <v>1909</v>
      </c>
      <c r="C131" s="6">
        <v>50068</v>
      </c>
    </row>
    <row r="132" spans="2:3" x14ac:dyDescent="0.3">
      <c r="B132" s="5" t="s">
        <v>1910</v>
      </c>
      <c r="C132" s="6">
        <v>66060</v>
      </c>
    </row>
    <row r="133" spans="2:3" x14ac:dyDescent="0.3">
      <c r="B133" s="5" t="s">
        <v>1886</v>
      </c>
      <c r="C133" s="6">
        <v>719038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FB5E-08BA-4AC8-9DB0-880ECC0B8C35}">
  <dimension ref="A1:U30"/>
  <sheetViews>
    <sheetView showGridLines="0" tabSelected="1" zoomScaleNormal="100" workbookViewId="0">
      <selection activeCell="A68" sqref="A68"/>
    </sheetView>
  </sheetViews>
  <sheetFormatPr defaultRowHeight="14.4" x14ac:dyDescent="0.3"/>
  <sheetData>
    <row r="1" spans="1:21" ht="14.4" customHeight="1" x14ac:dyDescent="0.3">
      <c r="A1" s="26" t="s">
        <v>1919</v>
      </c>
      <c r="B1" s="27"/>
      <c r="C1" s="27"/>
      <c r="D1" s="27"/>
      <c r="E1" s="27"/>
      <c r="F1" s="27"/>
      <c r="G1" s="27"/>
      <c r="H1" s="27"/>
      <c r="I1" s="27"/>
      <c r="J1" s="27"/>
      <c r="K1" s="27"/>
      <c r="L1" s="27"/>
      <c r="M1" s="27"/>
      <c r="N1" s="27"/>
      <c r="O1" s="27"/>
      <c r="P1" s="27"/>
      <c r="Q1" s="27"/>
      <c r="R1" s="27"/>
      <c r="S1" s="27"/>
      <c r="T1" s="27"/>
      <c r="U1" s="27"/>
    </row>
    <row r="2" spans="1:21" ht="14.4" customHeight="1" x14ac:dyDescent="0.3">
      <c r="A2" s="27"/>
      <c r="B2" s="27"/>
      <c r="C2" s="27"/>
      <c r="D2" s="27"/>
      <c r="E2" s="27"/>
      <c r="F2" s="27"/>
      <c r="G2" s="27"/>
      <c r="H2" s="27"/>
      <c r="I2" s="27"/>
      <c r="J2" s="27"/>
      <c r="K2" s="27"/>
      <c r="L2" s="27"/>
      <c r="M2" s="27"/>
      <c r="N2" s="27"/>
      <c r="O2" s="27"/>
      <c r="P2" s="27"/>
      <c r="Q2" s="27"/>
      <c r="R2" s="27"/>
      <c r="S2" s="27"/>
      <c r="T2" s="27"/>
      <c r="U2" s="27"/>
    </row>
    <row r="3" spans="1:21" ht="14.4" customHeight="1" x14ac:dyDescent="0.55000000000000004">
      <c r="A3" s="22"/>
      <c r="B3" s="22"/>
      <c r="C3" s="22"/>
      <c r="D3" s="22"/>
      <c r="E3" s="22"/>
      <c r="F3" s="22"/>
      <c r="G3" s="22"/>
      <c r="H3" s="22"/>
      <c r="I3" s="22"/>
      <c r="J3" s="22"/>
      <c r="K3" s="22"/>
      <c r="L3" s="22"/>
      <c r="M3" s="22"/>
      <c r="N3" s="22"/>
      <c r="O3" s="22"/>
      <c r="P3" s="22"/>
    </row>
    <row r="4" spans="1:21" ht="14.4" customHeight="1" x14ac:dyDescent="0.55000000000000004">
      <c r="A4" s="22"/>
      <c r="B4" s="22"/>
      <c r="C4" s="22"/>
      <c r="D4" s="22"/>
      <c r="E4" s="22"/>
      <c r="F4" s="22"/>
      <c r="G4" s="22"/>
      <c r="H4" s="22"/>
      <c r="I4" s="22"/>
      <c r="J4" s="22"/>
      <c r="K4" s="22"/>
      <c r="L4" s="22"/>
      <c r="M4" s="22"/>
      <c r="N4" s="22"/>
      <c r="O4" s="22"/>
      <c r="P4" s="22"/>
    </row>
    <row r="29" spans="1:19" x14ac:dyDescent="0.3">
      <c r="A29" s="28" t="s">
        <v>1921</v>
      </c>
      <c r="B29" s="29"/>
      <c r="C29" s="29"/>
      <c r="D29" s="29"/>
      <c r="E29" s="29"/>
      <c r="F29" s="29"/>
      <c r="G29" s="29"/>
      <c r="H29" s="29"/>
      <c r="I29" s="29"/>
      <c r="J29" s="29"/>
      <c r="K29" s="29"/>
      <c r="L29" s="29"/>
      <c r="M29" s="29"/>
      <c r="N29" s="29"/>
      <c r="O29" s="29"/>
      <c r="P29" s="29"/>
      <c r="Q29" s="29"/>
      <c r="R29" s="29"/>
      <c r="S29" s="29"/>
    </row>
    <row r="30" spans="1:19" x14ac:dyDescent="0.3">
      <c r="A30" s="29"/>
      <c r="B30" s="29"/>
      <c r="C30" s="29"/>
      <c r="D30" s="29"/>
      <c r="E30" s="29"/>
      <c r="F30" s="29"/>
      <c r="G30" s="29"/>
      <c r="H30" s="29"/>
      <c r="I30" s="29"/>
      <c r="J30" s="29"/>
      <c r="K30" s="29"/>
      <c r="L30" s="29"/>
      <c r="M30" s="29"/>
      <c r="N30" s="29"/>
      <c r="O30" s="29"/>
      <c r="P30" s="29"/>
      <c r="Q30" s="29"/>
      <c r="R30" s="29"/>
      <c r="S30" s="29"/>
    </row>
  </sheetData>
  <mergeCells count="2">
    <mergeCell ref="A1:U2"/>
    <mergeCell ref="A29:S3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1"/>
  <sheetViews>
    <sheetView topLeftCell="I1" workbookViewId="0">
      <pane ySplit="1" topLeftCell="A575" activePane="bottomLeft" state="frozen"/>
      <selection pane="bottomLeft" sqref="A1:S601"/>
    </sheetView>
  </sheetViews>
  <sheetFormatPr defaultRowHeight="14.4" x14ac:dyDescent="0.3"/>
  <cols>
    <col min="1" max="1" width="12" customWidth="1"/>
    <col min="2" max="2" width="17" style="13" customWidth="1"/>
    <col min="3" max="3" width="17" style="25" customWidth="1"/>
    <col min="4" max="4" width="18" customWidth="1"/>
    <col min="5" max="5" width="17" customWidth="1"/>
    <col min="6" max="6" width="27" customWidth="1"/>
    <col min="7" max="8" width="12" customWidth="1"/>
    <col min="9" max="9" width="14" customWidth="1"/>
    <col min="10" max="13" width="16" customWidth="1"/>
    <col min="14" max="14" width="17" customWidth="1"/>
    <col min="15" max="15" width="26" style="8" customWidth="1"/>
    <col min="16" max="16" width="26" style="10" customWidth="1"/>
    <col min="17" max="17" width="26" style="8" customWidth="1"/>
    <col min="18" max="19" width="16" customWidth="1"/>
  </cols>
  <sheetData>
    <row r="1" spans="1:19" ht="30" customHeight="1" x14ac:dyDescent="0.3">
      <c r="A1" s="1" t="s">
        <v>0</v>
      </c>
      <c r="B1" s="12" t="s">
        <v>1</v>
      </c>
      <c r="C1" s="24" t="s">
        <v>1891</v>
      </c>
      <c r="D1" s="1" t="s">
        <v>2</v>
      </c>
      <c r="E1" s="1" t="s">
        <v>3</v>
      </c>
      <c r="F1" s="1" t="s">
        <v>4</v>
      </c>
      <c r="G1" s="1" t="s">
        <v>5</v>
      </c>
      <c r="H1" s="1" t="s">
        <v>6</v>
      </c>
      <c r="I1" s="1" t="s">
        <v>7</v>
      </c>
      <c r="J1" s="1" t="s">
        <v>8</v>
      </c>
      <c r="K1" s="1" t="s">
        <v>9</v>
      </c>
      <c r="L1" s="1" t="s">
        <v>1890</v>
      </c>
      <c r="M1" s="1" t="s">
        <v>10</v>
      </c>
      <c r="N1" s="1" t="s">
        <v>11</v>
      </c>
      <c r="O1" s="7" t="s">
        <v>12</v>
      </c>
      <c r="P1" s="9" t="s">
        <v>1883</v>
      </c>
      <c r="Q1" s="11" t="s">
        <v>1884</v>
      </c>
      <c r="R1" s="1" t="s">
        <v>13</v>
      </c>
      <c r="S1" s="21" t="s">
        <v>1917</v>
      </c>
    </row>
    <row r="2" spans="1:19" x14ac:dyDescent="0.3">
      <c r="A2" t="s">
        <v>723</v>
      </c>
      <c r="B2" s="13">
        <v>45705</v>
      </c>
      <c r="C2" s="25">
        <f>DATE(YEAR(B2), MONTH(B2), 1 )</f>
        <v>45689</v>
      </c>
      <c r="D2" t="s">
        <v>32</v>
      </c>
      <c r="E2" t="s">
        <v>36</v>
      </c>
      <c r="F2" t="s">
        <v>26</v>
      </c>
      <c r="G2" t="s">
        <v>27</v>
      </c>
      <c r="H2" t="s">
        <v>82</v>
      </c>
      <c r="I2">
        <v>1555</v>
      </c>
      <c r="J2">
        <v>1525</v>
      </c>
      <c r="K2">
        <v>46</v>
      </c>
      <c r="L2">
        <f>J2 -K2</f>
        <v>1479</v>
      </c>
      <c r="M2">
        <v>5.9</v>
      </c>
      <c r="N2">
        <v>6.5</v>
      </c>
      <c r="O2" s="8">
        <v>18.100000000000001</v>
      </c>
      <c r="P2" s="10">
        <f t="shared" ref="P2:P65" si="0">J2*O2</f>
        <v>27602.500000000004</v>
      </c>
      <c r="Q2" s="8">
        <f>K2*O2</f>
        <v>832.6</v>
      </c>
      <c r="R2" t="s">
        <v>21</v>
      </c>
      <c r="S2">
        <f>L2  + K2</f>
        <v>1525</v>
      </c>
    </row>
    <row r="3" spans="1:19" x14ac:dyDescent="0.3">
      <c r="A3" t="s">
        <v>863</v>
      </c>
      <c r="B3" s="13">
        <v>45721</v>
      </c>
      <c r="C3" s="25">
        <f t="shared" ref="C3:C66" si="1">DATE(YEAR(B3), MONTH(B3), 1 )</f>
        <v>45717</v>
      </c>
      <c r="D3" t="s">
        <v>32</v>
      </c>
      <c r="E3" t="s">
        <v>62</v>
      </c>
      <c r="F3" t="s">
        <v>18</v>
      </c>
      <c r="G3" t="s">
        <v>40</v>
      </c>
      <c r="H3" t="s">
        <v>69</v>
      </c>
      <c r="I3">
        <v>1745</v>
      </c>
      <c r="J3">
        <v>1510</v>
      </c>
      <c r="K3">
        <v>52</v>
      </c>
      <c r="L3">
        <f t="shared" ref="L3:L66" si="2">J3 -K3</f>
        <v>1458</v>
      </c>
      <c r="M3">
        <v>83.3</v>
      </c>
      <c r="N3">
        <v>7</v>
      </c>
      <c r="O3" s="8">
        <v>18.25</v>
      </c>
      <c r="P3" s="10">
        <f t="shared" si="0"/>
        <v>27557.5</v>
      </c>
      <c r="Q3" s="8">
        <f t="shared" ref="Q3:Q66" si="3">K3*O3</f>
        <v>949</v>
      </c>
      <c r="R3" t="s">
        <v>21</v>
      </c>
      <c r="S3">
        <f t="shared" ref="S3:S66" si="4">L3  + K3</f>
        <v>1510</v>
      </c>
    </row>
    <row r="4" spans="1:19" x14ac:dyDescent="0.3">
      <c r="A4" t="s">
        <v>637</v>
      </c>
      <c r="B4" s="13">
        <v>45939</v>
      </c>
      <c r="C4" s="25">
        <f t="shared" si="1"/>
        <v>45931</v>
      </c>
      <c r="D4" t="s">
        <v>16</v>
      </c>
      <c r="E4" t="s">
        <v>17</v>
      </c>
      <c r="F4" t="s">
        <v>49</v>
      </c>
      <c r="G4" t="s">
        <v>40</v>
      </c>
      <c r="H4" t="s">
        <v>75</v>
      </c>
      <c r="I4">
        <v>713</v>
      </c>
      <c r="J4">
        <v>582</v>
      </c>
      <c r="K4">
        <v>9</v>
      </c>
      <c r="L4">
        <f t="shared" si="2"/>
        <v>573</v>
      </c>
      <c r="M4">
        <v>22.3</v>
      </c>
      <c r="N4">
        <v>8.1999999999999993</v>
      </c>
      <c r="O4" s="8">
        <v>18.34</v>
      </c>
      <c r="P4" s="10">
        <f t="shared" si="0"/>
        <v>10673.88</v>
      </c>
      <c r="Q4" s="8">
        <f t="shared" si="3"/>
        <v>165.06</v>
      </c>
      <c r="R4" t="s">
        <v>29</v>
      </c>
      <c r="S4">
        <f t="shared" si="4"/>
        <v>582</v>
      </c>
    </row>
    <row r="5" spans="1:19" x14ac:dyDescent="0.3">
      <c r="A5" t="s">
        <v>728</v>
      </c>
      <c r="B5" s="13">
        <v>45996</v>
      </c>
      <c r="C5" s="25">
        <f t="shared" si="1"/>
        <v>45992</v>
      </c>
      <c r="D5" t="s">
        <v>24</v>
      </c>
      <c r="E5" t="s">
        <v>62</v>
      </c>
      <c r="F5" t="s">
        <v>18</v>
      </c>
      <c r="G5" t="s">
        <v>40</v>
      </c>
      <c r="H5" t="s">
        <v>20</v>
      </c>
      <c r="I5">
        <v>1361</v>
      </c>
      <c r="J5">
        <v>1217</v>
      </c>
      <c r="K5">
        <v>37</v>
      </c>
      <c r="L5">
        <f t="shared" si="2"/>
        <v>1180</v>
      </c>
      <c r="M5">
        <v>12.1</v>
      </c>
      <c r="N5">
        <v>6.9</v>
      </c>
      <c r="O5" s="8">
        <v>18.55</v>
      </c>
      <c r="P5" s="10">
        <f t="shared" si="0"/>
        <v>22575.350000000002</v>
      </c>
      <c r="Q5" s="8">
        <f t="shared" si="3"/>
        <v>686.35</v>
      </c>
      <c r="R5" t="s">
        <v>21</v>
      </c>
      <c r="S5">
        <f t="shared" si="4"/>
        <v>1217</v>
      </c>
    </row>
    <row r="6" spans="1:19" x14ac:dyDescent="0.3">
      <c r="A6" t="s">
        <v>782</v>
      </c>
      <c r="B6" s="13">
        <v>45763</v>
      </c>
      <c r="C6" s="25">
        <f t="shared" si="1"/>
        <v>45748</v>
      </c>
      <c r="D6" t="s">
        <v>32</v>
      </c>
      <c r="E6" t="s">
        <v>36</v>
      </c>
      <c r="F6" t="s">
        <v>33</v>
      </c>
      <c r="G6" t="s">
        <v>27</v>
      </c>
      <c r="H6" t="s">
        <v>72</v>
      </c>
      <c r="I6">
        <v>1025</v>
      </c>
      <c r="J6">
        <v>955</v>
      </c>
      <c r="K6">
        <v>16</v>
      </c>
      <c r="L6">
        <f t="shared" si="2"/>
        <v>939</v>
      </c>
      <c r="M6">
        <v>38.700000000000003</v>
      </c>
      <c r="N6">
        <v>8</v>
      </c>
      <c r="O6" s="8">
        <v>18.850000000000001</v>
      </c>
      <c r="P6" s="10">
        <f t="shared" si="0"/>
        <v>18001.75</v>
      </c>
      <c r="Q6" s="8">
        <f t="shared" si="3"/>
        <v>301.60000000000002</v>
      </c>
      <c r="R6" t="s">
        <v>29</v>
      </c>
      <c r="S6">
        <f t="shared" si="4"/>
        <v>955</v>
      </c>
    </row>
    <row r="7" spans="1:19" x14ac:dyDescent="0.3">
      <c r="A7" t="s">
        <v>110</v>
      </c>
      <c r="B7" s="13">
        <v>45681</v>
      </c>
      <c r="C7" s="25">
        <f t="shared" si="1"/>
        <v>45658</v>
      </c>
      <c r="D7" t="s">
        <v>16</v>
      </c>
      <c r="E7" t="s">
        <v>17</v>
      </c>
      <c r="F7" t="s">
        <v>33</v>
      </c>
      <c r="G7" t="s">
        <v>27</v>
      </c>
      <c r="H7" t="s">
        <v>75</v>
      </c>
      <c r="I7">
        <v>869</v>
      </c>
      <c r="J7">
        <v>785</v>
      </c>
      <c r="K7">
        <v>12</v>
      </c>
      <c r="L7">
        <f t="shared" si="2"/>
        <v>773</v>
      </c>
      <c r="M7">
        <v>46.3</v>
      </c>
      <c r="N7">
        <v>7.6</v>
      </c>
      <c r="O7" s="8">
        <v>19.36</v>
      </c>
      <c r="P7" s="10">
        <f t="shared" si="0"/>
        <v>15197.6</v>
      </c>
      <c r="Q7" s="8">
        <f t="shared" si="3"/>
        <v>232.32</v>
      </c>
      <c r="R7" t="s">
        <v>29</v>
      </c>
      <c r="S7">
        <f t="shared" si="4"/>
        <v>785</v>
      </c>
    </row>
    <row r="8" spans="1:19" x14ac:dyDescent="0.3">
      <c r="A8" t="s">
        <v>567</v>
      </c>
      <c r="B8" s="13">
        <v>46000</v>
      </c>
      <c r="C8" s="25">
        <f t="shared" si="1"/>
        <v>45992</v>
      </c>
      <c r="D8" t="s">
        <v>16</v>
      </c>
      <c r="E8" t="s">
        <v>25</v>
      </c>
      <c r="F8" t="s">
        <v>33</v>
      </c>
      <c r="G8" t="s">
        <v>40</v>
      </c>
      <c r="H8" t="s">
        <v>28</v>
      </c>
      <c r="I8">
        <v>996</v>
      </c>
      <c r="J8">
        <v>1060</v>
      </c>
      <c r="K8">
        <v>28</v>
      </c>
      <c r="L8">
        <f t="shared" si="2"/>
        <v>1032</v>
      </c>
      <c r="M8">
        <v>60.4</v>
      </c>
      <c r="N8">
        <v>6.9</v>
      </c>
      <c r="O8" s="8">
        <v>19.39</v>
      </c>
      <c r="P8" s="10">
        <f t="shared" si="0"/>
        <v>20553.400000000001</v>
      </c>
      <c r="Q8" s="8">
        <f t="shared" si="3"/>
        <v>542.92000000000007</v>
      </c>
      <c r="R8" t="s">
        <v>21</v>
      </c>
      <c r="S8">
        <f t="shared" si="4"/>
        <v>1060</v>
      </c>
    </row>
    <row r="9" spans="1:19" x14ac:dyDescent="0.3">
      <c r="A9" t="s">
        <v>458</v>
      </c>
      <c r="B9" s="13">
        <v>45688</v>
      </c>
      <c r="C9" s="25">
        <f t="shared" si="1"/>
        <v>45658</v>
      </c>
      <c r="D9" t="s">
        <v>16</v>
      </c>
      <c r="E9" t="s">
        <v>62</v>
      </c>
      <c r="F9" t="s">
        <v>33</v>
      </c>
      <c r="G9" t="s">
        <v>40</v>
      </c>
      <c r="H9" t="s">
        <v>72</v>
      </c>
      <c r="I9">
        <v>771</v>
      </c>
      <c r="J9">
        <v>790</v>
      </c>
      <c r="K9">
        <v>22</v>
      </c>
      <c r="L9">
        <f t="shared" si="2"/>
        <v>768</v>
      </c>
      <c r="M9">
        <v>11.1</v>
      </c>
      <c r="N9">
        <v>8.1999999999999993</v>
      </c>
      <c r="O9" s="8">
        <v>19.399999999999999</v>
      </c>
      <c r="P9" s="10">
        <f t="shared" si="0"/>
        <v>15325.999999999998</v>
      </c>
      <c r="Q9" s="8">
        <f t="shared" si="3"/>
        <v>426.79999999999995</v>
      </c>
      <c r="R9" t="s">
        <v>21</v>
      </c>
      <c r="S9">
        <f t="shared" si="4"/>
        <v>790</v>
      </c>
    </row>
    <row r="10" spans="1:19" x14ac:dyDescent="0.3">
      <c r="A10" t="s">
        <v>680</v>
      </c>
      <c r="B10" s="13">
        <v>45941</v>
      </c>
      <c r="C10" s="25">
        <f t="shared" si="1"/>
        <v>45931</v>
      </c>
      <c r="D10" t="s">
        <v>24</v>
      </c>
      <c r="E10" t="s">
        <v>59</v>
      </c>
      <c r="F10" t="s">
        <v>49</v>
      </c>
      <c r="G10" t="s">
        <v>40</v>
      </c>
      <c r="H10" t="s">
        <v>82</v>
      </c>
      <c r="I10">
        <v>1347</v>
      </c>
      <c r="J10">
        <v>1370</v>
      </c>
      <c r="K10">
        <v>7</v>
      </c>
      <c r="L10">
        <f t="shared" si="2"/>
        <v>1363</v>
      </c>
      <c r="M10">
        <v>3.9</v>
      </c>
      <c r="N10">
        <v>6.6</v>
      </c>
      <c r="O10" s="8">
        <v>19.420000000000002</v>
      </c>
      <c r="P10" s="10">
        <f t="shared" si="0"/>
        <v>26605.4</v>
      </c>
      <c r="Q10" s="8">
        <f t="shared" si="3"/>
        <v>135.94</v>
      </c>
      <c r="R10" t="s">
        <v>29</v>
      </c>
      <c r="S10">
        <f t="shared" si="4"/>
        <v>1370</v>
      </c>
    </row>
    <row r="11" spans="1:19" x14ac:dyDescent="0.3">
      <c r="A11" t="s">
        <v>736</v>
      </c>
      <c r="B11" s="13">
        <v>45836</v>
      </c>
      <c r="C11" s="25">
        <f t="shared" si="1"/>
        <v>45809</v>
      </c>
      <c r="D11" t="s">
        <v>32</v>
      </c>
      <c r="E11" t="s">
        <v>62</v>
      </c>
      <c r="F11" t="s">
        <v>33</v>
      </c>
      <c r="G11" t="s">
        <v>27</v>
      </c>
      <c r="H11" t="s">
        <v>75</v>
      </c>
      <c r="I11">
        <v>1158</v>
      </c>
      <c r="J11">
        <v>1173</v>
      </c>
      <c r="K11">
        <v>31</v>
      </c>
      <c r="L11">
        <f t="shared" si="2"/>
        <v>1142</v>
      </c>
      <c r="M11">
        <v>118.5</v>
      </c>
      <c r="N11">
        <v>6.9</v>
      </c>
      <c r="O11" s="8">
        <v>19.649999999999999</v>
      </c>
      <c r="P11" s="10">
        <f t="shared" si="0"/>
        <v>23049.449999999997</v>
      </c>
      <c r="Q11" s="8">
        <f t="shared" si="3"/>
        <v>609.15</v>
      </c>
      <c r="R11" t="s">
        <v>21</v>
      </c>
      <c r="S11">
        <f t="shared" si="4"/>
        <v>1173</v>
      </c>
    </row>
    <row r="12" spans="1:19" x14ac:dyDescent="0.3">
      <c r="A12" t="s">
        <v>378</v>
      </c>
      <c r="B12" s="13">
        <v>45790</v>
      </c>
      <c r="C12" s="25">
        <f t="shared" si="1"/>
        <v>45778</v>
      </c>
      <c r="D12" t="s">
        <v>32</v>
      </c>
      <c r="E12" t="s">
        <v>62</v>
      </c>
      <c r="F12" t="s">
        <v>49</v>
      </c>
      <c r="G12" t="s">
        <v>19</v>
      </c>
      <c r="H12" t="s">
        <v>37</v>
      </c>
      <c r="I12">
        <v>1540</v>
      </c>
      <c r="J12">
        <v>1442</v>
      </c>
      <c r="K12">
        <v>25</v>
      </c>
      <c r="L12">
        <f t="shared" si="2"/>
        <v>1417</v>
      </c>
      <c r="M12">
        <v>27.5</v>
      </c>
      <c r="N12">
        <v>6.2</v>
      </c>
      <c r="O12" s="8">
        <v>20.010000000000002</v>
      </c>
      <c r="P12" s="10">
        <f t="shared" si="0"/>
        <v>28854.420000000002</v>
      </c>
      <c r="Q12" s="8">
        <f t="shared" si="3"/>
        <v>500.25000000000006</v>
      </c>
      <c r="R12" t="s">
        <v>29</v>
      </c>
      <c r="S12">
        <f t="shared" si="4"/>
        <v>1442</v>
      </c>
    </row>
    <row r="13" spans="1:19" x14ac:dyDescent="0.3">
      <c r="A13" t="s">
        <v>707</v>
      </c>
      <c r="B13" s="13">
        <v>45911</v>
      </c>
      <c r="C13" s="25">
        <f t="shared" si="1"/>
        <v>45901</v>
      </c>
      <c r="D13" t="s">
        <v>16</v>
      </c>
      <c r="E13" t="s">
        <v>36</v>
      </c>
      <c r="F13" t="s">
        <v>26</v>
      </c>
      <c r="G13" t="s">
        <v>40</v>
      </c>
      <c r="H13" t="s">
        <v>37</v>
      </c>
      <c r="I13">
        <v>937</v>
      </c>
      <c r="J13">
        <v>854</v>
      </c>
      <c r="K13">
        <v>22</v>
      </c>
      <c r="L13">
        <f t="shared" si="2"/>
        <v>832</v>
      </c>
      <c r="M13">
        <v>15.9</v>
      </c>
      <c r="N13">
        <v>7.1</v>
      </c>
      <c r="O13" s="8">
        <v>20.059999999999999</v>
      </c>
      <c r="P13" s="10">
        <f t="shared" si="0"/>
        <v>17131.239999999998</v>
      </c>
      <c r="Q13" s="8">
        <f t="shared" si="3"/>
        <v>441.32</v>
      </c>
      <c r="R13" t="s">
        <v>21</v>
      </c>
      <c r="S13">
        <f t="shared" si="4"/>
        <v>854</v>
      </c>
    </row>
    <row r="14" spans="1:19" x14ac:dyDescent="0.3">
      <c r="A14" t="s">
        <v>493</v>
      </c>
      <c r="B14" s="13">
        <v>45821</v>
      </c>
      <c r="C14" s="25">
        <f t="shared" si="1"/>
        <v>45809</v>
      </c>
      <c r="D14" t="s">
        <v>16</v>
      </c>
      <c r="E14" t="s">
        <v>17</v>
      </c>
      <c r="F14" t="s">
        <v>18</v>
      </c>
      <c r="G14" t="s">
        <v>27</v>
      </c>
      <c r="H14" t="s">
        <v>72</v>
      </c>
      <c r="I14">
        <v>1511</v>
      </c>
      <c r="J14">
        <v>1349</v>
      </c>
      <c r="K14">
        <v>18</v>
      </c>
      <c r="L14">
        <f t="shared" si="2"/>
        <v>1331</v>
      </c>
      <c r="M14">
        <v>45.3</v>
      </c>
      <c r="N14">
        <v>8.5</v>
      </c>
      <c r="O14" s="8">
        <v>20.059999999999999</v>
      </c>
      <c r="P14" s="10">
        <f t="shared" si="0"/>
        <v>27060.94</v>
      </c>
      <c r="Q14" s="8">
        <f t="shared" si="3"/>
        <v>361.08</v>
      </c>
      <c r="R14" t="s">
        <v>29</v>
      </c>
      <c r="S14">
        <f t="shared" si="4"/>
        <v>1349</v>
      </c>
    </row>
    <row r="15" spans="1:19" x14ac:dyDescent="0.3">
      <c r="A15" t="s">
        <v>794</v>
      </c>
      <c r="B15" s="13">
        <v>45998</v>
      </c>
      <c r="C15" s="25">
        <f t="shared" si="1"/>
        <v>45992</v>
      </c>
      <c r="D15" t="s">
        <v>16</v>
      </c>
      <c r="E15" t="s">
        <v>25</v>
      </c>
      <c r="F15" t="s">
        <v>33</v>
      </c>
      <c r="G15" t="s">
        <v>40</v>
      </c>
      <c r="H15" t="s">
        <v>37</v>
      </c>
      <c r="I15">
        <v>1791</v>
      </c>
      <c r="J15">
        <v>1917</v>
      </c>
      <c r="K15">
        <v>35</v>
      </c>
      <c r="L15">
        <f t="shared" si="2"/>
        <v>1882</v>
      </c>
      <c r="M15" t="str">
        <f xml:space="preserve"> ""</f>
        <v/>
      </c>
      <c r="N15">
        <v>6.1</v>
      </c>
      <c r="O15" s="8">
        <v>20.09</v>
      </c>
      <c r="P15" s="10">
        <f t="shared" si="0"/>
        <v>38512.53</v>
      </c>
      <c r="Q15" s="8">
        <f t="shared" si="3"/>
        <v>703.15</v>
      </c>
      <c r="R15" t="s">
        <v>29</v>
      </c>
      <c r="S15">
        <f t="shared" si="4"/>
        <v>1917</v>
      </c>
    </row>
    <row r="16" spans="1:19" x14ac:dyDescent="0.3">
      <c r="A16" t="s">
        <v>594</v>
      </c>
      <c r="B16" s="13">
        <v>46005</v>
      </c>
      <c r="C16" s="25">
        <f t="shared" si="1"/>
        <v>45992</v>
      </c>
      <c r="D16" t="s">
        <v>32</v>
      </c>
      <c r="E16" t="s">
        <v>36</v>
      </c>
      <c r="F16" t="s">
        <v>49</v>
      </c>
      <c r="G16" t="s">
        <v>27</v>
      </c>
      <c r="H16" t="s">
        <v>75</v>
      </c>
      <c r="I16">
        <v>1320</v>
      </c>
      <c r="J16">
        <v>1147</v>
      </c>
      <c r="K16">
        <v>26</v>
      </c>
      <c r="L16">
        <f t="shared" si="2"/>
        <v>1121</v>
      </c>
      <c r="M16">
        <v>33.200000000000003</v>
      </c>
      <c r="N16">
        <v>7.7</v>
      </c>
      <c r="O16" s="8">
        <v>20.09</v>
      </c>
      <c r="P16" s="10">
        <f t="shared" si="0"/>
        <v>23043.23</v>
      </c>
      <c r="Q16" s="8">
        <f t="shared" si="3"/>
        <v>522.34</v>
      </c>
      <c r="R16" t="s">
        <v>21</v>
      </c>
      <c r="S16">
        <f t="shared" si="4"/>
        <v>1147</v>
      </c>
    </row>
    <row r="17" spans="1:19" x14ac:dyDescent="0.3">
      <c r="A17" t="s">
        <v>185</v>
      </c>
      <c r="B17" s="13">
        <v>45831</v>
      </c>
      <c r="C17" s="25">
        <f t="shared" si="1"/>
        <v>45809</v>
      </c>
      <c r="D17" t="s">
        <v>16</v>
      </c>
      <c r="E17" t="s">
        <v>25</v>
      </c>
      <c r="F17" t="s">
        <v>33</v>
      </c>
      <c r="G17" t="s">
        <v>19</v>
      </c>
      <c r="H17" t="s">
        <v>44</v>
      </c>
      <c r="I17">
        <v>1784</v>
      </c>
      <c r="J17">
        <v>1825</v>
      </c>
      <c r="K17">
        <v>7</v>
      </c>
      <c r="L17">
        <f t="shared" si="2"/>
        <v>1818</v>
      </c>
      <c r="M17">
        <v>56.3</v>
      </c>
      <c r="N17">
        <v>6.9</v>
      </c>
      <c r="O17" s="8">
        <v>20.420000000000002</v>
      </c>
      <c r="P17" s="10">
        <f t="shared" si="0"/>
        <v>37266.5</v>
      </c>
      <c r="Q17" s="8">
        <f t="shared" si="3"/>
        <v>142.94</v>
      </c>
      <c r="R17" t="s">
        <v>29</v>
      </c>
      <c r="S17">
        <f t="shared" si="4"/>
        <v>1825</v>
      </c>
    </row>
    <row r="18" spans="1:19" x14ac:dyDescent="0.3">
      <c r="A18" t="s">
        <v>847</v>
      </c>
      <c r="B18" s="13">
        <v>45876</v>
      </c>
      <c r="C18" s="25">
        <f t="shared" si="1"/>
        <v>45870</v>
      </c>
      <c r="D18" t="s">
        <v>24</v>
      </c>
      <c r="E18" t="s">
        <v>25</v>
      </c>
      <c r="F18" t="s">
        <v>26</v>
      </c>
      <c r="G18" t="s">
        <v>27</v>
      </c>
      <c r="H18" t="s">
        <v>37</v>
      </c>
      <c r="I18">
        <v>914</v>
      </c>
      <c r="J18">
        <v>872</v>
      </c>
      <c r="K18">
        <v>8</v>
      </c>
      <c r="L18">
        <f t="shared" si="2"/>
        <v>864</v>
      </c>
      <c r="M18">
        <v>13.9</v>
      </c>
      <c r="N18">
        <v>6.8</v>
      </c>
      <c r="O18" s="8">
        <v>20.96</v>
      </c>
      <c r="P18" s="10">
        <f t="shared" si="0"/>
        <v>18277.12</v>
      </c>
      <c r="Q18" s="8">
        <f t="shared" si="3"/>
        <v>167.68</v>
      </c>
      <c r="R18" t="s">
        <v>29</v>
      </c>
      <c r="S18">
        <f t="shared" si="4"/>
        <v>872</v>
      </c>
    </row>
    <row r="19" spans="1:19" x14ac:dyDescent="0.3">
      <c r="A19" t="s">
        <v>731</v>
      </c>
      <c r="B19" s="13">
        <v>45803</v>
      </c>
      <c r="C19" s="25">
        <f t="shared" si="1"/>
        <v>45778</v>
      </c>
      <c r="D19" t="s">
        <v>24</v>
      </c>
      <c r="E19" t="s">
        <v>59</v>
      </c>
      <c r="F19" t="s">
        <v>26</v>
      </c>
      <c r="G19" t="s">
        <v>19</v>
      </c>
      <c r="H19" t="s">
        <v>28</v>
      </c>
      <c r="I19">
        <v>1258</v>
      </c>
      <c r="J19">
        <v>1410</v>
      </c>
      <c r="K19">
        <v>17</v>
      </c>
      <c r="L19">
        <f t="shared" si="2"/>
        <v>1393</v>
      </c>
      <c r="M19">
        <v>57.8</v>
      </c>
      <c r="N19">
        <v>6.5</v>
      </c>
      <c r="O19" s="8">
        <v>21.41</v>
      </c>
      <c r="P19" s="10">
        <f t="shared" si="0"/>
        <v>30188.1</v>
      </c>
      <c r="Q19" s="8">
        <f t="shared" si="3"/>
        <v>363.97</v>
      </c>
      <c r="R19" t="s">
        <v>29</v>
      </c>
      <c r="S19">
        <f t="shared" si="4"/>
        <v>1410</v>
      </c>
    </row>
    <row r="20" spans="1:19" x14ac:dyDescent="0.3">
      <c r="A20" t="s">
        <v>902</v>
      </c>
      <c r="B20" s="13">
        <v>45675</v>
      </c>
      <c r="C20" s="25">
        <f t="shared" si="1"/>
        <v>45658</v>
      </c>
      <c r="D20" t="s">
        <v>32</v>
      </c>
      <c r="E20" t="s">
        <v>25</v>
      </c>
      <c r="F20" t="s">
        <v>26</v>
      </c>
      <c r="G20" t="s">
        <v>40</v>
      </c>
      <c r="H20" t="s">
        <v>72</v>
      </c>
      <c r="I20">
        <v>877</v>
      </c>
      <c r="J20">
        <v>867</v>
      </c>
      <c r="K20">
        <v>14</v>
      </c>
      <c r="L20">
        <f t="shared" si="2"/>
        <v>853</v>
      </c>
      <c r="M20">
        <v>41.3</v>
      </c>
      <c r="N20">
        <v>6.4</v>
      </c>
      <c r="O20" s="8">
        <v>21.69</v>
      </c>
      <c r="P20" s="10">
        <f t="shared" si="0"/>
        <v>18805.23</v>
      </c>
      <c r="Q20" s="8">
        <f t="shared" si="3"/>
        <v>303.66000000000003</v>
      </c>
      <c r="R20" t="s">
        <v>29</v>
      </c>
      <c r="S20">
        <f t="shared" si="4"/>
        <v>867</v>
      </c>
    </row>
    <row r="21" spans="1:19" x14ac:dyDescent="0.3">
      <c r="A21" t="s">
        <v>816</v>
      </c>
      <c r="B21" s="13">
        <v>45748</v>
      </c>
      <c r="C21" s="25">
        <f t="shared" si="1"/>
        <v>45748</v>
      </c>
      <c r="D21" t="s">
        <v>24</v>
      </c>
      <c r="E21" t="s">
        <v>62</v>
      </c>
      <c r="F21" t="s">
        <v>43</v>
      </c>
      <c r="G21" t="s">
        <v>19</v>
      </c>
      <c r="H21" t="s">
        <v>72</v>
      </c>
      <c r="I21">
        <v>908</v>
      </c>
      <c r="J21">
        <v>965</v>
      </c>
      <c r="K21">
        <v>19</v>
      </c>
      <c r="L21">
        <f t="shared" si="2"/>
        <v>946</v>
      </c>
      <c r="M21">
        <v>4.8</v>
      </c>
      <c r="N21">
        <v>6.7</v>
      </c>
      <c r="O21" s="8">
        <v>21.84</v>
      </c>
      <c r="P21" s="10">
        <f t="shared" si="0"/>
        <v>21075.599999999999</v>
      </c>
      <c r="Q21" s="8">
        <f t="shared" si="3"/>
        <v>414.96</v>
      </c>
      <c r="R21" t="s">
        <v>29</v>
      </c>
      <c r="S21">
        <f t="shared" si="4"/>
        <v>965</v>
      </c>
    </row>
    <row r="22" spans="1:19" x14ac:dyDescent="0.3">
      <c r="A22" t="s">
        <v>601</v>
      </c>
      <c r="B22" s="13">
        <v>45845</v>
      </c>
      <c r="C22" s="25">
        <f t="shared" si="1"/>
        <v>45839</v>
      </c>
      <c r="D22" t="s">
        <v>32</v>
      </c>
      <c r="E22" t="s">
        <v>36</v>
      </c>
      <c r="F22" t="s">
        <v>49</v>
      </c>
      <c r="G22" t="s">
        <v>19</v>
      </c>
      <c r="H22" t="s">
        <v>75</v>
      </c>
      <c r="I22">
        <v>890</v>
      </c>
      <c r="J22">
        <v>805</v>
      </c>
      <c r="K22">
        <v>9</v>
      </c>
      <c r="L22">
        <f t="shared" si="2"/>
        <v>796</v>
      </c>
      <c r="M22">
        <v>77.5</v>
      </c>
      <c r="N22">
        <v>7.2</v>
      </c>
      <c r="O22" s="8">
        <v>21.94</v>
      </c>
      <c r="P22" s="10">
        <f t="shared" si="0"/>
        <v>17661.7</v>
      </c>
      <c r="Q22" s="8">
        <f t="shared" si="3"/>
        <v>197.46</v>
      </c>
      <c r="R22" t="s">
        <v>29</v>
      </c>
      <c r="S22">
        <f t="shared" si="4"/>
        <v>805</v>
      </c>
    </row>
    <row r="23" spans="1:19" x14ac:dyDescent="0.3">
      <c r="A23" t="s">
        <v>499</v>
      </c>
      <c r="B23" s="13">
        <v>45765</v>
      </c>
      <c r="C23" s="25">
        <f t="shared" si="1"/>
        <v>45748</v>
      </c>
      <c r="D23" t="s">
        <v>32</v>
      </c>
      <c r="E23" t="s">
        <v>17</v>
      </c>
      <c r="F23" t="s">
        <v>26</v>
      </c>
      <c r="G23" t="s">
        <v>40</v>
      </c>
      <c r="H23" t="s">
        <v>75</v>
      </c>
      <c r="I23">
        <v>1155</v>
      </c>
      <c r="J23">
        <v>1132</v>
      </c>
      <c r="K23">
        <v>10</v>
      </c>
      <c r="L23">
        <f t="shared" si="2"/>
        <v>1122</v>
      </c>
      <c r="M23">
        <v>21.1</v>
      </c>
      <c r="N23">
        <v>6.8</v>
      </c>
      <c r="O23" s="8">
        <v>21.95</v>
      </c>
      <c r="P23" s="10">
        <f t="shared" si="0"/>
        <v>24847.399999999998</v>
      </c>
      <c r="Q23" s="8">
        <f t="shared" si="3"/>
        <v>219.5</v>
      </c>
      <c r="R23" t="s">
        <v>29</v>
      </c>
      <c r="S23">
        <f t="shared" si="4"/>
        <v>1132</v>
      </c>
    </row>
    <row r="24" spans="1:19" x14ac:dyDescent="0.3">
      <c r="A24" t="s">
        <v>917</v>
      </c>
      <c r="B24" s="13">
        <v>45805</v>
      </c>
      <c r="C24" s="25">
        <f t="shared" si="1"/>
        <v>45778</v>
      </c>
      <c r="D24" t="s">
        <v>16</v>
      </c>
      <c r="E24" t="s">
        <v>62</v>
      </c>
      <c r="F24" t="s">
        <v>43</v>
      </c>
      <c r="G24" t="s">
        <v>27</v>
      </c>
      <c r="H24" t="s">
        <v>69</v>
      </c>
      <c r="I24">
        <v>1398</v>
      </c>
      <c r="J24">
        <v>1262</v>
      </c>
      <c r="K24">
        <v>22</v>
      </c>
      <c r="L24">
        <f t="shared" si="2"/>
        <v>1240</v>
      </c>
      <c r="M24">
        <v>27.8</v>
      </c>
      <c r="N24">
        <v>6.6</v>
      </c>
      <c r="O24" s="8">
        <v>21.97</v>
      </c>
      <c r="P24" s="10">
        <f t="shared" si="0"/>
        <v>27726.14</v>
      </c>
      <c r="Q24" s="8">
        <f t="shared" si="3"/>
        <v>483.34</v>
      </c>
      <c r="R24" t="s">
        <v>29</v>
      </c>
      <c r="S24">
        <f t="shared" si="4"/>
        <v>1262</v>
      </c>
    </row>
    <row r="25" spans="1:19" x14ac:dyDescent="0.3">
      <c r="A25" t="s">
        <v>630</v>
      </c>
      <c r="B25" s="13">
        <v>45700</v>
      </c>
      <c r="C25" s="25">
        <f t="shared" si="1"/>
        <v>45689</v>
      </c>
      <c r="D25" t="s">
        <v>16</v>
      </c>
      <c r="E25" t="s">
        <v>25</v>
      </c>
      <c r="F25" t="s">
        <v>26</v>
      </c>
      <c r="G25" t="s">
        <v>27</v>
      </c>
      <c r="H25" t="s">
        <v>69</v>
      </c>
      <c r="I25">
        <v>1127</v>
      </c>
      <c r="J25">
        <v>1082</v>
      </c>
      <c r="K25">
        <v>8</v>
      </c>
      <c r="L25">
        <f t="shared" si="2"/>
        <v>1074</v>
      </c>
      <c r="M25">
        <v>73.2</v>
      </c>
      <c r="N25">
        <v>8</v>
      </c>
      <c r="O25" s="8">
        <v>22.08</v>
      </c>
      <c r="P25" s="10">
        <f t="shared" si="0"/>
        <v>23890.559999999998</v>
      </c>
      <c r="Q25" s="8">
        <f t="shared" si="3"/>
        <v>176.64</v>
      </c>
      <c r="R25" t="s">
        <v>29</v>
      </c>
      <c r="S25">
        <f t="shared" si="4"/>
        <v>1082</v>
      </c>
    </row>
    <row r="26" spans="1:19" x14ac:dyDescent="0.3">
      <c r="A26" t="s">
        <v>139</v>
      </c>
      <c r="B26" s="13">
        <v>45935</v>
      </c>
      <c r="C26" s="25">
        <f t="shared" si="1"/>
        <v>45931</v>
      </c>
      <c r="D26" t="s">
        <v>24</v>
      </c>
      <c r="E26" t="s">
        <v>36</v>
      </c>
      <c r="F26" t="s">
        <v>18</v>
      </c>
      <c r="G26" t="s">
        <v>19</v>
      </c>
      <c r="H26" t="s">
        <v>28</v>
      </c>
      <c r="I26">
        <v>781</v>
      </c>
      <c r="J26">
        <v>849</v>
      </c>
      <c r="K26">
        <v>27</v>
      </c>
      <c r="L26">
        <f t="shared" si="2"/>
        <v>822</v>
      </c>
      <c r="M26">
        <v>18.3</v>
      </c>
      <c r="N26">
        <v>8.1</v>
      </c>
      <c r="O26" s="8">
        <v>22.7</v>
      </c>
      <c r="P26" s="10">
        <f t="shared" si="0"/>
        <v>19272.3</v>
      </c>
      <c r="Q26" s="8">
        <f t="shared" si="3"/>
        <v>612.9</v>
      </c>
      <c r="R26" t="s">
        <v>21</v>
      </c>
      <c r="S26">
        <f t="shared" si="4"/>
        <v>849</v>
      </c>
    </row>
    <row r="27" spans="1:19" x14ac:dyDescent="0.3">
      <c r="A27" t="s">
        <v>321</v>
      </c>
      <c r="B27" s="13">
        <v>45816</v>
      </c>
      <c r="C27" s="25">
        <f t="shared" si="1"/>
        <v>45809</v>
      </c>
      <c r="D27" t="s">
        <v>32</v>
      </c>
      <c r="E27" t="s">
        <v>17</v>
      </c>
      <c r="F27" t="s">
        <v>49</v>
      </c>
      <c r="G27" t="s">
        <v>19</v>
      </c>
      <c r="H27" t="s">
        <v>28</v>
      </c>
      <c r="I27">
        <v>1792</v>
      </c>
      <c r="J27">
        <v>1980</v>
      </c>
      <c r="K27">
        <v>42</v>
      </c>
      <c r="L27">
        <f t="shared" si="2"/>
        <v>1938</v>
      </c>
      <c r="M27">
        <v>23.3</v>
      </c>
      <c r="N27">
        <v>6</v>
      </c>
      <c r="O27" s="8">
        <v>22.89</v>
      </c>
      <c r="P27" s="10">
        <f t="shared" si="0"/>
        <v>45322.200000000004</v>
      </c>
      <c r="Q27" s="8">
        <f t="shared" si="3"/>
        <v>961.38</v>
      </c>
      <c r="R27" t="s">
        <v>21</v>
      </c>
      <c r="S27">
        <f t="shared" si="4"/>
        <v>1980</v>
      </c>
    </row>
    <row r="28" spans="1:19" x14ac:dyDescent="0.3">
      <c r="A28" t="s">
        <v>391</v>
      </c>
      <c r="B28" s="13">
        <v>45989</v>
      </c>
      <c r="C28" s="25">
        <f t="shared" si="1"/>
        <v>45962</v>
      </c>
      <c r="D28" t="s">
        <v>32</v>
      </c>
      <c r="E28" t="s">
        <v>17</v>
      </c>
      <c r="F28" t="s">
        <v>18</v>
      </c>
      <c r="G28" t="s">
        <v>27</v>
      </c>
      <c r="H28" t="s">
        <v>69</v>
      </c>
      <c r="I28">
        <v>991</v>
      </c>
      <c r="J28">
        <v>807</v>
      </c>
      <c r="K28">
        <v>17</v>
      </c>
      <c r="L28">
        <f t="shared" si="2"/>
        <v>790</v>
      </c>
      <c r="M28">
        <v>9</v>
      </c>
      <c r="N28">
        <v>8.5</v>
      </c>
      <c r="O28" s="8">
        <v>22.91</v>
      </c>
      <c r="P28" s="10">
        <f t="shared" si="0"/>
        <v>18488.37</v>
      </c>
      <c r="Q28" s="8">
        <f t="shared" si="3"/>
        <v>389.47</v>
      </c>
      <c r="R28" t="s">
        <v>21</v>
      </c>
      <c r="S28">
        <f t="shared" si="4"/>
        <v>807</v>
      </c>
    </row>
    <row r="29" spans="1:19" x14ac:dyDescent="0.3">
      <c r="A29" t="s">
        <v>546</v>
      </c>
      <c r="B29" s="13">
        <v>45985</v>
      </c>
      <c r="C29" s="25">
        <f t="shared" si="1"/>
        <v>45962</v>
      </c>
      <c r="D29" t="s">
        <v>24</v>
      </c>
      <c r="E29" t="s">
        <v>62</v>
      </c>
      <c r="F29" t="s">
        <v>43</v>
      </c>
      <c r="G29" t="s">
        <v>27</v>
      </c>
      <c r="H29" t="s">
        <v>28</v>
      </c>
      <c r="I29">
        <v>1474</v>
      </c>
      <c r="J29">
        <v>1596</v>
      </c>
      <c r="K29">
        <v>20</v>
      </c>
      <c r="L29">
        <f t="shared" si="2"/>
        <v>1576</v>
      </c>
      <c r="M29">
        <v>15.2</v>
      </c>
      <c r="N29">
        <v>6.7</v>
      </c>
      <c r="O29" s="8">
        <v>23.02</v>
      </c>
      <c r="P29" s="10">
        <f t="shared" si="0"/>
        <v>36739.919999999998</v>
      </c>
      <c r="Q29" s="8">
        <f t="shared" si="3"/>
        <v>460.4</v>
      </c>
      <c r="R29" t="s">
        <v>29</v>
      </c>
      <c r="S29">
        <f t="shared" si="4"/>
        <v>1596</v>
      </c>
    </row>
    <row r="30" spans="1:19" x14ac:dyDescent="0.3">
      <c r="A30" t="s">
        <v>855</v>
      </c>
      <c r="B30" s="13">
        <v>45700</v>
      </c>
      <c r="C30" s="25">
        <f t="shared" si="1"/>
        <v>45689</v>
      </c>
      <c r="D30" t="s">
        <v>32</v>
      </c>
      <c r="E30" t="s">
        <v>25</v>
      </c>
      <c r="F30" t="s">
        <v>33</v>
      </c>
      <c r="G30" t="s">
        <v>27</v>
      </c>
      <c r="H30" t="s">
        <v>75</v>
      </c>
      <c r="I30">
        <v>1300</v>
      </c>
      <c r="J30">
        <v>1200</v>
      </c>
      <c r="K30">
        <v>20</v>
      </c>
      <c r="L30">
        <f t="shared" si="2"/>
        <v>1180</v>
      </c>
      <c r="M30">
        <v>5.0999999999999996</v>
      </c>
      <c r="N30">
        <v>7.7</v>
      </c>
      <c r="O30" s="8">
        <v>23.07</v>
      </c>
      <c r="P30" s="10">
        <f t="shared" si="0"/>
        <v>27684</v>
      </c>
      <c r="Q30" s="8">
        <f t="shared" si="3"/>
        <v>461.4</v>
      </c>
      <c r="R30" t="s">
        <v>29</v>
      </c>
      <c r="S30">
        <f t="shared" si="4"/>
        <v>1200</v>
      </c>
    </row>
    <row r="31" spans="1:19" x14ac:dyDescent="0.3">
      <c r="A31" t="s">
        <v>779</v>
      </c>
      <c r="B31" s="13">
        <v>45664</v>
      </c>
      <c r="C31" s="25">
        <f t="shared" si="1"/>
        <v>45658</v>
      </c>
      <c r="D31" t="s">
        <v>16</v>
      </c>
      <c r="E31" t="s">
        <v>62</v>
      </c>
      <c r="F31" t="s">
        <v>26</v>
      </c>
      <c r="G31" t="s">
        <v>19</v>
      </c>
      <c r="H31" t="s">
        <v>69</v>
      </c>
      <c r="I31">
        <v>1319</v>
      </c>
      <c r="J31">
        <v>1288</v>
      </c>
      <c r="K31">
        <v>14</v>
      </c>
      <c r="L31">
        <f t="shared" si="2"/>
        <v>1274</v>
      </c>
      <c r="M31">
        <v>30.8</v>
      </c>
      <c r="N31">
        <v>6.5</v>
      </c>
      <c r="O31" s="8">
        <v>23.13</v>
      </c>
      <c r="P31" s="10">
        <f t="shared" si="0"/>
        <v>29791.439999999999</v>
      </c>
      <c r="Q31" s="8">
        <f t="shared" si="3"/>
        <v>323.82</v>
      </c>
      <c r="R31" t="s">
        <v>29</v>
      </c>
      <c r="S31">
        <f t="shared" si="4"/>
        <v>1288</v>
      </c>
    </row>
    <row r="32" spans="1:19" x14ac:dyDescent="0.3">
      <c r="A32" t="s">
        <v>337</v>
      </c>
      <c r="B32" s="13">
        <v>45955</v>
      </c>
      <c r="C32" s="25">
        <f t="shared" si="1"/>
        <v>45931</v>
      </c>
      <c r="D32" t="s">
        <v>32</v>
      </c>
      <c r="E32" t="s">
        <v>25</v>
      </c>
      <c r="F32" t="s">
        <v>33</v>
      </c>
      <c r="G32" t="s">
        <v>19</v>
      </c>
      <c r="H32" t="s">
        <v>28</v>
      </c>
      <c r="I32">
        <v>1590</v>
      </c>
      <c r="J32">
        <v>1594</v>
      </c>
      <c r="K32">
        <v>55</v>
      </c>
      <c r="L32">
        <f t="shared" si="2"/>
        <v>1539</v>
      </c>
      <c r="M32">
        <v>45.4</v>
      </c>
      <c r="N32">
        <v>8.4</v>
      </c>
      <c r="O32" s="8">
        <v>23.13</v>
      </c>
      <c r="P32" s="10">
        <f t="shared" si="0"/>
        <v>36869.22</v>
      </c>
      <c r="Q32" s="8">
        <f t="shared" si="3"/>
        <v>1272.1499999999999</v>
      </c>
      <c r="R32" t="s">
        <v>21</v>
      </c>
      <c r="S32">
        <f t="shared" si="4"/>
        <v>1594</v>
      </c>
    </row>
    <row r="33" spans="1:19" x14ac:dyDescent="0.3">
      <c r="A33" t="s">
        <v>135</v>
      </c>
      <c r="B33" s="13">
        <v>45905</v>
      </c>
      <c r="C33" s="25">
        <f t="shared" si="1"/>
        <v>45901</v>
      </c>
      <c r="D33" t="s">
        <v>32</v>
      </c>
      <c r="E33" t="s">
        <v>59</v>
      </c>
      <c r="F33" t="s">
        <v>26</v>
      </c>
      <c r="G33" t="s">
        <v>40</v>
      </c>
      <c r="H33" t="s">
        <v>69</v>
      </c>
      <c r="I33">
        <v>818</v>
      </c>
      <c r="J33">
        <v>805</v>
      </c>
      <c r="K33">
        <v>11</v>
      </c>
      <c r="L33">
        <f t="shared" si="2"/>
        <v>794</v>
      </c>
      <c r="M33">
        <v>109.2</v>
      </c>
      <c r="N33">
        <v>6.3</v>
      </c>
      <c r="O33" s="8">
        <v>23.2</v>
      </c>
      <c r="P33" s="10">
        <f t="shared" si="0"/>
        <v>18676</v>
      </c>
      <c r="Q33" s="8">
        <f t="shared" si="3"/>
        <v>255.2</v>
      </c>
      <c r="R33" t="s">
        <v>29</v>
      </c>
      <c r="S33">
        <f t="shared" si="4"/>
        <v>805</v>
      </c>
    </row>
    <row r="34" spans="1:19" x14ac:dyDescent="0.3">
      <c r="A34" t="s">
        <v>164</v>
      </c>
      <c r="B34" s="13">
        <v>45807</v>
      </c>
      <c r="C34" s="25">
        <f t="shared" si="1"/>
        <v>45778</v>
      </c>
      <c r="D34" t="s">
        <v>16</v>
      </c>
      <c r="E34" t="s">
        <v>62</v>
      </c>
      <c r="F34" t="s">
        <v>18</v>
      </c>
      <c r="G34" t="s">
        <v>27</v>
      </c>
      <c r="H34" t="s">
        <v>28</v>
      </c>
      <c r="I34">
        <v>1051</v>
      </c>
      <c r="J34">
        <v>1041</v>
      </c>
      <c r="K34">
        <v>35</v>
      </c>
      <c r="L34">
        <f t="shared" si="2"/>
        <v>1006</v>
      </c>
      <c r="M34">
        <v>26.2</v>
      </c>
      <c r="N34">
        <v>6.3</v>
      </c>
      <c r="O34" s="8">
        <v>23.22</v>
      </c>
      <c r="P34" s="10">
        <f t="shared" si="0"/>
        <v>24172.02</v>
      </c>
      <c r="Q34" s="8">
        <f t="shared" si="3"/>
        <v>812.69999999999993</v>
      </c>
      <c r="R34" t="s">
        <v>21</v>
      </c>
      <c r="S34">
        <f t="shared" si="4"/>
        <v>1041</v>
      </c>
    </row>
    <row r="35" spans="1:19" x14ac:dyDescent="0.3">
      <c r="A35" t="s">
        <v>602</v>
      </c>
      <c r="B35" s="13">
        <v>45988</v>
      </c>
      <c r="C35" s="25">
        <f t="shared" si="1"/>
        <v>45962</v>
      </c>
      <c r="D35" t="s">
        <v>16</v>
      </c>
      <c r="E35" t="s">
        <v>62</v>
      </c>
      <c r="F35" t="s">
        <v>18</v>
      </c>
      <c r="G35" t="s">
        <v>40</v>
      </c>
      <c r="H35" t="s">
        <v>37</v>
      </c>
      <c r="I35">
        <v>1598</v>
      </c>
      <c r="J35">
        <v>1681</v>
      </c>
      <c r="K35">
        <v>37</v>
      </c>
      <c r="L35">
        <f t="shared" si="2"/>
        <v>1644</v>
      </c>
      <c r="M35">
        <v>92.2</v>
      </c>
      <c r="N35">
        <v>7</v>
      </c>
      <c r="O35" s="8">
        <v>23.24</v>
      </c>
      <c r="P35" s="10">
        <f t="shared" si="0"/>
        <v>39066.439999999995</v>
      </c>
      <c r="Q35" s="8">
        <f t="shared" si="3"/>
        <v>859.88</v>
      </c>
      <c r="R35" t="s">
        <v>21</v>
      </c>
      <c r="S35">
        <f t="shared" si="4"/>
        <v>1681</v>
      </c>
    </row>
    <row r="36" spans="1:19" x14ac:dyDescent="0.3">
      <c r="A36" t="s">
        <v>85</v>
      </c>
      <c r="B36" s="13">
        <v>45724</v>
      </c>
      <c r="C36" s="25">
        <f t="shared" si="1"/>
        <v>45717</v>
      </c>
      <c r="D36" t="s">
        <v>16</v>
      </c>
      <c r="E36" t="s">
        <v>36</v>
      </c>
      <c r="F36" t="s">
        <v>26</v>
      </c>
      <c r="G36" t="s">
        <v>40</v>
      </c>
      <c r="H36" t="s">
        <v>28</v>
      </c>
      <c r="I36">
        <v>717</v>
      </c>
      <c r="J36">
        <v>745</v>
      </c>
      <c r="K36">
        <v>3</v>
      </c>
      <c r="L36">
        <f t="shared" si="2"/>
        <v>742</v>
      </c>
      <c r="M36">
        <v>103.3</v>
      </c>
      <c r="N36">
        <v>7.5</v>
      </c>
      <c r="O36" s="8">
        <v>23.38</v>
      </c>
      <c r="P36" s="10">
        <f t="shared" si="0"/>
        <v>17418.099999999999</v>
      </c>
      <c r="Q36" s="8">
        <f t="shared" si="3"/>
        <v>70.14</v>
      </c>
      <c r="R36" t="s">
        <v>29</v>
      </c>
      <c r="S36">
        <f t="shared" si="4"/>
        <v>745</v>
      </c>
    </row>
    <row r="37" spans="1:19" x14ac:dyDescent="0.3">
      <c r="A37" t="s">
        <v>514</v>
      </c>
      <c r="B37" s="13">
        <v>45902</v>
      </c>
      <c r="C37" s="25">
        <f t="shared" si="1"/>
        <v>45901</v>
      </c>
      <c r="D37" t="s">
        <v>24</v>
      </c>
      <c r="E37" t="s">
        <v>17</v>
      </c>
      <c r="F37" t="s">
        <v>33</v>
      </c>
      <c r="G37" t="s">
        <v>19</v>
      </c>
      <c r="H37" t="s">
        <v>44</v>
      </c>
      <c r="I37">
        <v>1513</v>
      </c>
      <c r="J37">
        <v>1664</v>
      </c>
      <c r="K37">
        <v>19</v>
      </c>
      <c r="L37">
        <f t="shared" si="2"/>
        <v>1645</v>
      </c>
      <c r="M37">
        <v>11.6</v>
      </c>
      <c r="N37">
        <v>7</v>
      </c>
      <c r="O37" s="8">
        <v>23.39</v>
      </c>
      <c r="P37" s="10">
        <f t="shared" si="0"/>
        <v>38920.959999999999</v>
      </c>
      <c r="Q37" s="8">
        <f t="shared" si="3"/>
        <v>444.41</v>
      </c>
      <c r="R37" t="s">
        <v>29</v>
      </c>
      <c r="S37">
        <f t="shared" si="4"/>
        <v>1664</v>
      </c>
    </row>
    <row r="38" spans="1:19" x14ac:dyDescent="0.3">
      <c r="A38" t="s">
        <v>115</v>
      </c>
      <c r="B38" s="13">
        <v>45759</v>
      </c>
      <c r="C38" s="25">
        <f t="shared" si="1"/>
        <v>45748</v>
      </c>
      <c r="D38" t="s">
        <v>16</v>
      </c>
      <c r="E38" t="s">
        <v>59</v>
      </c>
      <c r="F38" t="s">
        <v>18</v>
      </c>
      <c r="G38" t="s">
        <v>19</v>
      </c>
      <c r="H38" t="s">
        <v>72</v>
      </c>
      <c r="I38">
        <v>1619</v>
      </c>
      <c r="J38">
        <v>1596</v>
      </c>
      <c r="K38">
        <v>14</v>
      </c>
      <c r="L38">
        <f t="shared" si="2"/>
        <v>1582</v>
      </c>
      <c r="M38">
        <v>94.5</v>
      </c>
      <c r="N38">
        <v>8.3000000000000007</v>
      </c>
      <c r="O38" s="8">
        <v>23.67</v>
      </c>
      <c r="P38" s="10">
        <f t="shared" si="0"/>
        <v>37777.32</v>
      </c>
      <c r="Q38" s="8">
        <f t="shared" si="3"/>
        <v>331.38</v>
      </c>
      <c r="R38" t="s">
        <v>29</v>
      </c>
      <c r="S38">
        <f t="shared" si="4"/>
        <v>1596</v>
      </c>
    </row>
    <row r="39" spans="1:19" x14ac:dyDescent="0.3">
      <c r="A39" t="s">
        <v>214</v>
      </c>
      <c r="B39" s="13">
        <v>45951</v>
      </c>
      <c r="C39" s="25">
        <f t="shared" si="1"/>
        <v>45931</v>
      </c>
      <c r="D39" t="s">
        <v>16</v>
      </c>
      <c r="E39" t="s">
        <v>36</v>
      </c>
      <c r="F39" t="s">
        <v>54</v>
      </c>
      <c r="G39" t="s">
        <v>27</v>
      </c>
      <c r="H39" t="s">
        <v>20</v>
      </c>
      <c r="I39">
        <v>879</v>
      </c>
      <c r="J39">
        <v>916</v>
      </c>
      <c r="K39">
        <v>16</v>
      </c>
      <c r="L39">
        <f t="shared" si="2"/>
        <v>900</v>
      </c>
      <c r="M39">
        <v>8.1</v>
      </c>
      <c r="N39">
        <v>6.6</v>
      </c>
      <c r="O39" s="8">
        <v>23.74</v>
      </c>
      <c r="P39" s="10">
        <f t="shared" si="0"/>
        <v>21745.84</v>
      </c>
      <c r="Q39" s="8">
        <f t="shared" si="3"/>
        <v>379.84</v>
      </c>
      <c r="R39" t="s">
        <v>29</v>
      </c>
      <c r="S39">
        <f t="shared" si="4"/>
        <v>916</v>
      </c>
    </row>
    <row r="40" spans="1:19" x14ac:dyDescent="0.3">
      <c r="A40" t="s">
        <v>237</v>
      </c>
      <c r="B40" s="13">
        <v>45948</v>
      </c>
      <c r="C40" s="25">
        <f t="shared" si="1"/>
        <v>45931</v>
      </c>
      <c r="D40" t="s">
        <v>16</v>
      </c>
      <c r="E40" t="s">
        <v>62</v>
      </c>
      <c r="F40" t="s">
        <v>33</v>
      </c>
      <c r="G40" t="s">
        <v>40</v>
      </c>
      <c r="H40" t="s">
        <v>20</v>
      </c>
      <c r="I40">
        <v>856</v>
      </c>
      <c r="J40">
        <v>509</v>
      </c>
      <c r="K40">
        <v>16</v>
      </c>
      <c r="L40">
        <f t="shared" si="2"/>
        <v>493</v>
      </c>
      <c r="M40">
        <v>4.7</v>
      </c>
      <c r="N40">
        <v>6.9</v>
      </c>
      <c r="O40" s="8">
        <v>24.36</v>
      </c>
      <c r="P40" s="10">
        <f t="shared" si="0"/>
        <v>12399.24</v>
      </c>
      <c r="Q40" s="8">
        <f t="shared" si="3"/>
        <v>389.76</v>
      </c>
      <c r="R40" t="s">
        <v>21</v>
      </c>
      <c r="S40">
        <f t="shared" si="4"/>
        <v>509</v>
      </c>
    </row>
    <row r="41" spans="1:19" x14ac:dyDescent="0.3">
      <c r="A41" t="s">
        <v>166</v>
      </c>
      <c r="B41" s="13">
        <v>45776</v>
      </c>
      <c r="C41" s="25">
        <f t="shared" si="1"/>
        <v>45748</v>
      </c>
      <c r="D41" t="s">
        <v>24</v>
      </c>
      <c r="E41" t="s">
        <v>59</v>
      </c>
      <c r="F41" t="s">
        <v>18</v>
      </c>
      <c r="G41" t="s">
        <v>27</v>
      </c>
      <c r="H41" t="s">
        <v>82</v>
      </c>
      <c r="I41">
        <v>1751</v>
      </c>
      <c r="J41">
        <v>1274</v>
      </c>
      <c r="K41">
        <v>24</v>
      </c>
      <c r="L41">
        <f t="shared" si="2"/>
        <v>1250</v>
      </c>
      <c r="M41">
        <v>12.8</v>
      </c>
      <c r="N41">
        <v>6.8</v>
      </c>
      <c r="O41" s="8">
        <v>24.47</v>
      </c>
      <c r="P41" s="10">
        <f t="shared" si="0"/>
        <v>31174.78</v>
      </c>
      <c r="Q41" s="8">
        <f t="shared" si="3"/>
        <v>587.28</v>
      </c>
      <c r="R41" t="s">
        <v>29</v>
      </c>
      <c r="S41">
        <f t="shared" si="4"/>
        <v>1274</v>
      </c>
    </row>
    <row r="42" spans="1:19" x14ac:dyDescent="0.3">
      <c r="A42" t="s">
        <v>274</v>
      </c>
      <c r="B42" s="13">
        <v>45937</v>
      </c>
      <c r="C42" s="25">
        <f t="shared" si="1"/>
        <v>45931</v>
      </c>
      <c r="D42" t="s">
        <v>32</v>
      </c>
      <c r="E42" t="s">
        <v>17</v>
      </c>
      <c r="F42" t="s">
        <v>49</v>
      </c>
      <c r="G42" t="s">
        <v>19</v>
      </c>
      <c r="H42" t="s">
        <v>69</v>
      </c>
      <c r="I42">
        <v>1251</v>
      </c>
      <c r="J42">
        <v>1262</v>
      </c>
      <c r="K42">
        <v>22</v>
      </c>
      <c r="L42">
        <f t="shared" si="2"/>
        <v>1240</v>
      </c>
      <c r="M42">
        <v>65.8</v>
      </c>
      <c r="N42">
        <v>7.1</v>
      </c>
      <c r="O42" s="8">
        <v>24.53</v>
      </c>
      <c r="P42" s="10">
        <f t="shared" si="0"/>
        <v>30956.86</v>
      </c>
      <c r="Q42" s="8">
        <f t="shared" si="3"/>
        <v>539.66000000000008</v>
      </c>
      <c r="R42" t="s">
        <v>29</v>
      </c>
      <c r="S42">
        <f t="shared" si="4"/>
        <v>1262</v>
      </c>
    </row>
    <row r="43" spans="1:19" x14ac:dyDescent="0.3">
      <c r="A43" t="s">
        <v>657</v>
      </c>
      <c r="B43" s="13">
        <v>45745</v>
      </c>
      <c r="C43" s="25">
        <f t="shared" si="1"/>
        <v>45717</v>
      </c>
      <c r="D43" t="s">
        <v>16</v>
      </c>
      <c r="E43" t="s">
        <v>36</v>
      </c>
      <c r="F43" t="s">
        <v>33</v>
      </c>
      <c r="G43" t="s">
        <v>40</v>
      </c>
      <c r="H43" t="s">
        <v>75</v>
      </c>
      <c r="I43">
        <v>882</v>
      </c>
      <c r="J43">
        <v>941</v>
      </c>
      <c r="K43">
        <v>11</v>
      </c>
      <c r="L43">
        <f t="shared" si="2"/>
        <v>930</v>
      </c>
      <c r="M43">
        <v>9.6999999999999993</v>
      </c>
      <c r="N43">
        <v>7.7</v>
      </c>
      <c r="O43" s="8">
        <v>24.86</v>
      </c>
      <c r="P43" s="10">
        <f t="shared" si="0"/>
        <v>23393.26</v>
      </c>
      <c r="Q43" s="8">
        <f t="shared" si="3"/>
        <v>273.45999999999998</v>
      </c>
      <c r="R43" t="s">
        <v>29</v>
      </c>
      <c r="S43">
        <f t="shared" si="4"/>
        <v>941</v>
      </c>
    </row>
    <row r="44" spans="1:19" x14ac:dyDescent="0.3">
      <c r="A44" t="s">
        <v>720</v>
      </c>
      <c r="B44" s="13">
        <v>45927</v>
      </c>
      <c r="C44" s="25">
        <f t="shared" si="1"/>
        <v>45901</v>
      </c>
      <c r="D44" t="s">
        <v>32</v>
      </c>
      <c r="E44" t="s">
        <v>36</v>
      </c>
      <c r="F44" t="s">
        <v>49</v>
      </c>
      <c r="G44" t="s">
        <v>40</v>
      </c>
      <c r="H44" t="s">
        <v>44</v>
      </c>
      <c r="I44">
        <v>912</v>
      </c>
      <c r="J44">
        <v>814</v>
      </c>
      <c r="K44">
        <v>22</v>
      </c>
      <c r="L44">
        <f t="shared" si="2"/>
        <v>792</v>
      </c>
      <c r="M44">
        <v>24.6</v>
      </c>
      <c r="N44">
        <v>8.1</v>
      </c>
      <c r="O44" s="8">
        <v>25.22</v>
      </c>
      <c r="P44" s="10">
        <f t="shared" si="0"/>
        <v>20529.079999999998</v>
      </c>
      <c r="Q44" s="8">
        <f t="shared" si="3"/>
        <v>554.83999999999992</v>
      </c>
      <c r="R44" t="s">
        <v>21</v>
      </c>
      <c r="S44">
        <f t="shared" si="4"/>
        <v>814</v>
      </c>
    </row>
    <row r="45" spans="1:19" x14ac:dyDescent="0.3">
      <c r="A45" t="s">
        <v>724</v>
      </c>
      <c r="B45" s="13">
        <v>45816</v>
      </c>
      <c r="C45" s="25">
        <f t="shared" si="1"/>
        <v>45809</v>
      </c>
      <c r="D45" t="s">
        <v>32</v>
      </c>
      <c r="E45" t="s">
        <v>36</v>
      </c>
      <c r="F45" t="s">
        <v>33</v>
      </c>
      <c r="G45" t="s">
        <v>27</v>
      </c>
      <c r="H45" t="s">
        <v>69</v>
      </c>
      <c r="I45">
        <v>881</v>
      </c>
      <c r="J45">
        <v>734</v>
      </c>
      <c r="K45">
        <v>9</v>
      </c>
      <c r="L45">
        <f t="shared" si="2"/>
        <v>725</v>
      </c>
      <c r="M45">
        <v>69</v>
      </c>
      <c r="N45">
        <v>6.2</v>
      </c>
      <c r="O45" s="8">
        <v>25.23</v>
      </c>
      <c r="P45" s="10">
        <f t="shared" si="0"/>
        <v>18518.82</v>
      </c>
      <c r="Q45" s="8">
        <f t="shared" si="3"/>
        <v>227.07</v>
      </c>
      <c r="R45" t="s">
        <v>29</v>
      </c>
      <c r="S45">
        <f t="shared" si="4"/>
        <v>734</v>
      </c>
    </row>
    <row r="46" spans="1:19" x14ac:dyDescent="0.3">
      <c r="A46" t="s">
        <v>674</v>
      </c>
      <c r="B46" s="13">
        <v>45674</v>
      </c>
      <c r="C46" s="25">
        <f t="shared" si="1"/>
        <v>45658</v>
      </c>
      <c r="D46" t="s">
        <v>32</v>
      </c>
      <c r="E46" t="s">
        <v>62</v>
      </c>
      <c r="F46" t="s">
        <v>33</v>
      </c>
      <c r="G46" t="s">
        <v>27</v>
      </c>
      <c r="H46" t="s">
        <v>28</v>
      </c>
      <c r="I46">
        <v>1181</v>
      </c>
      <c r="J46">
        <v>1161</v>
      </c>
      <c r="K46">
        <v>27</v>
      </c>
      <c r="L46">
        <f t="shared" si="2"/>
        <v>1134</v>
      </c>
      <c r="M46">
        <v>75.8</v>
      </c>
      <c r="N46">
        <v>8.4</v>
      </c>
      <c r="O46" s="8">
        <v>25.32</v>
      </c>
      <c r="P46" s="10">
        <f t="shared" si="0"/>
        <v>29396.52</v>
      </c>
      <c r="Q46" s="8">
        <f t="shared" si="3"/>
        <v>683.64</v>
      </c>
      <c r="R46" t="s">
        <v>21</v>
      </c>
      <c r="S46">
        <f t="shared" si="4"/>
        <v>1161</v>
      </c>
    </row>
    <row r="47" spans="1:19" x14ac:dyDescent="0.3">
      <c r="A47" t="s">
        <v>119</v>
      </c>
      <c r="B47" s="13">
        <v>45718</v>
      </c>
      <c r="C47" s="25">
        <f t="shared" si="1"/>
        <v>45717</v>
      </c>
      <c r="D47" t="s">
        <v>16</v>
      </c>
      <c r="E47" t="s">
        <v>25</v>
      </c>
      <c r="F47" t="s">
        <v>18</v>
      </c>
      <c r="G47" t="s">
        <v>19</v>
      </c>
      <c r="H47" t="s">
        <v>28</v>
      </c>
      <c r="I47">
        <v>996</v>
      </c>
      <c r="J47">
        <v>873</v>
      </c>
      <c r="K47">
        <v>21</v>
      </c>
      <c r="L47">
        <f t="shared" si="2"/>
        <v>852</v>
      </c>
      <c r="M47">
        <v>39.299999999999997</v>
      </c>
      <c r="N47">
        <v>7.9</v>
      </c>
      <c r="O47" s="8">
        <v>25.38</v>
      </c>
      <c r="P47" s="10">
        <f t="shared" si="0"/>
        <v>22156.739999999998</v>
      </c>
      <c r="Q47" s="8">
        <f t="shared" si="3"/>
        <v>532.98</v>
      </c>
      <c r="R47" t="s">
        <v>21</v>
      </c>
      <c r="S47">
        <f t="shared" si="4"/>
        <v>873</v>
      </c>
    </row>
    <row r="48" spans="1:19" x14ac:dyDescent="0.3">
      <c r="A48" t="s">
        <v>297</v>
      </c>
      <c r="B48" s="13">
        <v>45736</v>
      </c>
      <c r="C48" s="25">
        <f t="shared" si="1"/>
        <v>45717</v>
      </c>
      <c r="D48" t="s">
        <v>16</v>
      </c>
      <c r="E48" t="s">
        <v>36</v>
      </c>
      <c r="F48" t="s">
        <v>43</v>
      </c>
      <c r="G48" t="s">
        <v>27</v>
      </c>
      <c r="H48" t="s">
        <v>82</v>
      </c>
      <c r="I48">
        <v>1321</v>
      </c>
      <c r="J48">
        <v>1349</v>
      </c>
      <c r="K48">
        <v>24</v>
      </c>
      <c r="L48">
        <f t="shared" si="2"/>
        <v>1325</v>
      </c>
      <c r="M48">
        <v>28.7</v>
      </c>
      <c r="N48">
        <v>8.3000000000000007</v>
      </c>
      <c r="O48" s="8">
        <v>25.55</v>
      </c>
      <c r="P48" s="10">
        <f t="shared" si="0"/>
        <v>34466.950000000004</v>
      </c>
      <c r="Q48" s="8">
        <f t="shared" si="3"/>
        <v>613.20000000000005</v>
      </c>
      <c r="R48" t="s">
        <v>29</v>
      </c>
      <c r="S48">
        <f t="shared" si="4"/>
        <v>1349</v>
      </c>
    </row>
    <row r="49" spans="1:19" x14ac:dyDescent="0.3">
      <c r="A49" t="s">
        <v>652</v>
      </c>
      <c r="B49" s="13">
        <v>45659</v>
      </c>
      <c r="C49" s="25">
        <f t="shared" si="1"/>
        <v>45658</v>
      </c>
      <c r="D49" t="s">
        <v>16</v>
      </c>
      <c r="E49" t="s">
        <v>25</v>
      </c>
      <c r="F49" t="s">
        <v>18</v>
      </c>
      <c r="G49" t="s">
        <v>19</v>
      </c>
      <c r="H49" t="s">
        <v>72</v>
      </c>
      <c r="I49">
        <v>1281</v>
      </c>
      <c r="J49">
        <v>1178</v>
      </c>
      <c r="K49">
        <v>41</v>
      </c>
      <c r="L49">
        <f t="shared" si="2"/>
        <v>1137</v>
      </c>
      <c r="M49">
        <v>13.1</v>
      </c>
      <c r="N49">
        <v>7.2</v>
      </c>
      <c r="O49" s="8">
        <v>25.79</v>
      </c>
      <c r="P49" s="10">
        <f t="shared" si="0"/>
        <v>30380.62</v>
      </c>
      <c r="Q49" s="8">
        <f t="shared" si="3"/>
        <v>1057.3899999999999</v>
      </c>
      <c r="R49" t="s">
        <v>21</v>
      </c>
      <c r="S49">
        <f t="shared" si="4"/>
        <v>1178</v>
      </c>
    </row>
    <row r="50" spans="1:19" x14ac:dyDescent="0.3">
      <c r="A50" t="s">
        <v>815</v>
      </c>
      <c r="B50" s="13">
        <v>45851</v>
      </c>
      <c r="C50" s="25">
        <f t="shared" si="1"/>
        <v>45839</v>
      </c>
      <c r="D50" t="s">
        <v>32</v>
      </c>
      <c r="E50" t="s">
        <v>25</v>
      </c>
      <c r="F50" t="s">
        <v>49</v>
      </c>
      <c r="G50" t="s">
        <v>27</v>
      </c>
      <c r="H50" t="s">
        <v>44</v>
      </c>
      <c r="I50">
        <v>857</v>
      </c>
      <c r="J50">
        <v>960</v>
      </c>
      <c r="K50">
        <v>15</v>
      </c>
      <c r="L50">
        <f t="shared" si="2"/>
        <v>945</v>
      </c>
      <c r="M50">
        <v>69.099999999999994</v>
      </c>
      <c r="N50">
        <v>7.5</v>
      </c>
      <c r="O50" s="8">
        <v>25.85</v>
      </c>
      <c r="P50" s="10">
        <f t="shared" si="0"/>
        <v>24816</v>
      </c>
      <c r="Q50" s="8">
        <f t="shared" si="3"/>
        <v>387.75</v>
      </c>
      <c r="R50" t="s">
        <v>29</v>
      </c>
      <c r="S50">
        <f t="shared" si="4"/>
        <v>960</v>
      </c>
    </row>
    <row r="51" spans="1:19" x14ac:dyDescent="0.3">
      <c r="A51" t="s">
        <v>240</v>
      </c>
      <c r="B51" s="13">
        <v>45942</v>
      </c>
      <c r="C51" s="25">
        <f t="shared" si="1"/>
        <v>45931</v>
      </c>
      <c r="D51" t="s">
        <v>16</v>
      </c>
      <c r="E51" t="s">
        <v>62</v>
      </c>
      <c r="F51" t="s">
        <v>18</v>
      </c>
      <c r="G51" t="s">
        <v>19</v>
      </c>
      <c r="H51" t="s">
        <v>44</v>
      </c>
      <c r="I51">
        <v>931</v>
      </c>
      <c r="J51">
        <v>800</v>
      </c>
      <c r="K51">
        <v>27</v>
      </c>
      <c r="L51">
        <f t="shared" si="2"/>
        <v>773</v>
      </c>
      <c r="M51">
        <v>29.4</v>
      </c>
      <c r="N51">
        <v>6.7</v>
      </c>
      <c r="O51" s="8">
        <v>25.88</v>
      </c>
      <c r="P51" s="10">
        <f t="shared" si="0"/>
        <v>20704</v>
      </c>
      <c r="Q51" s="8">
        <f t="shared" si="3"/>
        <v>698.76</v>
      </c>
      <c r="R51" t="s">
        <v>21</v>
      </c>
      <c r="S51">
        <f t="shared" si="4"/>
        <v>800</v>
      </c>
    </row>
    <row r="52" spans="1:19" x14ac:dyDescent="0.3">
      <c r="A52" t="s">
        <v>700</v>
      </c>
      <c r="B52" s="13">
        <v>45905</v>
      </c>
      <c r="C52" s="25">
        <f t="shared" si="1"/>
        <v>45901</v>
      </c>
      <c r="D52" t="s">
        <v>32</v>
      </c>
      <c r="E52" t="s">
        <v>25</v>
      </c>
      <c r="F52" t="s">
        <v>26</v>
      </c>
      <c r="G52" t="s">
        <v>40</v>
      </c>
      <c r="H52" t="s">
        <v>69</v>
      </c>
      <c r="I52">
        <v>1059</v>
      </c>
      <c r="J52">
        <v>1036</v>
      </c>
      <c r="K52">
        <v>15</v>
      </c>
      <c r="L52">
        <f t="shared" si="2"/>
        <v>1021</v>
      </c>
      <c r="M52">
        <v>117.2</v>
      </c>
      <c r="N52">
        <v>8</v>
      </c>
      <c r="O52" s="8">
        <v>26.19</v>
      </c>
      <c r="P52" s="10">
        <f t="shared" si="0"/>
        <v>27132.84</v>
      </c>
      <c r="Q52" s="8">
        <f t="shared" si="3"/>
        <v>392.85</v>
      </c>
      <c r="R52" t="s">
        <v>29</v>
      </c>
      <c r="S52">
        <f t="shared" si="4"/>
        <v>1036</v>
      </c>
    </row>
    <row r="53" spans="1:19" x14ac:dyDescent="0.3">
      <c r="A53" t="s">
        <v>550</v>
      </c>
      <c r="B53" s="13">
        <v>45860</v>
      </c>
      <c r="C53" s="25">
        <f t="shared" si="1"/>
        <v>45839</v>
      </c>
      <c r="D53" t="s">
        <v>16</v>
      </c>
      <c r="E53" t="s">
        <v>25</v>
      </c>
      <c r="F53" t="s">
        <v>26</v>
      </c>
      <c r="G53" t="s">
        <v>19</v>
      </c>
      <c r="H53" t="s">
        <v>82</v>
      </c>
      <c r="I53">
        <v>1688</v>
      </c>
      <c r="J53">
        <v>1723</v>
      </c>
      <c r="K53">
        <v>55</v>
      </c>
      <c r="L53">
        <f t="shared" si="2"/>
        <v>1668</v>
      </c>
      <c r="M53">
        <v>26.9</v>
      </c>
      <c r="N53">
        <v>6.1</v>
      </c>
      <c r="O53" s="8">
        <v>26.51</v>
      </c>
      <c r="P53" s="10">
        <f t="shared" si="0"/>
        <v>45676.73</v>
      </c>
      <c r="Q53" s="8">
        <f t="shared" si="3"/>
        <v>1458.0500000000002</v>
      </c>
      <c r="R53" t="s">
        <v>21</v>
      </c>
      <c r="S53">
        <f t="shared" si="4"/>
        <v>1723</v>
      </c>
    </row>
    <row r="54" spans="1:19" x14ac:dyDescent="0.3">
      <c r="A54" t="s">
        <v>555</v>
      </c>
      <c r="B54" s="13">
        <v>45901</v>
      </c>
      <c r="C54" s="25">
        <f t="shared" si="1"/>
        <v>45901</v>
      </c>
      <c r="D54" t="s">
        <v>24</v>
      </c>
      <c r="E54" t="s">
        <v>36</v>
      </c>
      <c r="F54" t="s">
        <v>33</v>
      </c>
      <c r="G54" t="s">
        <v>40</v>
      </c>
      <c r="H54" t="s">
        <v>72</v>
      </c>
      <c r="I54">
        <v>805</v>
      </c>
      <c r="J54">
        <v>828</v>
      </c>
      <c r="K54">
        <v>4</v>
      </c>
      <c r="L54">
        <f t="shared" si="2"/>
        <v>824</v>
      </c>
      <c r="M54">
        <v>138.9</v>
      </c>
      <c r="N54">
        <v>6.4</v>
      </c>
      <c r="O54" s="8">
        <v>26.78</v>
      </c>
      <c r="P54" s="10">
        <f t="shared" si="0"/>
        <v>22173.84</v>
      </c>
      <c r="Q54" s="8">
        <f t="shared" si="3"/>
        <v>107.12</v>
      </c>
      <c r="R54" t="s">
        <v>29</v>
      </c>
      <c r="S54">
        <f t="shared" si="4"/>
        <v>828</v>
      </c>
    </row>
    <row r="55" spans="1:19" x14ac:dyDescent="0.3">
      <c r="A55" t="s">
        <v>934</v>
      </c>
      <c r="B55" s="13">
        <v>45950</v>
      </c>
      <c r="C55" s="25">
        <f t="shared" si="1"/>
        <v>45931</v>
      </c>
      <c r="D55" t="s">
        <v>32</v>
      </c>
      <c r="E55" t="s">
        <v>17</v>
      </c>
      <c r="F55" t="s">
        <v>33</v>
      </c>
      <c r="G55" t="s">
        <v>40</v>
      </c>
      <c r="H55" t="s">
        <v>28</v>
      </c>
      <c r="I55">
        <v>1526</v>
      </c>
      <c r="J55">
        <v>1636</v>
      </c>
      <c r="K55">
        <v>14</v>
      </c>
      <c r="L55">
        <f t="shared" si="2"/>
        <v>1622</v>
      </c>
      <c r="M55">
        <v>65.8</v>
      </c>
      <c r="N55">
        <v>7.7</v>
      </c>
      <c r="O55" s="8">
        <v>27.04</v>
      </c>
      <c r="P55" s="10">
        <f t="shared" si="0"/>
        <v>44237.439999999995</v>
      </c>
      <c r="Q55" s="8">
        <f t="shared" si="3"/>
        <v>378.56</v>
      </c>
      <c r="R55" t="s">
        <v>29</v>
      </c>
      <c r="S55">
        <f t="shared" si="4"/>
        <v>1636</v>
      </c>
    </row>
    <row r="56" spans="1:19" x14ac:dyDescent="0.3">
      <c r="A56" t="s">
        <v>429</v>
      </c>
      <c r="B56" s="13">
        <v>45869</v>
      </c>
      <c r="C56" s="25">
        <f t="shared" si="1"/>
        <v>45839</v>
      </c>
      <c r="D56" t="s">
        <v>24</v>
      </c>
      <c r="E56" t="s">
        <v>25</v>
      </c>
      <c r="F56" t="s">
        <v>33</v>
      </c>
      <c r="G56" t="s">
        <v>27</v>
      </c>
      <c r="H56" t="s">
        <v>69</v>
      </c>
      <c r="I56">
        <v>1192</v>
      </c>
      <c r="J56">
        <v>1320</v>
      </c>
      <c r="K56">
        <v>32</v>
      </c>
      <c r="L56">
        <f t="shared" si="2"/>
        <v>1288</v>
      </c>
      <c r="M56">
        <v>47.7</v>
      </c>
      <c r="N56">
        <v>8.1</v>
      </c>
      <c r="O56" s="8">
        <v>27.87</v>
      </c>
      <c r="P56" s="10">
        <f t="shared" si="0"/>
        <v>36788.400000000001</v>
      </c>
      <c r="Q56" s="8">
        <f t="shared" si="3"/>
        <v>891.84</v>
      </c>
      <c r="R56" t="s">
        <v>21</v>
      </c>
      <c r="S56">
        <f t="shared" si="4"/>
        <v>1320</v>
      </c>
    </row>
    <row r="57" spans="1:19" x14ac:dyDescent="0.3">
      <c r="A57" t="s">
        <v>113</v>
      </c>
      <c r="B57" s="13">
        <v>45960</v>
      </c>
      <c r="C57" s="25">
        <f t="shared" si="1"/>
        <v>45931</v>
      </c>
      <c r="D57" t="s">
        <v>24</v>
      </c>
      <c r="E57" t="s">
        <v>17</v>
      </c>
      <c r="F57" t="s">
        <v>43</v>
      </c>
      <c r="G57" t="s">
        <v>40</v>
      </c>
      <c r="H57" t="s">
        <v>69</v>
      </c>
      <c r="I57">
        <v>930</v>
      </c>
      <c r="J57">
        <v>810</v>
      </c>
      <c r="K57">
        <v>14</v>
      </c>
      <c r="L57">
        <f t="shared" si="2"/>
        <v>796</v>
      </c>
      <c r="M57">
        <v>82.5</v>
      </c>
      <c r="N57">
        <v>7</v>
      </c>
      <c r="O57" s="8">
        <v>28.17</v>
      </c>
      <c r="P57" s="10">
        <f t="shared" si="0"/>
        <v>22817.7</v>
      </c>
      <c r="Q57" s="8">
        <f t="shared" si="3"/>
        <v>394.38</v>
      </c>
      <c r="R57" t="s">
        <v>29</v>
      </c>
      <c r="S57">
        <f t="shared" si="4"/>
        <v>810</v>
      </c>
    </row>
    <row r="58" spans="1:19" x14ac:dyDescent="0.3">
      <c r="A58" t="s">
        <v>729</v>
      </c>
      <c r="B58" s="13">
        <v>45687</v>
      </c>
      <c r="C58" s="25">
        <f t="shared" si="1"/>
        <v>45658</v>
      </c>
      <c r="D58" t="s">
        <v>24</v>
      </c>
      <c r="E58" t="s">
        <v>62</v>
      </c>
      <c r="F58" t="s">
        <v>18</v>
      </c>
      <c r="G58" t="s">
        <v>19</v>
      </c>
      <c r="H58" t="s">
        <v>75</v>
      </c>
      <c r="I58">
        <v>740</v>
      </c>
      <c r="J58">
        <v>766</v>
      </c>
      <c r="K58">
        <v>6</v>
      </c>
      <c r="L58">
        <f t="shared" si="2"/>
        <v>760</v>
      </c>
      <c r="M58">
        <v>35.9</v>
      </c>
      <c r="N58">
        <v>6.1</v>
      </c>
      <c r="O58" s="8">
        <v>28.23</v>
      </c>
      <c r="P58" s="10">
        <f t="shared" si="0"/>
        <v>21624.18</v>
      </c>
      <c r="Q58" s="8">
        <f t="shared" si="3"/>
        <v>169.38</v>
      </c>
      <c r="R58" t="s">
        <v>29</v>
      </c>
      <c r="S58">
        <f t="shared" si="4"/>
        <v>766</v>
      </c>
    </row>
    <row r="59" spans="1:19" x14ac:dyDescent="0.3">
      <c r="A59" t="s">
        <v>117</v>
      </c>
      <c r="B59" s="13">
        <v>45888</v>
      </c>
      <c r="C59" s="25">
        <f t="shared" si="1"/>
        <v>45870</v>
      </c>
      <c r="D59" t="s">
        <v>24</v>
      </c>
      <c r="E59" t="s">
        <v>36</v>
      </c>
      <c r="F59" t="s">
        <v>18</v>
      </c>
      <c r="G59" t="s">
        <v>19</v>
      </c>
      <c r="H59" t="s">
        <v>20</v>
      </c>
      <c r="I59">
        <v>1531</v>
      </c>
      <c r="J59">
        <v>1230</v>
      </c>
      <c r="K59">
        <v>26</v>
      </c>
      <c r="L59">
        <f t="shared" si="2"/>
        <v>1204</v>
      </c>
      <c r="M59">
        <v>52.4</v>
      </c>
      <c r="N59">
        <v>7.2</v>
      </c>
      <c r="O59" s="8">
        <v>28.68</v>
      </c>
      <c r="P59" s="10">
        <f t="shared" si="0"/>
        <v>35276.400000000001</v>
      </c>
      <c r="Q59" s="8">
        <f t="shared" si="3"/>
        <v>745.68</v>
      </c>
      <c r="R59" t="s">
        <v>21</v>
      </c>
      <c r="S59">
        <f t="shared" si="4"/>
        <v>1230</v>
      </c>
    </row>
    <row r="60" spans="1:19" x14ac:dyDescent="0.3">
      <c r="A60" t="s">
        <v>693</v>
      </c>
      <c r="B60" s="13">
        <v>45741</v>
      </c>
      <c r="C60" s="25">
        <f t="shared" si="1"/>
        <v>45717</v>
      </c>
      <c r="D60" t="s">
        <v>32</v>
      </c>
      <c r="E60" t="s">
        <v>62</v>
      </c>
      <c r="F60" t="s">
        <v>26</v>
      </c>
      <c r="G60" t="s">
        <v>40</v>
      </c>
      <c r="H60" t="s">
        <v>69</v>
      </c>
      <c r="I60">
        <v>1040</v>
      </c>
      <c r="J60">
        <v>1120</v>
      </c>
      <c r="K60">
        <v>12</v>
      </c>
      <c r="L60">
        <f t="shared" si="2"/>
        <v>1108</v>
      </c>
      <c r="M60">
        <v>69.400000000000006</v>
      </c>
      <c r="N60">
        <v>7.9</v>
      </c>
      <c r="O60" s="8">
        <v>28.73</v>
      </c>
      <c r="P60" s="10">
        <f t="shared" si="0"/>
        <v>32177.600000000002</v>
      </c>
      <c r="Q60" s="8">
        <f t="shared" si="3"/>
        <v>344.76</v>
      </c>
      <c r="R60" t="s">
        <v>29</v>
      </c>
      <c r="S60">
        <f t="shared" si="4"/>
        <v>1120</v>
      </c>
    </row>
    <row r="61" spans="1:19" x14ac:dyDescent="0.3">
      <c r="A61" t="s">
        <v>434</v>
      </c>
      <c r="B61" s="13">
        <v>45827</v>
      </c>
      <c r="C61" s="25">
        <f t="shared" si="1"/>
        <v>45809</v>
      </c>
      <c r="D61" t="s">
        <v>24</v>
      </c>
      <c r="E61" t="s">
        <v>25</v>
      </c>
      <c r="F61" t="s">
        <v>18</v>
      </c>
      <c r="G61" t="s">
        <v>40</v>
      </c>
      <c r="H61" t="s">
        <v>69</v>
      </c>
      <c r="I61">
        <v>1060</v>
      </c>
      <c r="J61">
        <v>935</v>
      </c>
      <c r="K61">
        <v>16</v>
      </c>
      <c r="L61">
        <f t="shared" si="2"/>
        <v>919</v>
      </c>
      <c r="M61">
        <v>18.2</v>
      </c>
      <c r="N61">
        <v>7</v>
      </c>
      <c r="O61" s="8">
        <v>29.01</v>
      </c>
      <c r="P61" s="10">
        <f t="shared" si="0"/>
        <v>27124.350000000002</v>
      </c>
      <c r="Q61" s="8">
        <f t="shared" si="3"/>
        <v>464.16</v>
      </c>
      <c r="R61" t="s">
        <v>29</v>
      </c>
      <c r="S61">
        <f t="shared" si="4"/>
        <v>935</v>
      </c>
    </row>
    <row r="62" spans="1:19" x14ac:dyDescent="0.3">
      <c r="A62" t="s">
        <v>423</v>
      </c>
      <c r="B62" s="13">
        <v>45731</v>
      </c>
      <c r="C62" s="25">
        <f t="shared" si="1"/>
        <v>45717</v>
      </c>
      <c r="D62" t="s">
        <v>24</v>
      </c>
      <c r="E62" t="s">
        <v>17</v>
      </c>
      <c r="F62" t="s">
        <v>43</v>
      </c>
      <c r="G62" t="s">
        <v>40</v>
      </c>
      <c r="H62" t="s">
        <v>82</v>
      </c>
      <c r="I62">
        <v>921</v>
      </c>
      <c r="J62">
        <v>895</v>
      </c>
      <c r="K62">
        <v>7</v>
      </c>
      <c r="L62">
        <f t="shared" si="2"/>
        <v>888</v>
      </c>
      <c r="M62">
        <v>19.100000000000001</v>
      </c>
      <c r="N62">
        <v>6.5</v>
      </c>
      <c r="O62" s="8">
        <v>29.43</v>
      </c>
      <c r="P62" s="10">
        <f t="shared" si="0"/>
        <v>26339.85</v>
      </c>
      <c r="Q62" s="8">
        <f t="shared" si="3"/>
        <v>206.01</v>
      </c>
      <c r="R62" t="s">
        <v>29</v>
      </c>
      <c r="S62">
        <f t="shared" si="4"/>
        <v>895</v>
      </c>
    </row>
    <row r="63" spans="1:19" x14ac:dyDescent="0.3">
      <c r="A63" t="s">
        <v>696</v>
      </c>
      <c r="B63" s="13">
        <v>45706</v>
      </c>
      <c r="C63" s="25">
        <f t="shared" si="1"/>
        <v>45689</v>
      </c>
      <c r="D63" t="s">
        <v>24</v>
      </c>
      <c r="E63" t="s">
        <v>17</v>
      </c>
      <c r="F63" t="s">
        <v>49</v>
      </c>
      <c r="G63" t="s">
        <v>40</v>
      </c>
      <c r="H63" t="s">
        <v>44</v>
      </c>
      <c r="I63">
        <v>1552</v>
      </c>
      <c r="J63">
        <v>1525</v>
      </c>
      <c r="K63">
        <v>39</v>
      </c>
      <c r="L63">
        <f t="shared" si="2"/>
        <v>1486</v>
      </c>
      <c r="M63">
        <v>96.4</v>
      </c>
      <c r="N63">
        <v>8.4</v>
      </c>
      <c r="O63" s="8">
        <v>29.63</v>
      </c>
      <c r="P63" s="10">
        <f t="shared" si="0"/>
        <v>45185.75</v>
      </c>
      <c r="Q63" s="8">
        <f t="shared" si="3"/>
        <v>1155.57</v>
      </c>
      <c r="R63" t="s">
        <v>21</v>
      </c>
      <c r="S63">
        <f t="shared" si="4"/>
        <v>1525</v>
      </c>
    </row>
    <row r="64" spans="1:19" x14ac:dyDescent="0.3">
      <c r="A64" t="s">
        <v>538</v>
      </c>
      <c r="B64" s="13">
        <v>45761</v>
      </c>
      <c r="C64" s="25">
        <f t="shared" si="1"/>
        <v>45748</v>
      </c>
      <c r="D64" t="s">
        <v>32</v>
      </c>
      <c r="E64" t="s">
        <v>25</v>
      </c>
      <c r="F64" t="s">
        <v>18</v>
      </c>
      <c r="G64" t="s">
        <v>40</v>
      </c>
      <c r="H64" t="s">
        <v>37</v>
      </c>
      <c r="I64">
        <v>1703</v>
      </c>
      <c r="J64">
        <v>1738</v>
      </c>
      <c r="K64">
        <v>60</v>
      </c>
      <c r="L64">
        <f t="shared" si="2"/>
        <v>1678</v>
      </c>
      <c r="M64">
        <v>22</v>
      </c>
      <c r="N64">
        <v>7.1</v>
      </c>
      <c r="O64" s="8">
        <v>29.78</v>
      </c>
      <c r="P64" s="10">
        <f t="shared" si="0"/>
        <v>51757.64</v>
      </c>
      <c r="Q64" s="8">
        <f t="shared" si="3"/>
        <v>1786.8000000000002</v>
      </c>
      <c r="R64" t="s">
        <v>21</v>
      </c>
      <c r="S64">
        <f t="shared" si="4"/>
        <v>1738</v>
      </c>
    </row>
    <row r="65" spans="1:19" x14ac:dyDescent="0.3">
      <c r="A65" t="s">
        <v>667</v>
      </c>
      <c r="B65" s="13">
        <v>45792</v>
      </c>
      <c r="C65" s="25">
        <f t="shared" si="1"/>
        <v>45778</v>
      </c>
      <c r="D65" t="s">
        <v>16</v>
      </c>
      <c r="E65" t="s">
        <v>59</v>
      </c>
      <c r="F65" t="s">
        <v>18</v>
      </c>
      <c r="G65" t="s">
        <v>19</v>
      </c>
      <c r="H65" t="s">
        <v>69</v>
      </c>
      <c r="I65">
        <v>1669</v>
      </c>
      <c r="J65">
        <v>1541</v>
      </c>
      <c r="K65">
        <v>4</v>
      </c>
      <c r="L65">
        <f t="shared" si="2"/>
        <v>1537</v>
      </c>
      <c r="M65">
        <v>22.3</v>
      </c>
      <c r="N65">
        <v>6.4</v>
      </c>
      <c r="O65" s="8">
        <v>29.88</v>
      </c>
      <c r="P65" s="10">
        <f t="shared" si="0"/>
        <v>46045.08</v>
      </c>
      <c r="Q65" s="8">
        <f t="shared" si="3"/>
        <v>119.52</v>
      </c>
      <c r="R65" t="s">
        <v>29</v>
      </c>
      <c r="S65">
        <f t="shared" si="4"/>
        <v>1541</v>
      </c>
    </row>
    <row r="66" spans="1:19" x14ac:dyDescent="0.3">
      <c r="A66" t="s">
        <v>511</v>
      </c>
      <c r="B66" s="13">
        <v>45758</v>
      </c>
      <c r="C66" s="25">
        <f t="shared" si="1"/>
        <v>45748</v>
      </c>
      <c r="D66" t="s">
        <v>32</v>
      </c>
      <c r="E66" t="s">
        <v>36</v>
      </c>
      <c r="F66" t="s">
        <v>18</v>
      </c>
      <c r="G66" t="s">
        <v>19</v>
      </c>
      <c r="H66" t="s">
        <v>75</v>
      </c>
      <c r="I66">
        <v>1227</v>
      </c>
      <c r="J66">
        <v>1278</v>
      </c>
      <c r="K66">
        <v>16</v>
      </c>
      <c r="L66">
        <f t="shared" si="2"/>
        <v>1262</v>
      </c>
      <c r="M66">
        <v>34.9</v>
      </c>
      <c r="N66">
        <v>8.3000000000000007</v>
      </c>
      <c r="O66" s="8">
        <v>29.98</v>
      </c>
      <c r="P66" s="10">
        <f t="shared" ref="P66:P129" si="5">J66*O66</f>
        <v>38314.44</v>
      </c>
      <c r="Q66" s="8">
        <f t="shared" si="3"/>
        <v>479.68</v>
      </c>
      <c r="R66" t="s">
        <v>29</v>
      </c>
      <c r="S66">
        <f t="shared" si="4"/>
        <v>1278</v>
      </c>
    </row>
    <row r="67" spans="1:19" x14ac:dyDescent="0.3">
      <c r="A67" t="s">
        <v>440</v>
      </c>
      <c r="B67" s="13">
        <v>45837</v>
      </c>
      <c r="C67" s="25">
        <f t="shared" ref="C67:C130" si="6">DATE(YEAR(B67), MONTH(B67), 1 )</f>
        <v>45809</v>
      </c>
      <c r="D67" t="s">
        <v>24</v>
      </c>
      <c r="E67" t="s">
        <v>17</v>
      </c>
      <c r="F67" t="s">
        <v>33</v>
      </c>
      <c r="G67" t="s">
        <v>19</v>
      </c>
      <c r="H67" t="s">
        <v>82</v>
      </c>
      <c r="I67">
        <v>1068</v>
      </c>
      <c r="J67">
        <v>1154</v>
      </c>
      <c r="K67">
        <v>10</v>
      </c>
      <c r="L67">
        <f t="shared" ref="L67:L130" si="7">J67 -K67</f>
        <v>1144</v>
      </c>
      <c r="M67">
        <v>71.8</v>
      </c>
      <c r="N67">
        <v>6.5</v>
      </c>
      <c r="O67" s="8">
        <v>30.09</v>
      </c>
      <c r="P67" s="10">
        <f t="shared" si="5"/>
        <v>34723.86</v>
      </c>
      <c r="Q67" s="8">
        <f t="shared" ref="Q67:Q130" si="8">K67*O67</f>
        <v>300.89999999999998</v>
      </c>
      <c r="R67" t="s">
        <v>29</v>
      </c>
      <c r="S67">
        <f t="shared" ref="S67:S130" si="9">L67  + K67</f>
        <v>1154</v>
      </c>
    </row>
    <row r="68" spans="1:19" x14ac:dyDescent="0.3">
      <c r="A68" t="s">
        <v>272</v>
      </c>
      <c r="B68" s="13">
        <v>45686</v>
      </c>
      <c r="C68" s="25">
        <f t="shared" si="6"/>
        <v>45658</v>
      </c>
      <c r="D68" t="s">
        <v>32</v>
      </c>
      <c r="E68" t="s">
        <v>17</v>
      </c>
      <c r="F68" t="s">
        <v>26</v>
      </c>
      <c r="G68" t="s">
        <v>40</v>
      </c>
      <c r="H68" t="s">
        <v>75</v>
      </c>
      <c r="I68">
        <v>968</v>
      </c>
      <c r="J68">
        <v>1006</v>
      </c>
      <c r="K68">
        <v>35</v>
      </c>
      <c r="L68">
        <f t="shared" si="7"/>
        <v>971</v>
      </c>
      <c r="M68">
        <v>37.299999999999997</v>
      </c>
      <c r="N68">
        <v>7.3</v>
      </c>
      <c r="O68" s="8">
        <v>30.09</v>
      </c>
      <c r="P68" s="10">
        <f t="shared" si="5"/>
        <v>30270.54</v>
      </c>
      <c r="Q68" s="8">
        <f t="shared" si="8"/>
        <v>1053.1500000000001</v>
      </c>
      <c r="R68" t="s">
        <v>21</v>
      </c>
      <c r="S68">
        <f t="shared" si="9"/>
        <v>1006</v>
      </c>
    </row>
    <row r="69" spans="1:19" x14ac:dyDescent="0.3">
      <c r="A69" t="s">
        <v>703</v>
      </c>
      <c r="B69" s="13">
        <v>45766</v>
      </c>
      <c r="C69" s="25">
        <f t="shared" si="6"/>
        <v>45748</v>
      </c>
      <c r="D69" t="s">
        <v>24</v>
      </c>
      <c r="E69" t="s">
        <v>17</v>
      </c>
      <c r="F69" t="s">
        <v>49</v>
      </c>
      <c r="G69" t="s">
        <v>19</v>
      </c>
      <c r="H69" t="s">
        <v>44</v>
      </c>
      <c r="I69">
        <v>931</v>
      </c>
      <c r="J69">
        <v>820</v>
      </c>
      <c r="K69">
        <v>8</v>
      </c>
      <c r="L69">
        <f t="shared" si="7"/>
        <v>812</v>
      </c>
      <c r="M69">
        <v>29</v>
      </c>
      <c r="N69">
        <v>8.1999999999999993</v>
      </c>
      <c r="O69" s="8">
        <v>30.39</v>
      </c>
      <c r="P69" s="10">
        <f t="shared" si="5"/>
        <v>24919.8</v>
      </c>
      <c r="Q69" s="8">
        <f t="shared" si="8"/>
        <v>243.12</v>
      </c>
      <c r="R69" t="s">
        <v>29</v>
      </c>
      <c r="S69">
        <f t="shared" si="9"/>
        <v>820</v>
      </c>
    </row>
    <row r="70" spans="1:19" x14ac:dyDescent="0.3">
      <c r="A70" t="s">
        <v>205</v>
      </c>
      <c r="B70" s="13">
        <v>45693</v>
      </c>
      <c r="C70" s="25">
        <f t="shared" si="6"/>
        <v>45689</v>
      </c>
      <c r="D70" t="s">
        <v>24</v>
      </c>
      <c r="E70" t="s">
        <v>36</v>
      </c>
      <c r="F70" t="s">
        <v>49</v>
      </c>
      <c r="G70" t="s">
        <v>40</v>
      </c>
      <c r="H70" t="s">
        <v>72</v>
      </c>
      <c r="I70">
        <v>1287</v>
      </c>
      <c r="J70">
        <v>1436</v>
      </c>
      <c r="K70">
        <v>44</v>
      </c>
      <c r="L70">
        <f t="shared" si="7"/>
        <v>1392</v>
      </c>
      <c r="M70">
        <v>10.6</v>
      </c>
      <c r="N70">
        <v>8</v>
      </c>
      <c r="O70" s="8">
        <v>30.68</v>
      </c>
      <c r="P70" s="10">
        <f t="shared" si="5"/>
        <v>44056.480000000003</v>
      </c>
      <c r="Q70" s="8">
        <f t="shared" si="8"/>
        <v>1349.92</v>
      </c>
      <c r="R70" t="s">
        <v>21</v>
      </c>
      <c r="S70">
        <f t="shared" si="9"/>
        <v>1436</v>
      </c>
    </row>
    <row r="71" spans="1:19" x14ac:dyDescent="0.3">
      <c r="A71" t="s">
        <v>327</v>
      </c>
      <c r="B71" s="13">
        <v>45842</v>
      </c>
      <c r="C71" s="25">
        <f t="shared" si="6"/>
        <v>45839</v>
      </c>
      <c r="D71" t="s">
        <v>32</v>
      </c>
      <c r="E71" t="s">
        <v>25</v>
      </c>
      <c r="F71" t="s">
        <v>26</v>
      </c>
      <c r="G71" t="s">
        <v>27</v>
      </c>
      <c r="H71" t="s">
        <v>44</v>
      </c>
      <c r="I71">
        <v>784</v>
      </c>
      <c r="J71">
        <v>700</v>
      </c>
      <c r="K71">
        <v>21</v>
      </c>
      <c r="L71">
        <f t="shared" si="7"/>
        <v>679</v>
      </c>
      <c r="M71">
        <v>10.199999999999999</v>
      </c>
      <c r="N71">
        <v>6.9</v>
      </c>
      <c r="O71" s="8">
        <v>30.84</v>
      </c>
      <c r="P71" s="10">
        <f t="shared" si="5"/>
        <v>21588</v>
      </c>
      <c r="Q71" s="8">
        <f t="shared" si="8"/>
        <v>647.64</v>
      </c>
      <c r="R71" t="s">
        <v>21</v>
      </c>
      <c r="S71">
        <f t="shared" si="9"/>
        <v>700</v>
      </c>
    </row>
    <row r="72" spans="1:19" x14ac:dyDescent="0.3">
      <c r="A72" t="s">
        <v>744</v>
      </c>
      <c r="B72" s="13">
        <v>45762</v>
      </c>
      <c r="C72" s="25">
        <f t="shared" si="6"/>
        <v>45748</v>
      </c>
      <c r="D72" t="s">
        <v>16</v>
      </c>
      <c r="E72" t="s">
        <v>36</v>
      </c>
      <c r="F72" t="s">
        <v>49</v>
      </c>
      <c r="G72" t="s">
        <v>27</v>
      </c>
      <c r="H72" t="s">
        <v>75</v>
      </c>
      <c r="I72">
        <v>826</v>
      </c>
      <c r="J72">
        <v>864</v>
      </c>
      <c r="K72">
        <v>3</v>
      </c>
      <c r="L72">
        <f t="shared" si="7"/>
        <v>861</v>
      </c>
      <c r="M72">
        <v>37.200000000000003</v>
      </c>
      <c r="N72">
        <v>8</v>
      </c>
      <c r="O72" s="8">
        <v>30.88</v>
      </c>
      <c r="P72" s="10">
        <f t="shared" si="5"/>
        <v>26680.32</v>
      </c>
      <c r="Q72" s="8">
        <f t="shared" si="8"/>
        <v>92.64</v>
      </c>
      <c r="R72" t="s">
        <v>29</v>
      </c>
      <c r="S72">
        <f t="shared" si="9"/>
        <v>864</v>
      </c>
    </row>
    <row r="73" spans="1:19" x14ac:dyDescent="0.3">
      <c r="A73" t="s">
        <v>756</v>
      </c>
      <c r="B73" s="13">
        <v>45964</v>
      </c>
      <c r="C73" s="25">
        <f t="shared" si="6"/>
        <v>45962</v>
      </c>
      <c r="D73" t="s">
        <v>24</v>
      </c>
      <c r="E73" t="s">
        <v>62</v>
      </c>
      <c r="F73" t="s">
        <v>43</v>
      </c>
      <c r="G73" t="s">
        <v>40</v>
      </c>
      <c r="H73" t="s">
        <v>20</v>
      </c>
      <c r="I73">
        <v>1587</v>
      </c>
      <c r="J73">
        <v>1610</v>
      </c>
      <c r="K73">
        <v>8</v>
      </c>
      <c r="L73">
        <f t="shared" si="7"/>
        <v>1602</v>
      </c>
      <c r="M73">
        <v>71.2</v>
      </c>
      <c r="N73">
        <v>7.8</v>
      </c>
      <c r="O73" s="8">
        <v>30.93</v>
      </c>
      <c r="P73" s="10">
        <f t="shared" si="5"/>
        <v>49797.3</v>
      </c>
      <c r="Q73" s="8">
        <f t="shared" si="8"/>
        <v>247.44</v>
      </c>
      <c r="R73" t="s">
        <v>29</v>
      </c>
      <c r="S73">
        <f t="shared" si="9"/>
        <v>1610</v>
      </c>
    </row>
    <row r="74" spans="1:19" x14ac:dyDescent="0.3">
      <c r="A74" t="s">
        <v>761</v>
      </c>
      <c r="B74" s="13">
        <v>45931</v>
      </c>
      <c r="C74" s="25">
        <f t="shared" si="6"/>
        <v>45931</v>
      </c>
      <c r="D74" t="s">
        <v>16</v>
      </c>
      <c r="E74" t="s">
        <v>17</v>
      </c>
      <c r="F74" t="s">
        <v>43</v>
      </c>
      <c r="G74" t="s">
        <v>19</v>
      </c>
      <c r="H74" t="s">
        <v>37</v>
      </c>
      <c r="I74">
        <v>1319</v>
      </c>
      <c r="J74">
        <v>1122</v>
      </c>
      <c r="K74">
        <v>32</v>
      </c>
      <c r="L74">
        <f t="shared" si="7"/>
        <v>1090</v>
      </c>
      <c r="M74">
        <v>41.9</v>
      </c>
      <c r="N74">
        <v>6.4</v>
      </c>
      <c r="O74" s="8">
        <v>31.15</v>
      </c>
      <c r="P74" s="10">
        <f t="shared" si="5"/>
        <v>34950.299999999996</v>
      </c>
      <c r="Q74" s="8">
        <f t="shared" si="8"/>
        <v>996.8</v>
      </c>
      <c r="R74" t="s">
        <v>21</v>
      </c>
      <c r="S74">
        <f t="shared" si="9"/>
        <v>1122</v>
      </c>
    </row>
    <row r="75" spans="1:19" x14ac:dyDescent="0.3">
      <c r="A75" t="s">
        <v>620</v>
      </c>
      <c r="B75" s="13">
        <v>45691</v>
      </c>
      <c r="C75" s="25">
        <f t="shared" si="6"/>
        <v>45689</v>
      </c>
      <c r="D75" t="s">
        <v>32</v>
      </c>
      <c r="E75" t="s">
        <v>25</v>
      </c>
      <c r="F75" t="s">
        <v>33</v>
      </c>
      <c r="G75" t="s">
        <v>27</v>
      </c>
      <c r="H75" t="s">
        <v>37</v>
      </c>
      <c r="I75">
        <v>957</v>
      </c>
      <c r="J75">
        <v>764</v>
      </c>
      <c r="K75">
        <v>11</v>
      </c>
      <c r="L75">
        <f t="shared" si="7"/>
        <v>753</v>
      </c>
      <c r="M75">
        <v>14.9</v>
      </c>
      <c r="N75">
        <v>7.4</v>
      </c>
      <c r="O75" s="8">
        <v>31.45</v>
      </c>
      <c r="P75" s="10">
        <f t="shared" si="5"/>
        <v>24027.8</v>
      </c>
      <c r="Q75" s="8">
        <f t="shared" si="8"/>
        <v>345.95</v>
      </c>
      <c r="R75" t="s">
        <v>29</v>
      </c>
      <c r="S75">
        <f t="shared" si="9"/>
        <v>764</v>
      </c>
    </row>
    <row r="76" spans="1:19" x14ac:dyDescent="0.3">
      <c r="A76" t="s">
        <v>379</v>
      </c>
      <c r="B76" s="13">
        <v>46008</v>
      </c>
      <c r="C76" s="25">
        <f t="shared" si="6"/>
        <v>45992</v>
      </c>
      <c r="D76" t="s">
        <v>16</v>
      </c>
      <c r="E76" t="s">
        <v>59</v>
      </c>
      <c r="F76" t="s">
        <v>33</v>
      </c>
      <c r="G76" t="s">
        <v>40</v>
      </c>
      <c r="H76" t="s">
        <v>37</v>
      </c>
      <c r="I76">
        <v>1339</v>
      </c>
      <c r="J76">
        <v>1368</v>
      </c>
      <c r="K76">
        <v>28</v>
      </c>
      <c r="L76">
        <f t="shared" si="7"/>
        <v>1340</v>
      </c>
      <c r="M76">
        <v>49.4</v>
      </c>
      <c r="N76">
        <v>8.1</v>
      </c>
      <c r="O76" s="8">
        <v>31.8</v>
      </c>
      <c r="P76" s="10">
        <f t="shared" si="5"/>
        <v>43502.400000000001</v>
      </c>
      <c r="Q76" s="8">
        <f t="shared" si="8"/>
        <v>890.4</v>
      </c>
      <c r="R76" t="s">
        <v>21</v>
      </c>
      <c r="S76">
        <f t="shared" si="9"/>
        <v>1368</v>
      </c>
    </row>
    <row r="77" spans="1:19" x14ac:dyDescent="0.3">
      <c r="A77" t="s">
        <v>771</v>
      </c>
      <c r="B77" s="13">
        <v>45927</v>
      </c>
      <c r="C77" s="25">
        <f t="shared" si="6"/>
        <v>45901</v>
      </c>
      <c r="D77" t="s">
        <v>16</v>
      </c>
      <c r="E77" t="s">
        <v>59</v>
      </c>
      <c r="F77" t="s">
        <v>18</v>
      </c>
      <c r="G77" t="s">
        <v>40</v>
      </c>
      <c r="H77" t="s">
        <v>72</v>
      </c>
      <c r="I77">
        <v>1137</v>
      </c>
      <c r="J77">
        <v>1189</v>
      </c>
      <c r="K77">
        <v>38</v>
      </c>
      <c r="L77">
        <f t="shared" si="7"/>
        <v>1151</v>
      </c>
      <c r="M77">
        <v>28.1</v>
      </c>
      <c r="N77">
        <v>6.2</v>
      </c>
      <c r="O77" s="8">
        <v>31.99</v>
      </c>
      <c r="P77" s="10">
        <f t="shared" si="5"/>
        <v>38036.11</v>
      </c>
      <c r="Q77" s="8">
        <f t="shared" si="8"/>
        <v>1215.6199999999999</v>
      </c>
      <c r="R77" t="s">
        <v>21</v>
      </c>
      <c r="S77">
        <f t="shared" si="9"/>
        <v>1189</v>
      </c>
    </row>
    <row r="78" spans="1:19" x14ac:dyDescent="0.3">
      <c r="A78" t="s">
        <v>267</v>
      </c>
      <c r="B78" s="13">
        <v>45896</v>
      </c>
      <c r="C78" s="25">
        <f t="shared" si="6"/>
        <v>45870</v>
      </c>
      <c r="D78" t="s">
        <v>32</v>
      </c>
      <c r="E78" t="s">
        <v>59</v>
      </c>
      <c r="F78" t="s">
        <v>26</v>
      </c>
      <c r="G78" t="s">
        <v>27</v>
      </c>
      <c r="H78" t="s">
        <v>37</v>
      </c>
      <c r="I78">
        <v>1102</v>
      </c>
      <c r="J78">
        <v>939</v>
      </c>
      <c r="K78">
        <v>6</v>
      </c>
      <c r="L78">
        <f t="shared" si="7"/>
        <v>933</v>
      </c>
      <c r="M78">
        <v>46</v>
      </c>
      <c r="N78">
        <v>7.9</v>
      </c>
      <c r="O78" s="8">
        <v>32.69</v>
      </c>
      <c r="P78" s="10">
        <f t="shared" si="5"/>
        <v>30695.909999999996</v>
      </c>
      <c r="Q78" s="8">
        <f t="shared" si="8"/>
        <v>196.14</v>
      </c>
      <c r="R78" t="s">
        <v>29</v>
      </c>
      <c r="S78">
        <f t="shared" si="9"/>
        <v>939</v>
      </c>
    </row>
    <row r="79" spans="1:19" x14ac:dyDescent="0.3">
      <c r="A79" t="s">
        <v>339</v>
      </c>
      <c r="B79" s="13">
        <v>45775</v>
      </c>
      <c r="C79" s="25">
        <f t="shared" si="6"/>
        <v>45748</v>
      </c>
      <c r="D79" t="s">
        <v>32</v>
      </c>
      <c r="E79" t="s">
        <v>36</v>
      </c>
      <c r="F79" t="s">
        <v>33</v>
      </c>
      <c r="G79" t="s">
        <v>27</v>
      </c>
      <c r="H79" t="s">
        <v>20</v>
      </c>
      <c r="I79">
        <v>923</v>
      </c>
      <c r="J79">
        <v>970</v>
      </c>
      <c r="K79">
        <v>31</v>
      </c>
      <c r="L79">
        <f t="shared" si="7"/>
        <v>939</v>
      </c>
      <c r="M79">
        <v>29.4</v>
      </c>
      <c r="N79">
        <v>8.1</v>
      </c>
      <c r="O79" s="8">
        <v>32.92</v>
      </c>
      <c r="P79" s="10">
        <f t="shared" si="5"/>
        <v>31932.400000000001</v>
      </c>
      <c r="Q79" s="8">
        <f t="shared" si="8"/>
        <v>1020.5200000000001</v>
      </c>
      <c r="R79" t="s">
        <v>21</v>
      </c>
      <c r="S79">
        <f t="shared" si="9"/>
        <v>970</v>
      </c>
    </row>
    <row r="80" spans="1:19" x14ac:dyDescent="0.3">
      <c r="A80" t="s">
        <v>407</v>
      </c>
      <c r="B80" s="13">
        <v>45919</v>
      </c>
      <c r="C80" s="25">
        <f t="shared" si="6"/>
        <v>45901</v>
      </c>
      <c r="D80" t="s">
        <v>32</v>
      </c>
      <c r="E80" t="s">
        <v>36</v>
      </c>
      <c r="F80" t="s">
        <v>18</v>
      </c>
      <c r="G80" t="s">
        <v>40</v>
      </c>
      <c r="H80" t="s">
        <v>72</v>
      </c>
      <c r="I80">
        <v>1536</v>
      </c>
      <c r="J80">
        <v>1443</v>
      </c>
      <c r="K80">
        <v>38</v>
      </c>
      <c r="L80">
        <f t="shared" si="7"/>
        <v>1405</v>
      </c>
      <c r="M80">
        <v>6.8</v>
      </c>
      <c r="N80">
        <v>6.7</v>
      </c>
      <c r="O80" s="8">
        <v>32.97</v>
      </c>
      <c r="P80" s="10">
        <f t="shared" si="5"/>
        <v>47575.71</v>
      </c>
      <c r="Q80" s="8">
        <f t="shared" si="8"/>
        <v>1252.8599999999999</v>
      </c>
      <c r="R80" t="s">
        <v>21</v>
      </c>
      <c r="S80">
        <f t="shared" si="9"/>
        <v>1443</v>
      </c>
    </row>
    <row r="81" spans="1:19" x14ac:dyDescent="0.3">
      <c r="A81" t="s">
        <v>666</v>
      </c>
      <c r="B81" s="13">
        <v>45723</v>
      </c>
      <c r="C81" s="25">
        <f t="shared" si="6"/>
        <v>45717</v>
      </c>
      <c r="D81" t="s">
        <v>16</v>
      </c>
      <c r="E81" t="s">
        <v>59</v>
      </c>
      <c r="F81" t="s">
        <v>49</v>
      </c>
      <c r="G81" t="s">
        <v>40</v>
      </c>
      <c r="H81" t="s">
        <v>20</v>
      </c>
      <c r="I81">
        <v>1049</v>
      </c>
      <c r="J81">
        <v>1018</v>
      </c>
      <c r="K81">
        <v>3</v>
      </c>
      <c r="L81">
        <f t="shared" si="7"/>
        <v>1015</v>
      </c>
      <c r="M81">
        <v>103.6</v>
      </c>
      <c r="N81">
        <v>6.6</v>
      </c>
      <c r="O81" s="8">
        <v>33.049999999999997</v>
      </c>
      <c r="P81" s="10">
        <f t="shared" si="5"/>
        <v>33644.899999999994</v>
      </c>
      <c r="Q81" s="8">
        <f t="shared" si="8"/>
        <v>99.149999999999991</v>
      </c>
      <c r="R81" t="s">
        <v>29</v>
      </c>
      <c r="S81">
        <f t="shared" si="9"/>
        <v>1018</v>
      </c>
    </row>
    <row r="82" spans="1:19" x14ac:dyDescent="0.3">
      <c r="A82" t="s">
        <v>63</v>
      </c>
      <c r="B82" s="13">
        <v>45935</v>
      </c>
      <c r="C82" s="25">
        <f t="shared" si="6"/>
        <v>45931</v>
      </c>
      <c r="D82" t="s">
        <v>16</v>
      </c>
      <c r="E82" t="s">
        <v>17</v>
      </c>
      <c r="F82" t="s">
        <v>49</v>
      </c>
      <c r="G82" t="s">
        <v>40</v>
      </c>
      <c r="H82" t="s">
        <v>20</v>
      </c>
      <c r="I82">
        <v>1503</v>
      </c>
      <c r="J82">
        <v>1571</v>
      </c>
      <c r="K82">
        <v>47</v>
      </c>
      <c r="L82">
        <f t="shared" si="7"/>
        <v>1524</v>
      </c>
      <c r="M82">
        <v>60.3</v>
      </c>
      <c r="N82">
        <v>7.6</v>
      </c>
      <c r="O82" s="8">
        <v>33.479999999999997</v>
      </c>
      <c r="P82" s="10">
        <f t="shared" si="5"/>
        <v>52597.079999999994</v>
      </c>
      <c r="Q82" s="8">
        <f t="shared" si="8"/>
        <v>1573.56</v>
      </c>
      <c r="R82" t="s">
        <v>21</v>
      </c>
      <c r="S82">
        <f t="shared" si="9"/>
        <v>1571</v>
      </c>
    </row>
    <row r="83" spans="1:19" x14ac:dyDescent="0.3">
      <c r="A83" t="s">
        <v>502</v>
      </c>
      <c r="B83" s="13">
        <v>46007</v>
      </c>
      <c r="C83" s="25">
        <f t="shared" si="6"/>
        <v>45992</v>
      </c>
      <c r="D83" t="s">
        <v>16</v>
      </c>
      <c r="E83" t="s">
        <v>25</v>
      </c>
      <c r="F83" t="s">
        <v>54</v>
      </c>
      <c r="G83" t="s">
        <v>19</v>
      </c>
      <c r="H83" t="str">
        <f>"Not Found"</f>
        <v>Not Found</v>
      </c>
      <c r="I83">
        <v>1091</v>
      </c>
      <c r="J83">
        <v>1101</v>
      </c>
      <c r="K83">
        <v>4</v>
      </c>
      <c r="L83">
        <f t="shared" si="7"/>
        <v>1097</v>
      </c>
      <c r="M83">
        <v>35.1</v>
      </c>
      <c r="N83">
        <v>7.2</v>
      </c>
      <c r="O83" s="8">
        <v>33.74</v>
      </c>
      <c r="P83" s="10">
        <f t="shared" si="5"/>
        <v>37147.740000000005</v>
      </c>
      <c r="Q83" s="8">
        <f t="shared" si="8"/>
        <v>134.96</v>
      </c>
      <c r="R83" t="s">
        <v>29</v>
      </c>
      <c r="S83">
        <f t="shared" si="9"/>
        <v>1101</v>
      </c>
    </row>
    <row r="84" spans="1:19" x14ac:dyDescent="0.3">
      <c r="A84" t="s">
        <v>687</v>
      </c>
      <c r="B84" s="13">
        <v>45816</v>
      </c>
      <c r="C84" s="25">
        <f t="shared" si="6"/>
        <v>45809</v>
      </c>
      <c r="D84" t="s">
        <v>16</v>
      </c>
      <c r="E84" t="s">
        <v>25</v>
      </c>
      <c r="F84" t="s">
        <v>33</v>
      </c>
      <c r="G84" t="s">
        <v>19</v>
      </c>
      <c r="H84" t="s">
        <v>37</v>
      </c>
      <c r="I84">
        <v>1072</v>
      </c>
      <c r="J84">
        <v>969</v>
      </c>
      <c r="K84">
        <v>17</v>
      </c>
      <c r="L84">
        <f t="shared" si="7"/>
        <v>952</v>
      </c>
      <c r="M84">
        <v>7.4</v>
      </c>
      <c r="N84">
        <v>7.6</v>
      </c>
      <c r="O84" s="8">
        <v>34.28</v>
      </c>
      <c r="P84" s="10">
        <f t="shared" si="5"/>
        <v>33217.32</v>
      </c>
      <c r="Q84" s="8">
        <f t="shared" si="8"/>
        <v>582.76</v>
      </c>
      <c r="R84" t="s">
        <v>29</v>
      </c>
      <c r="S84">
        <f t="shared" si="9"/>
        <v>969</v>
      </c>
    </row>
    <row r="85" spans="1:19" x14ac:dyDescent="0.3">
      <c r="A85" t="s">
        <v>211</v>
      </c>
      <c r="B85" s="13">
        <v>45961</v>
      </c>
      <c r="C85" s="25">
        <f t="shared" si="6"/>
        <v>45931</v>
      </c>
      <c r="D85" t="s">
        <v>32</v>
      </c>
      <c r="E85" t="s">
        <v>36</v>
      </c>
      <c r="F85" t="s">
        <v>212</v>
      </c>
      <c r="G85" t="s">
        <v>27</v>
      </c>
      <c r="H85" t="s">
        <v>28</v>
      </c>
      <c r="I85">
        <v>1677</v>
      </c>
      <c r="J85">
        <v>1549</v>
      </c>
      <c r="K85">
        <v>23</v>
      </c>
      <c r="L85">
        <f t="shared" si="7"/>
        <v>1526</v>
      </c>
      <c r="M85">
        <v>20.9</v>
      </c>
      <c r="N85">
        <v>7</v>
      </c>
      <c r="O85" s="8">
        <v>34.65</v>
      </c>
      <c r="P85" s="10">
        <f t="shared" si="5"/>
        <v>53672.85</v>
      </c>
      <c r="Q85" s="8">
        <f t="shared" si="8"/>
        <v>796.94999999999993</v>
      </c>
      <c r="R85" t="s">
        <v>29</v>
      </c>
      <c r="S85">
        <f t="shared" si="9"/>
        <v>1549</v>
      </c>
    </row>
    <row r="86" spans="1:19" x14ac:dyDescent="0.3">
      <c r="A86" t="s">
        <v>432</v>
      </c>
      <c r="B86" s="13">
        <v>45722</v>
      </c>
      <c r="C86" s="25">
        <f t="shared" si="6"/>
        <v>45717</v>
      </c>
      <c r="D86" t="s">
        <v>24</v>
      </c>
      <c r="E86" t="s">
        <v>17</v>
      </c>
      <c r="F86" t="s">
        <v>26</v>
      </c>
      <c r="G86" t="s">
        <v>27</v>
      </c>
      <c r="H86" t="s">
        <v>44</v>
      </c>
      <c r="I86">
        <v>1542</v>
      </c>
      <c r="J86">
        <v>1649</v>
      </c>
      <c r="K86">
        <v>37</v>
      </c>
      <c r="L86">
        <f t="shared" si="7"/>
        <v>1612</v>
      </c>
      <c r="M86">
        <v>52.1</v>
      </c>
      <c r="N86">
        <v>7.6</v>
      </c>
      <c r="O86" s="8">
        <v>35.159999999999997</v>
      </c>
      <c r="P86" s="10">
        <f t="shared" si="5"/>
        <v>57978.84</v>
      </c>
      <c r="Q86" s="8">
        <f t="shared" si="8"/>
        <v>1300.9199999999998</v>
      </c>
      <c r="R86" t="s">
        <v>21</v>
      </c>
      <c r="S86">
        <f t="shared" si="9"/>
        <v>1649</v>
      </c>
    </row>
    <row r="87" spans="1:19" x14ac:dyDescent="0.3">
      <c r="A87" t="s">
        <v>850</v>
      </c>
      <c r="B87" s="13">
        <v>45761</v>
      </c>
      <c r="C87" s="25">
        <f t="shared" si="6"/>
        <v>45748</v>
      </c>
      <c r="D87" t="s">
        <v>16</v>
      </c>
      <c r="E87" t="s">
        <v>36</v>
      </c>
      <c r="F87" t="s">
        <v>18</v>
      </c>
      <c r="G87" t="s">
        <v>40</v>
      </c>
      <c r="H87" t="s">
        <v>72</v>
      </c>
      <c r="I87">
        <v>1001</v>
      </c>
      <c r="J87">
        <v>989</v>
      </c>
      <c r="K87">
        <v>28</v>
      </c>
      <c r="L87">
        <f t="shared" si="7"/>
        <v>961</v>
      </c>
      <c r="M87">
        <v>33.5</v>
      </c>
      <c r="N87">
        <v>7.4</v>
      </c>
      <c r="O87" s="8">
        <v>35.47</v>
      </c>
      <c r="P87" s="10">
        <f t="shared" si="5"/>
        <v>35079.83</v>
      </c>
      <c r="Q87" s="8">
        <f t="shared" si="8"/>
        <v>993.16</v>
      </c>
      <c r="R87" t="s">
        <v>21</v>
      </c>
      <c r="S87">
        <f t="shared" si="9"/>
        <v>989</v>
      </c>
    </row>
    <row r="88" spans="1:19" x14ac:dyDescent="0.3">
      <c r="A88" t="s">
        <v>769</v>
      </c>
      <c r="B88" s="13">
        <v>45998</v>
      </c>
      <c r="C88" s="25">
        <f t="shared" si="6"/>
        <v>45992</v>
      </c>
      <c r="D88" t="s">
        <v>24</v>
      </c>
      <c r="E88" t="s">
        <v>17</v>
      </c>
      <c r="F88" t="s">
        <v>43</v>
      </c>
      <c r="G88" t="s">
        <v>19</v>
      </c>
      <c r="H88" t="s">
        <v>75</v>
      </c>
      <c r="I88">
        <v>711</v>
      </c>
      <c r="J88">
        <v>610</v>
      </c>
      <c r="K88">
        <v>10</v>
      </c>
      <c r="L88">
        <f t="shared" si="7"/>
        <v>600</v>
      </c>
      <c r="M88">
        <v>21.8</v>
      </c>
      <c r="N88">
        <v>6.7</v>
      </c>
      <c r="O88" s="8">
        <v>35.56</v>
      </c>
      <c r="P88" s="10">
        <f t="shared" si="5"/>
        <v>21691.600000000002</v>
      </c>
      <c r="Q88" s="8">
        <f t="shared" si="8"/>
        <v>355.6</v>
      </c>
      <c r="R88" t="s">
        <v>29</v>
      </c>
      <c r="S88">
        <f t="shared" si="9"/>
        <v>610</v>
      </c>
    </row>
    <row r="89" spans="1:19" x14ac:dyDescent="0.3">
      <c r="A89" t="s">
        <v>738</v>
      </c>
      <c r="B89" s="13">
        <v>45843</v>
      </c>
      <c r="C89" s="25">
        <f t="shared" si="6"/>
        <v>45839</v>
      </c>
      <c r="D89" t="s">
        <v>16</v>
      </c>
      <c r="E89" t="s">
        <v>62</v>
      </c>
      <c r="F89" t="s">
        <v>49</v>
      </c>
      <c r="G89" t="s">
        <v>27</v>
      </c>
      <c r="H89" t="s">
        <v>72</v>
      </c>
      <c r="I89">
        <v>1600</v>
      </c>
      <c r="J89">
        <v>1472</v>
      </c>
      <c r="K89">
        <v>40</v>
      </c>
      <c r="L89">
        <f t="shared" si="7"/>
        <v>1432</v>
      </c>
      <c r="M89">
        <v>43.2</v>
      </c>
      <c r="N89">
        <v>7.7</v>
      </c>
      <c r="O89" s="8">
        <v>35.65</v>
      </c>
      <c r="P89" s="10">
        <f t="shared" si="5"/>
        <v>52476.799999999996</v>
      </c>
      <c r="Q89" s="8">
        <f t="shared" si="8"/>
        <v>1426</v>
      </c>
      <c r="R89" t="s">
        <v>21</v>
      </c>
      <c r="S89">
        <f t="shared" si="9"/>
        <v>1472</v>
      </c>
    </row>
    <row r="90" spans="1:19" x14ac:dyDescent="0.3">
      <c r="A90" t="s">
        <v>481</v>
      </c>
      <c r="B90" s="13">
        <v>45947</v>
      </c>
      <c r="C90" s="25">
        <f t="shared" si="6"/>
        <v>45931</v>
      </c>
      <c r="D90" t="s">
        <v>16</v>
      </c>
      <c r="E90" t="s">
        <v>25</v>
      </c>
      <c r="F90" t="s">
        <v>33</v>
      </c>
      <c r="G90" t="s">
        <v>40</v>
      </c>
      <c r="H90" t="s">
        <v>69</v>
      </c>
      <c r="I90">
        <v>1459</v>
      </c>
      <c r="J90">
        <v>1361</v>
      </c>
      <c r="K90">
        <v>6</v>
      </c>
      <c r="L90">
        <f t="shared" si="7"/>
        <v>1355</v>
      </c>
      <c r="M90">
        <v>26.4</v>
      </c>
      <c r="N90">
        <v>6.7</v>
      </c>
      <c r="O90" s="8">
        <v>35.75</v>
      </c>
      <c r="P90" s="10">
        <f t="shared" si="5"/>
        <v>48655.75</v>
      </c>
      <c r="Q90" s="8">
        <f t="shared" si="8"/>
        <v>214.5</v>
      </c>
      <c r="R90" t="s">
        <v>29</v>
      </c>
      <c r="S90">
        <f t="shared" si="9"/>
        <v>1361</v>
      </c>
    </row>
    <row r="91" spans="1:19" x14ac:dyDescent="0.3">
      <c r="A91" t="s">
        <v>747</v>
      </c>
      <c r="B91" s="13">
        <v>45995</v>
      </c>
      <c r="C91" s="25">
        <f t="shared" si="6"/>
        <v>45992</v>
      </c>
      <c r="D91" t="s">
        <v>24</v>
      </c>
      <c r="E91" t="s">
        <v>25</v>
      </c>
      <c r="F91" t="s">
        <v>49</v>
      </c>
      <c r="G91" t="s">
        <v>40</v>
      </c>
      <c r="H91" t="s">
        <v>69</v>
      </c>
      <c r="I91">
        <v>1039</v>
      </c>
      <c r="J91">
        <v>855</v>
      </c>
      <c r="K91">
        <v>23</v>
      </c>
      <c r="L91">
        <f t="shared" si="7"/>
        <v>832</v>
      </c>
      <c r="M91">
        <v>7.3</v>
      </c>
      <c r="N91">
        <v>8.4</v>
      </c>
      <c r="O91" s="8">
        <v>35.799999999999997</v>
      </c>
      <c r="P91" s="10">
        <f t="shared" si="5"/>
        <v>30608.999999999996</v>
      </c>
      <c r="Q91" s="8">
        <f t="shared" si="8"/>
        <v>823.4</v>
      </c>
      <c r="R91" t="s">
        <v>21</v>
      </c>
      <c r="S91">
        <f t="shared" si="9"/>
        <v>855</v>
      </c>
    </row>
    <row r="92" spans="1:19" x14ac:dyDescent="0.3">
      <c r="A92" t="s">
        <v>698</v>
      </c>
      <c r="B92" s="13">
        <v>45664</v>
      </c>
      <c r="C92" s="25">
        <f t="shared" si="6"/>
        <v>45658</v>
      </c>
      <c r="D92" t="s">
        <v>24</v>
      </c>
      <c r="E92" t="s">
        <v>36</v>
      </c>
      <c r="F92" t="s">
        <v>49</v>
      </c>
      <c r="G92" t="s">
        <v>19</v>
      </c>
      <c r="H92" t="s">
        <v>72</v>
      </c>
      <c r="I92">
        <v>1341</v>
      </c>
      <c r="J92">
        <v>1247</v>
      </c>
      <c r="K92">
        <v>26</v>
      </c>
      <c r="L92">
        <f t="shared" si="7"/>
        <v>1221</v>
      </c>
      <c r="M92">
        <v>0.9</v>
      </c>
      <c r="N92">
        <v>6.8</v>
      </c>
      <c r="O92" s="8">
        <v>35.94</v>
      </c>
      <c r="P92" s="10">
        <f t="shared" si="5"/>
        <v>44817.18</v>
      </c>
      <c r="Q92" s="8">
        <f t="shared" si="8"/>
        <v>934.43999999999994</v>
      </c>
      <c r="R92" t="s">
        <v>21</v>
      </c>
      <c r="S92">
        <f t="shared" si="9"/>
        <v>1247</v>
      </c>
    </row>
    <row r="93" spans="1:19" x14ac:dyDescent="0.3">
      <c r="A93" t="s">
        <v>865</v>
      </c>
      <c r="B93" s="13">
        <v>45677</v>
      </c>
      <c r="C93" s="25">
        <f t="shared" si="6"/>
        <v>45658</v>
      </c>
      <c r="D93" t="s">
        <v>32</v>
      </c>
      <c r="E93" t="s">
        <v>62</v>
      </c>
      <c r="F93" t="s">
        <v>18</v>
      </c>
      <c r="G93" t="s">
        <v>27</v>
      </c>
      <c r="H93" t="s">
        <v>72</v>
      </c>
      <c r="I93">
        <v>1749</v>
      </c>
      <c r="J93">
        <v>1649</v>
      </c>
      <c r="K93">
        <v>53</v>
      </c>
      <c r="L93">
        <f t="shared" si="7"/>
        <v>1596</v>
      </c>
      <c r="M93">
        <v>5.2</v>
      </c>
      <c r="N93">
        <v>6.6</v>
      </c>
      <c r="O93" s="8">
        <v>36.090000000000003</v>
      </c>
      <c r="P93" s="10">
        <f t="shared" si="5"/>
        <v>59512.41</v>
      </c>
      <c r="Q93" s="8">
        <f t="shared" si="8"/>
        <v>1912.7700000000002</v>
      </c>
      <c r="R93" t="s">
        <v>21</v>
      </c>
      <c r="S93">
        <f t="shared" si="9"/>
        <v>1649</v>
      </c>
    </row>
    <row r="94" spans="1:19" x14ac:dyDescent="0.3">
      <c r="A94" t="s">
        <v>281</v>
      </c>
      <c r="B94" s="13">
        <v>45860</v>
      </c>
      <c r="C94" s="25">
        <f t="shared" si="6"/>
        <v>45839</v>
      </c>
      <c r="D94" t="s">
        <v>16</v>
      </c>
      <c r="E94" t="s">
        <v>62</v>
      </c>
      <c r="F94" t="s">
        <v>26</v>
      </c>
      <c r="G94" t="s">
        <v>27</v>
      </c>
      <c r="H94" t="s">
        <v>28</v>
      </c>
      <c r="I94">
        <v>805</v>
      </c>
      <c r="J94">
        <v>753</v>
      </c>
      <c r="K94">
        <v>22</v>
      </c>
      <c r="L94">
        <f t="shared" si="7"/>
        <v>731</v>
      </c>
      <c r="M94">
        <v>27.6</v>
      </c>
      <c r="N94">
        <v>6.4</v>
      </c>
      <c r="O94" s="8">
        <v>36.65</v>
      </c>
      <c r="P94" s="10">
        <f t="shared" si="5"/>
        <v>27597.45</v>
      </c>
      <c r="Q94" s="8">
        <f t="shared" si="8"/>
        <v>806.3</v>
      </c>
      <c r="R94" t="s">
        <v>21</v>
      </c>
      <c r="S94">
        <f t="shared" si="9"/>
        <v>753</v>
      </c>
    </row>
    <row r="95" spans="1:19" x14ac:dyDescent="0.3">
      <c r="A95" t="s">
        <v>370</v>
      </c>
      <c r="B95" s="13">
        <v>45797</v>
      </c>
      <c r="C95" s="25">
        <f t="shared" si="6"/>
        <v>45778</v>
      </c>
      <c r="D95" t="s">
        <v>24</v>
      </c>
      <c r="E95" t="s">
        <v>62</v>
      </c>
      <c r="F95" t="s">
        <v>43</v>
      </c>
      <c r="G95" t="s">
        <v>40</v>
      </c>
      <c r="H95" t="s">
        <v>75</v>
      </c>
      <c r="I95">
        <v>821</v>
      </c>
      <c r="J95">
        <v>815</v>
      </c>
      <c r="K95">
        <v>11</v>
      </c>
      <c r="L95">
        <f t="shared" si="7"/>
        <v>804</v>
      </c>
      <c r="M95">
        <v>57.7</v>
      </c>
      <c r="N95">
        <v>7.2</v>
      </c>
      <c r="O95" s="8">
        <v>36.72</v>
      </c>
      <c r="P95" s="10">
        <f t="shared" si="5"/>
        <v>29926.799999999999</v>
      </c>
      <c r="Q95" s="8">
        <f t="shared" si="8"/>
        <v>403.91999999999996</v>
      </c>
      <c r="R95" t="s">
        <v>29</v>
      </c>
      <c r="S95">
        <f t="shared" si="9"/>
        <v>815</v>
      </c>
    </row>
    <row r="96" spans="1:19" x14ac:dyDescent="0.3">
      <c r="A96" t="s">
        <v>684</v>
      </c>
      <c r="B96" s="13">
        <v>46012</v>
      </c>
      <c r="C96" s="25">
        <f t="shared" si="6"/>
        <v>45992</v>
      </c>
      <c r="D96" t="s">
        <v>24</v>
      </c>
      <c r="E96" t="s">
        <v>17</v>
      </c>
      <c r="F96" t="s">
        <v>26</v>
      </c>
      <c r="G96" t="s">
        <v>27</v>
      </c>
      <c r="H96" t="s">
        <v>28</v>
      </c>
      <c r="I96">
        <v>1786</v>
      </c>
      <c r="J96">
        <v>1848</v>
      </c>
      <c r="K96">
        <v>14</v>
      </c>
      <c r="L96">
        <f t="shared" si="7"/>
        <v>1834</v>
      </c>
      <c r="M96">
        <v>73.2</v>
      </c>
      <c r="N96">
        <v>7.9</v>
      </c>
      <c r="O96" s="8">
        <v>36.79</v>
      </c>
      <c r="P96" s="10">
        <f t="shared" si="5"/>
        <v>67987.92</v>
      </c>
      <c r="Q96" s="8">
        <f t="shared" si="8"/>
        <v>515.05999999999995</v>
      </c>
      <c r="R96" t="s">
        <v>29</v>
      </c>
      <c r="S96">
        <f t="shared" si="9"/>
        <v>1848</v>
      </c>
    </row>
    <row r="97" spans="1:19" x14ac:dyDescent="0.3">
      <c r="A97" t="s">
        <v>200</v>
      </c>
      <c r="B97" s="13">
        <v>45961</v>
      </c>
      <c r="C97" s="25">
        <f t="shared" si="6"/>
        <v>45931</v>
      </c>
      <c r="D97" t="s">
        <v>16</v>
      </c>
      <c r="E97" t="s">
        <v>59</v>
      </c>
      <c r="F97" t="s">
        <v>43</v>
      </c>
      <c r="G97" t="s">
        <v>40</v>
      </c>
      <c r="H97" t="s">
        <v>72</v>
      </c>
      <c r="I97">
        <v>1535</v>
      </c>
      <c r="J97">
        <v>1396</v>
      </c>
      <c r="K97">
        <v>21</v>
      </c>
      <c r="L97">
        <f t="shared" si="7"/>
        <v>1375</v>
      </c>
      <c r="M97">
        <v>18.3</v>
      </c>
      <c r="N97">
        <v>7.7</v>
      </c>
      <c r="O97" s="8">
        <v>36.97</v>
      </c>
      <c r="P97" s="10">
        <f t="shared" si="5"/>
        <v>51610.119999999995</v>
      </c>
      <c r="Q97" s="8">
        <f t="shared" si="8"/>
        <v>776.37</v>
      </c>
      <c r="R97" t="s">
        <v>29</v>
      </c>
      <c r="S97">
        <f t="shared" si="9"/>
        <v>1396</v>
      </c>
    </row>
    <row r="98" spans="1:19" x14ac:dyDescent="0.3">
      <c r="A98" t="s">
        <v>705</v>
      </c>
      <c r="B98" s="13">
        <v>45842</v>
      </c>
      <c r="C98" s="25">
        <f t="shared" si="6"/>
        <v>45839</v>
      </c>
      <c r="D98" t="s">
        <v>24</v>
      </c>
      <c r="E98" t="s">
        <v>62</v>
      </c>
      <c r="F98" t="s">
        <v>43</v>
      </c>
      <c r="G98" t="s">
        <v>40</v>
      </c>
      <c r="H98" t="s">
        <v>82</v>
      </c>
      <c r="I98">
        <v>1773</v>
      </c>
      <c r="J98">
        <v>1667</v>
      </c>
      <c r="K98">
        <v>31</v>
      </c>
      <c r="L98">
        <f t="shared" si="7"/>
        <v>1636</v>
      </c>
      <c r="M98">
        <v>39.700000000000003</v>
      </c>
      <c r="N98">
        <v>7.5</v>
      </c>
      <c r="O98" s="8">
        <v>37.26</v>
      </c>
      <c r="P98" s="10">
        <f t="shared" si="5"/>
        <v>62112.42</v>
      </c>
      <c r="Q98" s="8">
        <f t="shared" si="8"/>
        <v>1155.06</v>
      </c>
      <c r="R98" t="s">
        <v>29</v>
      </c>
      <c r="S98">
        <f t="shared" si="9"/>
        <v>1667</v>
      </c>
    </row>
    <row r="99" spans="1:19" x14ac:dyDescent="0.3">
      <c r="A99" t="s">
        <v>890</v>
      </c>
      <c r="B99" s="13">
        <v>45724</v>
      </c>
      <c r="C99" s="25">
        <f t="shared" si="6"/>
        <v>45717</v>
      </c>
      <c r="D99" t="s">
        <v>24</v>
      </c>
      <c r="E99" t="s">
        <v>36</v>
      </c>
      <c r="F99" t="s">
        <v>43</v>
      </c>
      <c r="G99" t="s">
        <v>27</v>
      </c>
      <c r="H99" t="s">
        <v>75</v>
      </c>
      <c r="I99">
        <v>715</v>
      </c>
      <c r="J99">
        <v>783</v>
      </c>
      <c r="K99">
        <v>6</v>
      </c>
      <c r="L99">
        <f t="shared" si="7"/>
        <v>777</v>
      </c>
      <c r="M99">
        <v>149.4</v>
      </c>
      <c r="N99">
        <v>7.2</v>
      </c>
      <c r="O99" s="8">
        <v>37.36</v>
      </c>
      <c r="P99" s="10">
        <f t="shared" si="5"/>
        <v>29252.880000000001</v>
      </c>
      <c r="Q99" s="8">
        <f t="shared" si="8"/>
        <v>224.16</v>
      </c>
      <c r="R99" t="s">
        <v>29</v>
      </c>
      <c r="S99">
        <f t="shared" si="9"/>
        <v>783</v>
      </c>
    </row>
    <row r="100" spans="1:19" x14ac:dyDescent="0.3">
      <c r="A100" t="s">
        <v>427</v>
      </c>
      <c r="B100" s="13">
        <v>45953</v>
      </c>
      <c r="C100" s="25">
        <f t="shared" si="6"/>
        <v>45931</v>
      </c>
      <c r="D100" t="s">
        <v>16</v>
      </c>
      <c r="E100" t="s">
        <v>62</v>
      </c>
      <c r="F100" t="s">
        <v>49</v>
      </c>
      <c r="G100" t="s">
        <v>40</v>
      </c>
      <c r="H100" t="s">
        <v>37</v>
      </c>
      <c r="I100">
        <v>1156</v>
      </c>
      <c r="J100">
        <v>1215</v>
      </c>
      <c r="K100">
        <v>34</v>
      </c>
      <c r="L100">
        <f t="shared" si="7"/>
        <v>1181</v>
      </c>
      <c r="M100">
        <v>7.8</v>
      </c>
      <c r="N100">
        <v>6.7</v>
      </c>
      <c r="O100" s="8">
        <v>37.5</v>
      </c>
      <c r="P100" s="10">
        <f t="shared" si="5"/>
        <v>45562.5</v>
      </c>
      <c r="Q100" s="8">
        <f t="shared" si="8"/>
        <v>1275</v>
      </c>
      <c r="R100" t="s">
        <v>21</v>
      </c>
      <c r="S100">
        <f t="shared" si="9"/>
        <v>1215</v>
      </c>
    </row>
    <row r="101" spans="1:19" x14ac:dyDescent="0.3">
      <c r="A101" t="s">
        <v>733</v>
      </c>
      <c r="B101" s="13">
        <v>46013</v>
      </c>
      <c r="C101" s="25">
        <f t="shared" si="6"/>
        <v>45992</v>
      </c>
      <c r="D101" t="s">
        <v>16</v>
      </c>
      <c r="E101" t="s">
        <v>62</v>
      </c>
      <c r="F101" t="s">
        <v>26</v>
      </c>
      <c r="G101" t="s">
        <v>40</v>
      </c>
      <c r="H101" t="s">
        <v>75</v>
      </c>
      <c r="I101">
        <v>969</v>
      </c>
      <c r="J101">
        <v>809</v>
      </c>
      <c r="K101">
        <v>16</v>
      </c>
      <c r="L101">
        <f t="shared" si="7"/>
        <v>793</v>
      </c>
      <c r="M101">
        <v>42</v>
      </c>
      <c r="N101">
        <v>6.2</v>
      </c>
      <c r="O101" s="8">
        <v>37.6</v>
      </c>
      <c r="P101" s="10">
        <f t="shared" si="5"/>
        <v>30418.400000000001</v>
      </c>
      <c r="Q101" s="8">
        <f t="shared" si="8"/>
        <v>601.6</v>
      </c>
      <c r="R101" t="s">
        <v>29</v>
      </c>
      <c r="S101">
        <f t="shared" si="9"/>
        <v>809</v>
      </c>
    </row>
    <row r="102" spans="1:19" x14ac:dyDescent="0.3">
      <c r="A102" t="s">
        <v>849</v>
      </c>
      <c r="B102" s="13">
        <v>45714</v>
      </c>
      <c r="C102" s="25">
        <f t="shared" si="6"/>
        <v>45689</v>
      </c>
      <c r="D102" t="s">
        <v>24</v>
      </c>
      <c r="E102" t="s">
        <v>59</v>
      </c>
      <c r="F102" t="s">
        <v>26</v>
      </c>
      <c r="G102" t="s">
        <v>19</v>
      </c>
      <c r="H102" t="s">
        <v>44</v>
      </c>
      <c r="I102">
        <v>716</v>
      </c>
      <c r="J102">
        <v>693</v>
      </c>
      <c r="K102">
        <v>6</v>
      </c>
      <c r="L102">
        <f t="shared" si="7"/>
        <v>687</v>
      </c>
      <c r="M102">
        <v>15.6</v>
      </c>
      <c r="N102">
        <v>6.1</v>
      </c>
      <c r="O102" s="8">
        <v>38</v>
      </c>
      <c r="P102" s="10">
        <f t="shared" si="5"/>
        <v>26334</v>
      </c>
      <c r="Q102" s="8">
        <f t="shared" si="8"/>
        <v>228</v>
      </c>
      <c r="R102" t="s">
        <v>29</v>
      </c>
      <c r="S102">
        <f t="shared" si="9"/>
        <v>693</v>
      </c>
    </row>
    <row r="103" spans="1:19" x14ac:dyDescent="0.3">
      <c r="A103" t="s">
        <v>179</v>
      </c>
      <c r="B103" s="13">
        <v>45826</v>
      </c>
      <c r="C103" s="25">
        <f t="shared" si="6"/>
        <v>45809</v>
      </c>
      <c r="D103" t="s">
        <v>16</v>
      </c>
      <c r="E103" t="s">
        <v>25</v>
      </c>
      <c r="F103" t="s">
        <v>49</v>
      </c>
      <c r="G103" t="s">
        <v>27</v>
      </c>
      <c r="H103" t="s">
        <v>75</v>
      </c>
      <c r="I103">
        <v>797</v>
      </c>
      <c r="J103">
        <v>683</v>
      </c>
      <c r="K103">
        <v>20</v>
      </c>
      <c r="L103">
        <f t="shared" si="7"/>
        <v>663</v>
      </c>
      <c r="M103">
        <v>3.8</v>
      </c>
      <c r="N103">
        <v>7.5</v>
      </c>
      <c r="O103" s="8">
        <v>38.67</v>
      </c>
      <c r="P103" s="10">
        <f t="shared" si="5"/>
        <v>26411.61</v>
      </c>
      <c r="Q103" s="8">
        <f t="shared" si="8"/>
        <v>773.40000000000009</v>
      </c>
      <c r="R103" t="s">
        <v>21</v>
      </c>
      <c r="S103">
        <f t="shared" si="9"/>
        <v>683</v>
      </c>
    </row>
    <row r="104" spans="1:19" x14ac:dyDescent="0.3">
      <c r="A104" t="s">
        <v>592</v>
      </c>
      <c r="B104" s="13">
        <v>45773</v>
      </c>
      <c r="C104" s="25">
        <f t="shared" si="6"/>
        <v>45748</v>
      </c>
      <c r="D104" t="s">
        <v>24</v>
      </c>
      <c r="E104" t="s">
        <v>59</v>
      </c>
      <c r="F104" t="s">
        <v>26</v>
      </c>
      <c r="G104" t="s">
        <v>40</v>
      </c>
      <c r="H104" t="s">
        <v>69</v>
      </c>
      <c r="I104">
        <v>1286</v>
      </c>
      <c r="J104">
        <v>1065</v>
      </c>
      <c r="K104">
        <v>21</v>
      </c>
      <c r="L104">
        <f t="shared" si="7"/>
        <v>1044</v>
      </c>
      <c r="M104">
        <v>28.3</v>
      </c>
      <c r="N104">
        <v>6.5</v>
      </c>
      <c r="O104" s="8">
        <v>38.729999999999997</v>
      </c>
      <c r="P104" s="10">
        <f t="shared" si="5"/>
        <v>41247.449999999997</v>
      </c>
      <c r="Q104" s="8">
        <f t="shared" si="8"/>
        <v>813.32999999999993</v>
      </c>
      <c r="R104" t="s">
        <v>29</v>
      </c>
      <c r="S104">
        <f t="shared" si="9"/>
        <v>1065</v>
      </c>
    </row>
    <row r="105" spans="1:19" x14ac:dyDescent="0.3">
      <c r="A105" t="s">
        <v>331</v>
      </c>
      <c r="B105" s="13">
        <v>45900</v>
      </c>
      <c r="C105" s="25">
        <f t="shared" si="6"/>
        <v>45870</v>
      </c>
      <c r="D105" t="s">
        <v>32</v>
      </c>
      <c r="E105" t="s">
        <v>62</v>
      </c>
      <c r="F105" t="s">
        <v>33</v>
      </c>
      <c r="G105" t="s">
        <v>40</v>
      </c>
      <c r="H105" t="s">
        <v>69</v>
      </c>
      <c r="I105">
        <v>1107</v>
      </c>
      <c r="J105">
        <v>1265</v>
      </c>
      <c r="K105">
        <v>22</v>
      </c>
      <c r="L105">
        <f t="shared" si="7"/>
        <v>1243</v>
      </c>
      <c r="M105">
        <v>27.2</v>
      </c>
      <c r="N105">
        <v>7.7</v>
      </c>
      <c r="O105" s="8">
        <v>38.75</v>
      </c>
      <c r="P105" s="10">
        <f t="shared" si="5"/>
        <v>49018.75</v>
      </c>
      <c r="Q105" s="8">
        <f t="shared" si="8"/>
        <v>852.5</v>
      </c>
      <c r="R105" t="s">
        <v>29</v>
      </c>
      <c r="S105">
        <f t="shared" si="9"/>
        <v>1265</v>
      </c>
    </row>
    <row r="106" spans="1:19" x14ac:dyDescent="0.3">
      <c r="A106" t="s">
        <v>232</v>
      </c>
      <c r="B106" s="13">
        <v>45730</v>
      </c>
      <c r="C106" s="25">
        <f t="shared" si="6"/>
        <v>45717</v>
      </c>
      <c r="D106" t="s">
        <v>24</v>
      </c>
      <c r="E106" t="s">
        <v>36</v>
      </c>
      <c r="F106" t="s">
        <v>49</v>
      </c>
      <c r="G106" t="s">
        <v>40</v>
      </c>
      <c r="H106" t="s">
        <v>28</v>
      </c>
      <c r="I106">
        <v>1677</v>
      </c>
      <c r="J106">
        <v>1622</v>
      </c>
      <c r="K106">
        <v>29</v>
      </c>
      <c r="L106">
        <f t="shared" si="7"/>
        <v>1593</v>
      </c>
      <c r="M106">
        <v>32.4</v>
      </c>
      <c r="N106">
        <v>8.4</v>
      </c>
      <c r="O106" s="8">
        <v>38.770000000000003</v>
      </c>
      <c r="P106" s="10">
        <f t="shared" si="5"/>
        <v>62884.94</v>
      </c>
      <c r="Q106" s="8">
        <f t="shared" si="8"/>
        <v>1124.3300000000002</v>
      </c>
      <c r="R106" t="s">
        <v>29</v>
      </c>
      <c r="S106">
        <f t="shared" si="9"/>
        <v>1622</v>
      </c>
    </row>
    <row r="107" spans="1:19" x14ac:dyDescent="0.3">
      <c r="A107" t="s">
        <v>842</v>
      </c>
      <c r="B107" s="13">
        <v>45771</v>
      </c>
      <c r="C107" s="25">
        <f t="shared" si="6"/>
        <v>45748</v>
      </c>
      <c r="D107" t="s">
        <v>16</v>
      </c>
      <c r="E107" t="s">
        <v>17</v>
      </c>
      <c r="F107" t="s">
        <v>26</v>
      </c>
      <c r="G107" t="s">
        <v>27</v>
      </c>
      <c r="H107" t="s">
        <v>75</v>
      </c>
      <c r="I107">
        <v>1664</v>
      </c>
      <c r="J107">
        <v>1414</v>
      </c>
      <c r="K107">
        <v>16</v>
      </c>
      <c r="L107">
        <f t="shared" si="7"/>
        <v>1398</v>
      </c>
      <c r="M107">
        <v>4.5999999999999996</v>
      </c>
      <c r="N107">
        <v>8.3000000000000007</v>
      </c>
      <c r="O107" s="8">
        <v>38.96</v>
      </c>
      <c r="P107" s="10">
        <f t="shared" si="5"/>
        <v>55089.440000000002</v>
      </c>
      <c r="Q107" s="8">
        <f t="shared" si="8"/>
        <v>623.36</v>
      </c>
      <c r="R107" t="s">
        <v>29</v>
      </c>
      <c r="S107">
        <f t="shared" si="9"/>
        <v>1414</v>
      </c>
    </row>
    <row r="108" spans="1:19" x14ac:dyDescent="0.3">
      <c r="A108" t="s">
        <v>265</v>
      </c>
      <c r="B108" s="13">
        <v>45901</v>
      </c>
      <c r="C108" s="25">
        <f t="shared" si="6"/>
        <v>45901</v>
      </c>
      <c r="D108" t="s">
        <v>32</v>
      </c>
      <c r="E108" t="s">
        <v>17</v>
      </c>
      <c r="F108" t="s">
        <v>18</v>
      </c>
      <c r="G108" t="s">
        <v>27</v>
      </c>
      <c r="H108" t="s">
        <v>75</v>
      </c>
      <c r="I108">
        <v>1539</v>
      </c>
      <c r="J108">
        <v>1545</v>
      </c>
      <c r="K108">
        <v>44</v>
      </c>
      <c r="L108">
        <f t="shared" si="7"/>
        <v>1501</v>
      </c>
      <c r="M108">
        <v>28.3</v>
      </c>
      <c r="N108">
        <v>8.1999999999999993</v>
      </c>
      <c r="O108" s="8">
        <v>39.299999999999997</v>
      </c>
      <c r="P108" s="10">
        <f t="shared" si="5"/>
        <v>60718.499999999993</v>
      </c>
      <c r="Q108" s="8">
        <f t="shared" si="8"/>
        <v>1729.1999999999998</v>
      </c>
      <c r="R108" t="s">
        <v>21</v>
      </c>
      <c r="S108">
        <f t="shared" si="9"/>
        <v>1545</v>
      </c>
    </row>
    <row r="109" spans="1:19" x14ac:dyDescent="0.3">
      <c r="A109" t="s">
        <v>636</v>
      </c>
      <c r="B109" s="13">
        <v>45666</v>
      </c>
      <c r="C109" s="25">
        <f t="shared" si="6"/>
        <v>45658</v>
      </c>
      <c r="D109" t="s">
        <v>32</v>
      </c>
      <c r="E109" t="s">
        <v>25</v>
      </c>
      <c r="F109" t="s">
        <v>49</v>
      </c>
      <c r="G109" t="s">
        <v>27</v>
      </c>
      <c r="H109" t="s">
        <v>72</v>
      </c>
      <c r="I109">
        <v>1144</v>
      </c>
      <c r="J109">
        <v>989</v>
      </c>
      <c r="K109">
        <v>14</v>
      </c>
      <c r="L109">
        <f t="shared" si="7"/>
        <v>975</v>
      </c>
      <c r="M109">
        <v>27.7</v>
      </c>
      <c r="N109">
        <v>7</v>
      </c>
      <c r="O109" s="8">
        <v>39.33</v>
      </c>
      <c r="P109" s="10">
        <f t="shared" si="5"/>
        <v>38897.369999999995</v>
      </c>
      <c r="Q109" s="8">
        <f t="shared" si="8"/>
        <v>550.62</v>
      </c>
      <c r="R109" t="s">
        <v>29</v>
      </c>
      <c r="S109">
        <f t="shared" si="9"/>
        <v>989</v>
      </c>
    </row>
    <row r="110" spans="1:19" x14ac:dyDescent="0.3">
      <c r="A110" t="s">
        <v>518</v>
      </c>
      <c r="B110" s="13">
        <v>45716</v>
      </c>
      <c r="C110" s="25">
        <f t="shared" si="6"/>
        <v>45689</v>
      </c>
      <c r="D110" t="s">
        <v>32</v>
      </c>
      <c r="E110" t="s">
        <v>62</v>
      </c>
      <c r="F110" t="s">
        <v>43</v>
      </c>
      <c r="G110" t="s">
        <v>40</v>
      </c>
      <c r="H110" t="s">
        <v>44</v>
      </c>
      <c r="I110">
        <v>1437</v>
      </c>
      <c r="J110">
        <v>1325</v>
      </c>
      <c r="K110">
        <v>10</v>
      </c>
      <c r="L110">
        <f t="shared" si="7"/>
        <v>1315</v>
      </c>
      <c r="M110">
        <v>41.7</v>
      </c>
      <c r="N110">
        <v>7.3</v>
      </c>
      <c r="O110" s="8">
        <v>39.590000000000003</v>
      </c>
      <c r="P110" s="10">
        <f t="shared" si="5"/>
        <v>52456.750000000007</v>
      </c>
      <c r="Q110" s="8">
        <f t="shared" si="8"/>
        <v>395.90000000000003</v>
      </c>
      <c r="R110" t="s">
        <v>29</v>
      </c>
      <c r="S110">
        <f t="shared" si="9"/>
        <v>1325</v>
      </c>
    </row>
    <row r="111" spans="1:19" x14ac:dyDescent="0.3">
      <c r="A111" t="s">
        <v>824</v>
      </c>
      <c r="B111" s="13">
        <v>45956</v>
      </c>
      <c r="C111" s="25">
        <f t="shared" si="6"/>
        <v>45931</v>
      </c>
      <c r="D111" t="s">
        <v>32</v>
      </c>
      <c r="E111" t="s">
        <v>59</v>
      </c>
      <c r="F111" t="s">
        <v>26</v>
      </c>
      <c r="G111" t="s">
        <v>40</v>
      </c>
      <c r="H111" t="s">
        <v>28</v>
      </c>
      <c r="I111">
        <v>1333</v>
      </c>
      <c r="J111">
        <v>1459</v>
      </c>
      <c r="K111">
        <v>6</v>
      </c>
      <c r="L111">
        <f t="shared" si="7"/>
        <v>1453</v>
      </c>
      <c r="M111">
        <v>108</v>
      </c>
      <c r="N111">
        <v>7.8</v>
      </c>
      <c r="O111" s="8">
        <v>39.72</v>
      </c>
      <c r="P111" s="10">
        <f t="shared" si="5"/>
        <v>57951.479999999996</v>
      </c>
      <c r="Q111" s="8">
        <f t="shared" si="8"/>
        <v>238.32</v>
      </c>
      <c r="R111" t="s">
        <v>29</v>
      </c>
      <c r="S111">
        <f t="shared" si="9"/>
        <v>1459</v>
      </c>
    </row>
    <row r="112" spans="1:19" x14ac:dyDescent="0.3">
      <c r="A112" t="s">
        <v>104</v>
      </c>
      <c r="B112" s="13">
        <v>45691</v>
      </c>
      <c r="C112" s="25">
        <f t="shared" si="6"/>
        <v>45689</v>
      </c>
      <c r="D112" t="s">
        <v>32</v>
      </c>
      <c r="E112" t="s">
        <v>59</v>
      </c>
      <c r="F112" t="s">
        <v>49</v>
      </c>
      <c r="G112" t="s">
        <v>19</v>
      </c>
      <c r="H112" t="s">
        <v>20</v>
      </c>
      <c r="I112">
        <v>745</v>
      </c>
      <c r="J112">
        <v>764</v>
      </c>
      <c r="K112">
        <v>9</v>
      </c>
      <c r="L112">
        <f t="shared" si="7"/>
        <v>755</v>
      </c>
      <c r="M112">
        <v>70.7</v>
      </c>
      <c r="N112">
        <v>6.8</v>
      </c>
      <c r="O112" s="8">
        <v>39.97</v>
      </c>
      <c r="P112" s="10">
        <f t="shared" si="5"/>
        <v>30537.079999999998</v>
      </c>
      <c r="Q112" s="8">
        <f t="shared" si="8"/>
        <v>359.73</v>
      </c>
      <c r="R112" t="s">
        <v>29</v>
      </c>
      <c r="S112">
        <f t="shared" si="9"/>
        <v>764</v>
      </c>
    </row>
    <row r="113" spans="1:19" x14ac:dyDescent="0.3">
      <c r="A113" t="s">
        <v>930</v>
      </c>
      <c r="B113" s="13">
        <v>45745</v>
      </c>
      <c r="C113" s="25">
        <f t="shared" si="6"/>
        <v>45717</v>
      </c>
      <c r="D113" t="s">
        <v>16</v>
      </c>
      <c r="E113" t="s">
        <v>62</v>
      </c>
      <c r="F113" t="s">
        <v>49</v>
      </c>
      <c r="G113" t="s">
        <v>19</v>
      </c>
      <c r="H113" t="s">
        <v>82</v>
      </c>
      <c r="I113">
        <v>1795</v>
      </c>
      <c r="J113">
        <v>1869</v>
      </c>
      <c r="K113">
        <v>12</v>
      </c>
      <c r="L113">
        <f t="shared" si="7"/>
        <v>1857</v>
      </c>
      <c r="M113">
        <v>45.3</v>
      </c>
      <c r="N113">
        <v>8.1999999999999993</v>
      </c>
      <c r="O113" s="8">
        <v>40.229999999999997</v>
      </c>
      <c r="P113" s="10">
        <f t="shared" si="5"/>
        <v>75189.87</v>
      </c>
      <c r="Q113" s="8">
        <f t="shared" si="8"/>
        <v>482.76</v>
      </c>
      <c r="R113" t="s">
        <v>29</v>
      </c>
      <c r="S113">
        <f t="shared" si="9"/>
        <v>1869</v>
      </c>
    </row>
    <row r="114" spans="1:19" x14ac:dyDescent="0.3">
      <c r="A114" t="s">
        <v>285</v>
      </c>
      <c r="B114" s="13">
        <v>45948</v>
      </c>
      <c r="C114" s="25">
        <f t="shared" si="6"/>
        <v>45931</v>
      </c>
      <c r="D114" t="s">
        <v>32</v>
      </c>
      <c r="E114" t="s">
        <v>25</v>
      </c>
      <c r="F114" t="s">
        <v>26</v>
      </c>
      <c r="G114" t="s">
        <v>27</v>
      </c>
      <c r="H114" t="s">
        <v>37</v>
      </c>
      <c r="I114">
        <v>1153</v>
      </c>
      <c r="J114">
        <v>1044</v>
      </c>
      <c r="K114">
        <v>6</v>
      </c>
      <c r="L114">
        <f t="shared" si="7"/>
        <v>1038</v>
      </c>
      <c r="M114">
        <v>32.700000000000003</v>
      </c>
      <c r="N114">
        <v>6.4</v>
      </c>
      <c r="O114" s="8">
        <v>40.270000000000003</v>
      </c>
      <c r="P114" s="10">
        <f t="shared" si="5"/>
        <v>42041.880000000005</v>
      </c>
      <c r="Q114" s="8">
        <f t="shared" si="8"/>
        <v>241.62</v>
      </c>
      <c r="R114" t="s">
        <v>29</v>
      </c>
      <c r="S114">
        <f t="shared" si="9"/>
        <v>1044</v>
      </c>
    </row>
    <row r="115" spans="1:19" x14ac:dyDescent="0.3">
      <c r="A115" t="s">
        <v>465</v>
      </c>
      <c r="B115" s="13">
        <v>45723</v>
      </c>
      <c r="C115" s="25">
        <f t="shared" si="6"/>
        <v>45717</v>
      </c>
      <c r="D115" t="s">
        <v>24</v>
      </c>
      <c r="E115" t="s">
        <v>17</v>
      </c>
      <c r="F115" t="s">
        <v>33</v>
      </c>
      <c r="G115" t="s">
        <v>19</v>
      </c>
      <c r="H115" t="str">
        <f>"Not Found"</f>
        <v>Not Found</v>
      </c>
      <c r="I115">
        <v>1383</v>
      </c>
      <c r="J115">
        <v>1029</v>
      </c>
      <c r="K115">
        <v>18</v>
      </c>
      <c r="L115">
        <f t="shared" si="7"/>
        <v>1011</v>
      </c>
      <c r="M115">
        <v>25.7</v>
      </c>
      <c r="N115">
        <v>7</v>
      </c>
      <c r="O115" s="8">
        <v>40.44</v>
      </c>
      <c r="P115" s="10">
        <f t="shared" si="5"/>
        <v>41612.759999999995</v>
      </c>
      <c r="Q115" s="8">
        <f t="shared" si="8"/>
        <v>727.92</v>
      </c>
      <c r="R115" t="s">
        <v>29</v>
      </c>
      <c r="S115">
        <f t="shared" si="9"/>
        <v>1029</v>
      </c>
    </row>
    <row r="116" spans="1:19" x14ac:dyDescent="0.3">
      <c r="A116" t="s">
        <v>125</v>
      </c>
      <c r="B116" s="13">
        <v>45787</v>
      </c>
      <c r="C116" s="25">
        <f t="shared" si="6"/>
        <v>45778</v>
      </c>
      <c r="D116" t="s">
        <v>24</v>
      </c>
      <c r="E116" t="s">
        <v>62</v>
      </c>
      <c r="F116" t="s">
        <v>33</v>
      </c>
      <c r="G116" t="s">
        <v>19</v>
      </c>
      <c r="H116" t="s">
        <v>69</v>
      </c>
      <c r="I116">
        <v>1638</v>
      </c>
      <c r="J116">
        <v>1488</v>
      </c>
      <c r="K116">
        <v>48</v>
      </c>
      <c r="L116">
        <f t="shared" si="7"/>
        <v>1440</v>
      </c>
      <c r="M116">
        <v>13.9</v>
      </c>
      <c r="N116">
        <v>7.6</v>
      </c>
      <c r="O116" s="8">
        <v>40.54</v>
      </c>
      <c r="P116" s="10">
        <f t="shared" si="5"/>
        <v>60323.519999999997</v>
      </c>
      <c r="Q116" s="8">
        <f t="shared" si="8"/>
        <v>1945.92</v>
      </c>
      <c r="R116" t="s">
        <v>21</v>
      </c>
      <c r="S116">
        <f t="shared" si="9"/>
        <v>1488</v>
      </c>
    </row>
    <row r="117" spans="1:19" x14ac:dyDescent="0.3">
      <c r="A117" t="s">
        <v>505</v>
      </c>
      <c r="B117" s="13">
        <v>45834</v>
      </c>
      <c r="C117" s="25">
        <f t="shared" si="6"/>
        <v>45809</v>
      </c>
      <c r="D117" t="s">
        <v>24</v>
      </c>
      <c r="E117" t="s">
        <v>36</v>
      </c>
      <c r="F117" t="s">
        <v>33</v>
      </c>
      <c r="G117" t="s">
        <v>40</v>
      </c>
      <c r="H117" t="s">
        <v>28</v>
      </c>
      <c r="I117">
        <v>962</v>
      </c>
      <c r="J117">
        <v>784</v>
      </c>
      <c r="K117">
        <v>15</v>
      </c>
      <c r="L117">
        <f t="shared" si="7"/>
        <v>769</v>
      </c>
      <c r="M117">
        <v>103.3</v>
      </c>
      <c r="N117">
        <v>7.3</v>
      </c>
      <c r="O117" s="8">
        <v>40.590000000000003</v>
      </c>
      <c r="P117" s="10">
        <f t="shared" si="5"/>
        <v>31822.560000000001</v>
      </c>
      <c r="Q117" s="8">
        <f t="shared" si="8"/>
        <v>608.85</v>
      </c>
      <c r="R117" t="s">
        <v>29</v>
      </c>
      <c r="S117">
        <f t="shared" si="9"/>
        <v>784</v>
      </c>
    </row>
    <row r="118" spans="1:19" x14ac:dyDescent="0.3">
      <c r="A118" t="s">
        <v>654</v>
      </c>
      <c r="B118" s="13">
        <v>45999</v>
      </c>
      <c r="C118" s="25">
        <f t="shared" si="6"/>
        <v>45992</v>
      </c>
      <c r="D118" t="s">
        <v>32</v>
      </c>
      <c r="E118" t="s">
        <v>36</v>
      </c>
      <c r="F118" t="s">
        <v>49</v>
      </c>
      <c r="G118" t="s">
        <v>19</v>
      </c>
      <c r="H118" t="s">
        <v>44</v>
      </c>
      <c r="I118">
        <v>1390</v>
      </c>
      <c r="J118">
        <v>1424</v>
      </c>
      <c r="K118">
        <v>19</v>
      </c>
      <c r="L118">
        <f t="shared" si="7"/>
        <v>1405</v>
      </c>
      <c r="M118">
        <v>14.8</v>
      </c>
      <c r="N118">
        <v>7.8</v>
      </c>
      <c r="O118" s="8">
        <v>41.34</v>
      </c>
      <c r="P118" s="10">
        <f t="shared" si="5"/>
        <v>58868.160000000003</v>
      </c>
      <c r="Q118" s="8">
        <f t="shared" si="8"/>
        <v>785.46</v>
      </c>
      <c r="R118" t="s">
        <v>29</v>
      </c>
      <c r="S118">
        <f t="shared" si="9"/>
        <v>1424</v>
      </c>
    </row>
    <row r="119" spans="1:19" x14ac:dyDescent="0.3">
      <c r="A119" t="s">
        <v>701</v>
      </c>
      <c r="B119" s="13">
        <v>46011</v>
      </c>
      <c r="C119" s="25">
        <f t="shared" si="6"/>
        <v>45992</v>
      </c>
      <c r="D119" t="s">
        <v>16</v>
      </c>
      <c r="E119" t="s">
        <v>25</v>
      </c>
      <c r="F119" t="s">
        <v>26</v>
      </c>
      <c r="G119" t="s">
        <v>19</v>
      </c>
      <c r="H119" t="s">
        <v>82</v>
      </c>
      <c r="I119">
        <v>1110</v>
      </c>
      <c r="J119">
        <v>888</v>
      </c>
      <c r="K119">
        <v>20</v>
      </c>
      <c r="L119">
        <f t="shared" si="7"/>
        <v>868</v>
      </c>
      <c r="M119">
        <v>86.3</v>
      </c>
      <c r="N119">
        <v>6</v>
      </c>
      <c r="O119" s="8">
        <v>41.41</v>
      </c>
      <c r="P119" s="10">
        <f t="shared" si="5"/>
        <v>36772.079999999994</v>
      </c>
      <c r="Q119" s="8">
        <f t="shared" si="8"/>
        <v>828.19999999999993</v>
      </c>
      <c r="R119" t="s">
        <v>21</v>
      </c>
      <c r="S119">
        <f t="shared" si="9"/>
        <v>888</v>
      </c>
    </row>
    <row r="120" spans="1:19" x14ac:dyDescent="0.3">
      <c r="A120" t="s">
        <v>801</v>
      </c>
      <c r="B120" s="13">
        <v>45808</v>
      </c>
      <c r="C120" s="25">
        <f t="shared" si="6"/>
        <v>45778</v>
      </c>
      <c r="D120" t="s">
        <v>16</v>
      </c>
      <c r="E120" t="s">
        <v>25</v>
      </c>
      <c r="F120" t="s">
        <v>26</v>
      </c>
      <c r="G120" t="s">
        <v>40</v>
      </c>
      <c r="H120" t="s">
        <v>69</v>
      </c>
      <c r="I120">
        <v>1309</v>
      </c>
      <c r="J120">
        <v>976</v>
      </c>
      <c r="K120">
        <v>18</v>
      </c>
      <c r="L120">
        <f t="shared" si="7"/>
        <v>958</v>
      </c>
      <c r="M120">
        <v>26.7</v>
      </c>
      <c r="N120">
        <v>8.3000000000000007</v>
      </c>
      <c r="O120" s="8">
        <v>41.42</v>
      </c>
      <c r="P120" s="10">
        <f t="shared" si="5"/>
        <v>40425.919999999998</v>
      </c>
      <c r="Q120" s="8">
        <f t="shared" si="8"/>
        <v>745.56000000000006</v>
      </c>
      <c r="R120" t="s">
        <v>29</v>
      </c>
      <c r="S120">
        <f t="shared" si="9"/>
        <v>976</v>
      </c>
    </row>
    <row r="121" spans="1:19" x14ac:dyDescent="0.3">
      <c r="A121" t="s">
        <v>718</v>
      </c>
      <c r="B121" s="13">
        <v>45919</v>
      </c>
      <c r="C121" s="25">
        <f t="shared" si="6"/>
        <v>45901</v>
      </c>
      <c r="D121" t="s">
        <v>32</v>
      </c>
      <c r="E121" t="s">
        <v>59</v>
      </c>
      <c r="F121" t="s">
        <v>33</v>
      </c>
      <c r="G121" t="s">
        <v>19</v>
      </c>
      <c r="H121" t="s">
        <v>75</v>
      </c>
      <c r="I121">
        <v>1482</v>
      </c>
      <c r="J121">
        <v>1367</v>
      </c>
      <c r="K121">
        <v>18</v>
      </c>
      <c r="L121">
        <f t="shared" si="7"/>
        <v>1349</v>
      </c>
      <c r="M121">
        <v>47</v>
      </c>
      <c r="N121">
        <v>7.1</v>
      </c>
      <c r="O121" s="8">
        <v>42.18</v>
      </c>
      <c r="P121" s="10">
        <f t="shared" si="5"/>
        <v>57660.06</v>
      </c>
      <c r="Q121" s="8">
        <f t="shared" si="8"/>
        <v>759.24</v>
      </c>
      <c r="R121" t="s">
        <v>29</v>
      </c>
      <c r="S121">
        <f t="shared" si="9"/>
        <v>1367</v>
      </c>
    </row>
    <row r="122" spans="1:19" x14ac:dyDescent="0.3">
      <c r="A122" t="s">
        <v>878</v>
      </c>
      <c r="B122" s="13">
        <v>45774</v>
      </c>
      <c r="C122" s="25">
        <f t="shared" si="6"/>
        <v>45748</v>
      </c>
      <c r="D122" t="s">
        <v>16</v>
      </c>
      <c r="E122" t="s">
        <v>62</v>
      </c>
      <c r="F122" t="s">
        <v>18</v>
      </c>
      <c r="G122" t="s">
        <v>19</v>
      </c>
      <c r="H122" t="s">
        <v>28</v>
      </c>
      <c r="I122">
        <v>1285</v>
      </c>
      <c r="J122">
        <v>1221</v>
      </c>
      <c r="K122">
        <v>6</v>
      </c>
      <c r="L122">
        <f t="shared" si="7"/>
        <v>1215</v>
      </c>
      <c r="M122">
        <v>174.1</v>
      </c>
      <c r="N122">
        <v>6.5</v>
      </c>
      <c r="O122" s="8">
        <v>42.24</v>
      </c>
      <c r="P122" s="10">
        <f t="shared" si="5"/>
        <v>51575.040000000001</v>
      </c>
      <c r="Q122" s="8">
        <f t="shared" si="8"/>
        <v>253.44</v>
      </c>
      <c r="R122" t="s">
        <v>29</v>
      </c>
      <c r="S122">
        <f t="shared" si="9"/>
        <v>1221</v>
      </c>
    </row>
    <row r="123" spans="1:19" x14ac:dyDescent="0.3">
      <c r="A123" t="s">
        <v>83</v>
      </c>
      <c r="B123" s="13">
        <v>45793</v>
      </c>
      <c r="C123" s="25">
        <f t="shared" si="6"/>
        <v>45778</v>
      </c>
      <c r="D123" t="s">
        <v>32</v>
      </c>
      <c r="E123" t="s">
        <v>36</v>
      </c>
      <c r="F123" t="s">
        <v>33</v>
      </c>
      <c r="G123" t="s">
        <v>40</v>
      </c>
      <c r="H123" t="s">
        <v>72</v>
      </c>
      <c r="I123">
        <v>1550</v>
      </c>
      <c r="J123">
        <v>1697</v>
      </c>
      <c r="K123">
        <v>13</v>
      </c>
      <c r="L123">
        <f t="shared" si="7"/>
        <v>1684</v>
      </c>
      <c r="M123">
        <v>34.799999999999997</v>
      </c>
      <c r="N123">
        <v>7.8</v>
      </c>
      <c r="O123" s="8">
        <v>42.52</v>
      </c>
      <c r="P123" s="10">
        <f t="shared" si="5"/>
        <v>72156.44</v>
      </c>
      <c r="Q123" s="8">
        <f t="shared" si="8"/>
        <v>552.76</v>
      </c>
      <c r="R123" t="s">
        <v>29</v>
      </c>
      <c r="S123">
        <f t="shared" si="9"/>
        <v>1697</v>
      </c>
    </row>
    <row r="124" spans="1:19" x14ac:dyDescent="0.3">
      <c r="A124" t="s">
        <v>353</v>
      </c>
      <c r="B124" s="13">
        <v>45912</v>
      </c>
      <c r="C124" s="25">
        <f t="shared" si="6"/>
        <v>45901</v>
      </c>
      <c r="D124" t="s">
        <v>16</v>
      </c>
      <c r="E124" t="s">
        <v>59</v>
      </c>
      <c r="F124" t="s">
        <v>43</v>
      </c>
      <c r="G124" t="s">
        <v>40</v>
      </c>
      <c r="H124" t="s">
        <v>20</v>
      </c>
      <c r="I124">
        <v>1431</v>
      </c>
      <c r="J124">
        <v>1172</v>
      </c>
      <c r="K124">
        <v>9</v>
      </c>
      <c r="L124">
        <f t="shared" si="7"/>
        <v>1163</v>
      </c>
      <c r="M124">
        <v>75.099999999999994</v>
      </c>
      <c r="N124">
        <v>6.2</v>
      </c>
      <c r="O124" s="8">
        <v>42.78</v>
      </c>
      <c r="P124" s="10">
        <f t="shared" si="5"/>
        <v>50138.16</v>
      </c>
      <c r="Q124" s="8">
        <f t="shared" si="8"/>
        <v>385.02</v>
      </c>
      <c r="R124" t="s">
        <v>29</v>
      </c>
      <c r="S124">
        <f t="shared" si="9"/>
        <v>1172</v>
      </c>
    </row>
    <row r="125" spans="1:19" x14ac:dyDescent="0.3">
      <c r="A125" t="s">
        <v>884</v>
      </c>
      <c r="B125" s="13">
        <v>45947</v>
      </c>
      <c r="C125" s="25">
        <f t="shared" si="6"/>
        <v>45931</v>
      </c>
      <c r="D125" t="s">
        <v>24</v>
      </c>
      <c r="E125" t="s">
        <v>17</v>
      </c>
      <c r="F125" t="s">
        <v>18</v>
      </c>
      <c r="G125" t="s">
        <v>19</v>
      </c>
      <c r="H125" t="s">
        <v>28</v>
      </c>
      <c r="I125">
        <v>776</v>
      </c>
      <c r="J125">
        <v>643</v>
      </c>
      <c r="K125">
        <v>5</v>
      </c>
      <c r="L125">
        <f t="shared" si="7"/>
        <v>638</v>
      </c>
      <c r="M125">
        <v>40.799999999999997</v>
      </c>
      <c r="N125">
        <v>6.2</v>
      </c>
      <c r="O125" s="8">
        <v>43.69</v>
      </c>
      <c r="P125" s="10">
        <f t="shared" si="5"/>
        <v>28092.67</v>
      </c>
      <c r="Q125" s="8">
        <f t="shared" si="8"/>
        <v>218.45</v>
      </c>
      <c r="R125" t="s">
        <v>29</v>
      </c>
      <c r="S125">
        <f t="shared" si="9"/>
        <v>643</v>
      </c>
    </row>
    <row r="126" spans="1:19" x14ac:dyDescent="0.3">
      <c r="A126" t="s">
        <v>768</v>
      </c>
      <c r="B126" s="13">
        <v>45724</v>
      </c>
      <c r="C126" s="25">
        <f t="shared" si="6"/>
        <v>45717</v>
      </c>
      <c r="D126" t="s">
        <v>24</v>
      </c>
      <c r="E126" t="s">
        <v>59</v>
      </c>
      <c r="F126" t="s">
        <v>49</v>
      </c>
      <c r="G126" t="s">
        <v>19</v>
      </c>
      <c r="H126" t="s">
        <v>75</v>
      </c>
      <c r="I126">
        <v>1373</v>
      </c>
      <c r="J126">
        <v>1393</v>
      </c>
      <c r="K126">
        <v>45</v>
      </c>
      <c r="L126">
        <f t="shared" si="7"/>
        <v>1348</v>
      </c>
      <c r="M126">
        <v>65.900000000000006</v>
      </c>
      <c r="N126">
        <v>7.4</v>
      </c>
      <c r="O126" s="8">
        <v>43.74</v>
      </c>
      <c r="P126" s="10">
        <f t="shared" si="5"/>
        <v>60929.82</v>
      </c>
      <c r="Q126" s="8">
        <f t="shared" si="8"/>
        <v>1968.3000000000002</v>
      </c>
      <c r="R126" t="s">
        <v>21</v>
      </c>
      <c r="S126">
        <f t="shared" si="9"/>
        <v>1393</v>
      </c>
    </row>
    <row r="127" spans="1:19" x14ac:dyDescent="0.3">
      <c r="A127" t="s">
        <v>224</v>
      </c>
      <c r="B127" s="13">
        <v>45745</v>
      </c>
      <c r="C127" s="25">
        <f t="shared" si="6"/>
        <v>45717</v>
      </c>
      <c r="D127" t="s">
        <v>24</v>
      </c>
      <c r="E127" t="s">
        <v>59</v>
      </c>
      <c r="F127" t="s">
        <v>43</v>
      </c>
      <c r="G127" t="s">
        <v>27</v>
      </c>
      <c r="H127" t="s">
        <v>82</v>
      </c>
      <c r="I127">
        <v>1276</v>
      </c>
      <c r="J127">
        <v>1286</v>
      </c>
      <c r="K127">
        <v>35</v>
      </c>
      <c r="L127">
        <f t="shared" si="7"/>
        <v>1251</v>
      </c>
      <c r="M127">
        <v>6.2</v>
      </c>
      <c r="N127">
        <v>7.9</v>
      </c>
      <c r="O127" s="8">
        <v>44.27</v>
      </c>
      <c r="P127" s="10">
        <f t="shared" si="5"/>
        <v>56931.22</v>
      </c>
      <c r="Q127" s="8">
        <f t="shared" si="8"/>
        <v>1549.45</v>
      </c>
      <c r="R127" t="s">
        <v>21</v>
      </c>
      <c r="S127">
        <f t="shared" si="9"/>
        <v>1286</v>
      </c>
    </row>
    <row r="128" spans="1:19" x14ac:dyDescent="0.3">
      <c r="A128" t="s">
        <v>299</v>
      </c>
      <c r="B128" s="13">
        <v>45758</v>
      </c>
      <c r="C128" s="25">
        <f t="shared" si="6"/>
        <v>45748</v>
      </c>
      <c r="D128" t="s">
        <v>24</v>
      </c>
      <c r="E128" t="s">
        <v>62</v>
      </c>
      <c r="F128" t="s">
        <v>33</v>
      </c>
      <c r="G128" t="s">
        <v>40</v>
      </c>
      <c r="H128" t="s">
        <v>75</v>
      </c>
      <c r="I128">
        <v>1074</v>
      </c>
      <c r="J128">
        <v>1241</v>
      </c>
      <c r="K128">
        <v>12</v>
      </c>
      <c r="L128">
        <f t="shared" si="7"/>
        <v>1229</v>
      </c>
      <c r="M128">
        <v>9.4</v>
      </c>
      <c r="N128">
        <v>6.2</v>
      </c>
      <c r="O128" s="8">
        <v>44.29</v>
      </c>
      <c r="P128" s="10">
        <f t="shared" si="5"/>
        <v>54963.89</v>
      </c>
      <c r="Q128" s="8">
        <f t="shared" si="8"/>
        <v>531.48</v>
      </c>
      <c r="R128" t="s">
        <v>29</v>
      </c>
      <c r="S128">
        <f t="shared" si="9"/>
        <v>1241</v>
      </c>
    </row>
    <row r="129" spans="1:19" x14ac:dyDescent="0.3">
      <c r="A129" t="s">
        <v>920</v>
      </c>
      <c r="B129" s="13">
        <v>45909</v>
      </c>
      <c r="C129" s="25">
        <f t="shared" si="6"/>
        <v>45901</v>
      </c>
      <c r="D129" t="s">
        <v>16</v>
      </c>
      <c r="E129" t="s">
        <v>17</v>
      </c>
      <c r="F129" t="s">
        <v>33</v>
      </c>
      <c r="G129" t="s">
        <v>27</v>
      </c>
      <c r="H129" t="s">
        <v>28</v>
      </c>
      <c r="I129">
        <v>1219</v>
      </c>
      <c r="J129">
        <v>1242</v>
      </c>
      <c r="K129">
        <v>6</v>
      </c>
      <c r="L129">
        <f t="shared" si="7"/>
        <v>1236</v>
      </c>
      <c r="M129">
        <v>29.7</v>
      </c>
      <c r="N129">
        <v>7.1</v>
      </c>
      <c r="O129" s="8">
        <v>44.34</v>
      </c>
      <c r="P129" s="10">
        <f t="shared" si="5"/>
        <v>55070.280000000006</v>
      </c>
      <c r="Q129" s="8">
        <f t="shared" si="8"/>
        <v>266.04000000000002</v>
      </c>
      <c r="R129" t="s">
        <v>29</v>
      </c>
      <c r="S129">
        <f t="shared" si="9"/>
        <v>1242</v>
      </c>
    </row>
    <row r="130" spans="1:19" x14ac:dyDescent="0.3">
      <c r="A130" t="s">
        <v>787</v>
      </c>
      <c r="B130" s="13">
        <v>45826</v>
      </c>
      <c r="C130" s="25">
        <f t="shared" si="6"/>
        <v>45809</v>
      </c>
      <c r="D130" t="s">
        <v>32</v>
      </c>
      <c r="E130" t="s">
        <v>25</v>
      </c>
      <c r="F130" t="s">
        <v>33</v>
      </c>
      <c r="G130" t="s">
        <v>27</v>
      </c>
      <c r="H130" t="s">
        <v>69</v>
      </c>
      <c r="I130">
        <v>789</v>
      </c>
      <c r="J130">
        <v>659</v>
      </c>
      <c r="K130">
        <v>16</v>
      </c>
      <c r="L130">
        <f t="shared" si="7"/>
        <v>643</v>
      </c>
      <c r="M130">
        <v>55.1</v>
      </c>
      <c r="N130">
        <v>7.9</v>
      </c>
      <c r="O130" s="8">
        <v>44.5</v>
      </c>
      <c r="P130" s="10">
        <f t="shared" ref="P130:P193" si="10">J130*O130</f>
        <v>29325.5</v>
      </c>
      <c r="Q130" s="8">
        <f t="shared" si="8"/>
        <v>712</v>
      </c>
      <c r="R130" t="s">
        <v>21</v>
      </c>
      <c r="S130">
        <f t="shared" si="9"/>
        <v>659</v>
      </c>
    </row>
    <row r="131" spans="1:19" x14ac:dyDescent="0.3">
      <c r="A131" t="s">
        <v>838</v>
      </c>
      <c r="B131" s="13">
        <v>45728</v>
      </c>
      <c r="C131" s="25">
        <f t="shared" ref="C131:C194" si="11">DATE(YEAR(B131), MONTH(B131), 1 )</f>
        <v>45717</v>
      </c>
      <c r="D131" t="s">
        <v>32</v>
      </c>
      <c r="E131" t="s">
        <v>17</v>
      </c>
      <c r="F131" t="s">
        <v>49</v>
      </c>
      <c r="G131" t="s">
        <v>27</v>
      </c>
      <c r="H131" t="s">
        <v>69</v>
      </c>
      <c r="I131">
        <v>1695</v>
      </c>
      <c r="J131">
        <v>1858</v>
      </c>
      <c r="K131">
        <v>52</v>
      </c>
      <c r="L131">
        <f t="shared" ref="L131:L194" si="12">J131 -K131</f>
        <v>1806</v>
      </c>
      <c r="M131">
        <v>33.700000000000003</v>
      </c>
      <c r="N131">
        <v>7.1</v>
      </c>
      <c r="O131" s="8">
        <v>44.82</v>
      </c>
      <c r="P131" s="10">
        <f t="shared" si="10"/>
        <v>83275.56</v>
      </c>
      <c r="Q131" s="8">
        <f t="shared" ref="Q131:Q194" si="13">K131*O131</f>
        <v>2330.64</v>
      </c>
      <c r="R131" t="s">
        <v>21</v>
      </c>
      <c r="S131">
        <f t="shared" ref="S131:S194" si="14">L131  + K131</f>
        <v>1858</v>
      </c>
    </row>
    <row r="132" spans="1:19" x14ac:dyDescent="0.3">
      <c r="A132" t="s">
        <v>238</v>
      </c>
      <c r="B132" s="13">
        <v>45945</v>
      </c>
      <c r="C132" s="25">
        <f t="shared" si="11"/>
        <v>45931</v>
      </c>
      <c r="D132" t="s">
        <v>32</v>
      </c>
      <c r="E132" t="s">
        <v>62</v>
      </c>
      <c r="F132" t="s">
        <v>43</v>
      </c>
      <c r="G132" t="s">
        <v>19</v>
      </c>
      <c r="H132" t="s">
        <v>44</v>
      </c>
      <c r="I132">
        <v>1600</v>
      </c>
      <c r="J132">
        <v>1755</v>
      </c>
      <c r="K132">
        <v>47</v>
      </c>
      <c r="L132">
        <f t="shared" si="12"/>
        <v>1708</v>
      </c>
      <c r="M132">
        <v>21</v>
      </c>
      <c r="N132">
        <v>8</v>
      </c>
      <c r="O132" s="8">
        <v>44.92</v>
      </c>
      <c r="P132" s="10">
        <f t="shared" si="10"/>
        <v>78834.600000000006</v>
      </c>
      <c r="Q132" s="8">
        <f t="shared" si="13"/>
        <v>2111.2400000000002</v>
      </c>
      <c r="R132" t="s">
        <v>21</v>
      </c>
      <c r="S132">
        <f t="shared" si="14"/>
        <v>1755</v>
      </c>
    </row>
    <row r="133" spans="1:19" x14ac:dyDescent="0.3">
      <c r="A133" t="s">
        <v>332</v>
      </c>
      <c r="B133" s="13">
        <v>45807</v>
      </c>
      <c r="C133" s="25">
        <f t="shared" si="11"/>
        <v>45778</v>
      </c>
      <c r="D133" t="s">
        <v>16</v>
      </c>
      <c r="E133" t="s">
        <v>25</v>
      </c>
      <c r="F133" t="s">
        <v>49</v>
      </c>
      <c r="G133" t="s">
        <v>40</v>
      </c>
      <c r="H133" t="s">
        <v>69</v>
      </c>
      <c r="I133">
        <v>1389</v>
      </c>
      <c r="J133">
        <v>1330</v>
      </c>
      <c r="K133">
        <v>23</v>
      </c>
      <c r="L133">
        <f t="shared" si="12"/>
        <v>1307</v>
      </c>
      <c r="M133">
        <v>6</v>
      </c>
      <c r="N133">
        <v>7.3</v>
      </c>
      <c r="O133" s="8">
        <v>45.22</v>
      </c>
      <c r="P133" s="10">
        <f t="shared" si="10"/>
        <v>60142.6</v>
      </c>
      <c r="Q133" s="8">
        <f t="shared" si="13"/>
        <v>1040.06</v>
      </c>
      <c r="R133" t="s">
        <v>29</v>
      </c>
      <c r="S133">
        <f t="shared" si="14"/>
        <v>1330</v>
      </c>
    </row>
    <row r="134" spans="1:19" x14ac:dyDescent="0.3">
      <c r="A134" t="s">
        <v>472</v>
      </c>
      <c r="B134" s="13">
        <v>45710</v>
      </c>
      <c r="C134" s="25">
        <f t="shared" si="11"/>
        <v>45689</v>
      </c>
      <c r="D134" t="s">
        <v>32</v>
      </c>
      <c r="E134" t="s">
        <v>59</v>
      </c>
      <c r="F134" t="s">
        <v>26</v>
      </c>
      <c r="G134" t="s">
        <v>27</v>
      </c>
      <c r="H134" t="s">
        <v>37</v>
      </c>
      <c r="I134">
        <v>1634</v>
      </c>
      <c r="J134">
        <v>1688</v>
      </c>
      <c r="K134">
        <v>55</v>
      </c>
      <c r="L134">
        <f t="shared" si="12"/>
        <v>1633</v>
      </c>
      <c r="M134">
        <v>4.7</v>
      </c>
      <c r="N134">
        <v>7.8</v>
      </c>
      <c r="O134" s="8">
        <v>45.34</v>
      </c>
      <c r="P134" s="10">
        <f t="shared" si="10"/>
        <v>76533.920000000013</v>
      </c>
      <c r="Q134" s="8">
        <f t="shared" si="13"/>
        <v>2493.7000000000003</v>
      </c>
      <c r="R134" t="s">
        <v>21</v>
      </c>
      <c r="S134">
        <f t="shared" si="14"/>
        <v>1688</v>
      </c>
    </row>
    <row r="135" spans="1:19" x14ac:dyDescent="0.3">
      <c r="A135" t="s">
        <v>417</v>
      </c>
      <c r="B135" s="13">
        <v>45987</v>
      </c>
      <c r="C135" s="25">
        <f t="shared" si="11"/>
        <v>45962</v>
      </c>
      <c r="D135" t="s">
        <v>24</v>
      </c>
      <c r="E135" t="s">
        <v>59</v>
      </c>
      <c r="F135" t="s">
        <v>33</v>
      </c>
      <c r="G135" t="s">
        <v>40</v>
      </c>
      <c r="H135" t="s">
        <v>44</v>
      </c>
      <c r="I135">
        <v>1245</v>
      </c>
      <c r="J135">
        <v>1128</v>
      </c>
      <c r="K135">
        <v>30</v>
      </c>
      <c r="L135">
        <f t="shared" si="12"/>
        <v>1098</v>
      </c>
      <c r="M135">
        <v>5.9</v>
      </c>
      <c r="N135">
        <v>8.1999999999999993</v>
      </c>
      <c r="O135" s="8">
        <v>45.42</v>
      </c>
      <c r="P135" s="10">
        <f t="shared" si="10"/>
        <v>51233.760000000002</v>
      </c>
      <c r="Q135" s="8">
        <f t="shared" si="13"/>
        <v>1362.6000000000001</v>
      </c>
      <c r="R135" t="s">
        <v>21</v>
      </c>
      <c r="S135">
        <f t="shared" si="14"/>
        <v>1128</v>
      </c>
    </row>
    <row r="136" spans="1:19" x14ac:dyDescent="0.3">
      <c r="A136" t="s">
        <v>183</v>
      </c>
      <c r="B136" s="13">
        <v>45908</v>
      </c>
      <c r="C136" s="25">
        <f t="shared" si="11"/>
        <v>45901</v>
      </c>
      <c r="D136" t="s">
        <v>16</v>
      </c>
      <c r="E136" t="s">
        <v>62</v>
      </c>
      <c r="F136" t="s">
        <v>49</v>
      </c>
      <c r="G136" t="s">
        <v>27</v>
      </c>
      <c r="H136" t="s">
        <v>75</v>
      </c>
      <c r="I136">
        <v>1701</v>
      </c>
      <c r="J136">
        <v>1826</v>
      </c>
      <c r="K136">
        <v>52</v>
      </c>
      <c r="L136">
        <f t="shared" si="12"/>
        <v>1774</v>
      </c>
      <c r="M136">
        <v>13.4</v>
      </c>
      <c r="N136">
        <v>7.5</v>
      </c>
      <c r="O136" s="8">
        <v>45.48</v>
      </c>
      <c r="P136" s="10">
        <f t="shared" si="10"/>
        <v>83046.48</v>
      </c>
      <c r="Q136" s="8">
        <f t="shared" si="13"/>
        <v>2364.96</v>
      </c>
      <c r="R136" t="s">
        <v>21</v>
      </c>
      <c r="S136">
        <f t="shared" si="14"/>
        <v>1826</v>
      </c>
    </row>
    <row r="137" spans="1:19" x14ac:dyDescent="0.3">
      <c r="A137" t="s">
        <v>935</v>
      </c>
      <c r="B137" s="13">
        <v>45869</v>
      </c>
      <c r="C137" s="25">
        <f t="shared" si="11"/>
        <v>45839</v>
      </c>
      <c r="D137" t="s">
        <v>24</v>
      </c>
      <c r="E137" t="s">
        <v>62</v>
      </c>
      <c r="F137" t="s">
        <v>43</v>
      </c>
      <c r="G137" t="s">
        <v>40</v>
      </c>
      <c r="H137" t="s">
        <v>28</v>
      </c>
      <c r="I137">
        <v>910</v>
      </c>
      <c r="J137">
        <v>906</v>
      </c>
      <c r="K137">
        <v>12</v>
      </c>
      <c r="L137">
        <f t="shared" si="12"/>
        <v>894</v>
      </c>
      <c r="M137">
        <v>56.5</v>
      </c>
      <c r="N137">
        <v>6.4</v>
      </c>
      <c r="O137" s="8">
        <v>45.74</v>
      </c>
      <c r="P137" s="10">
        <f t="shared" si="10"/>
        <v>41440.44</v>
      </c>
      <c r="Q137" s="8">
        <f t="shared" si="13"/>
        <v>548.88</v>
      </c>
      <c r="R137" t="s">
        <v>29</v>
      </c>
      <c r="S137">
        <f t="shared" si="14"/>
        <v>906</v>
      </c>
    </row>
    <row r="138" spans="1:19" x14ac:dyDescent="0.3">
      <c r="A138" t="s">
        <v>906</v>
      </c>
      <c r="B138" s="13">
        <v>45995</v>
      </c>
      <c r="C138" s="25">
        <f t="shared" si="11"/>
        <v>45992</v>
      </c>
      <c r="D138" t="s">
        <v>24</v>
      </c>
      <c r="E138" t="s">
        <v>59</v>
      </c>
      <c r="F138" t="s">
        <v>49</v>
      </c>
      <c r="G138" t="s">
        <v>40</v>
      </c>
      <c r="H138" t="s">
        <v>72</v>
      </c>
      <c r="I138">
        <v>868</v>
      </c>
      <c r="J138">
        <v>774</v>
      </c>
      <c r="K138">
        <v>23</v>
      </c>
      <c r="L138">
        <f t="shared" si="12"/>
        <v>751</v>
      </c>
      <c r="M138">
        <v>67.400000000000006</v>
      </c>
      <c r="N138">
        <v>6.5</v>
      </c>
      <c r="O138" s="8">
        <v>45.85</v>
      </c>
      <c r="P138" s="10">
        <f t="shared" si="10"/>
        <v>35487.9</v>
      </c>
      <c r="Q138" s="8">
        <f t="shared" si="13"/>
        <v>1054.55</v>
      </c>
      <c r="R138" t="s">
        <v>21</v>
      </c>
      <c r="S138">
        <f t="shared" si="14"/>
        <v>774</v>
      </c>
    </row>
    <row r="139" spans="1:19" x14ac:dyDescent="0.3">
      <c r="A139" t="s">
        <v>892</v>
      </c>
      <c r="B139" s="13">
        <v>45744</v>
      </c>
      <c r="C139" s="25">
        <f t="shared" si="11"/>
        <v>45717</v>
      </c>
      <c r="D139" t="s">
        <v>24</v>
      </c>
      <c r="E139" t="s">
        <v>17</v>
      </c>
      <c r="F139" t="s">
        <v>33</v>
      </c>
      <c r="G139" t="s">
        <v>40</v>
      </c>
      <c r="H139" t="s">
        <v>37</v>
      </c>
      <c r="I139">
        <v>877</v>
      </c>
      <c r="J139">
        <v>900</v>
      </c>
      <c r="K139">
        <v>5</v>
      </c>
      <c r="L139">
        <f t="shared" si="12"/>
        <v>895</v>
      </c>
      <c r="M139">
        <v>32.6</v>
      </c>
      <c r="N139">
        <v>7.8</v>
      </c>
      <c r="O139" s="8">
        <v>46.16</v>
      </c>
      <c r="P139" s="10">
        <f t="shared" si="10"/>
        <v>41544</v>
      </c>
      <c r="Q139" s="8">
        <f t="shared" si="13"/>
        <v>230.79999999999998</v>
      </c>
      <c r="R139" t="s">
        <v>29</v>
      </c>
      <c r="S139">
        <f t="shared" si="14"/>
        <v>900</v>
      </c>
    </row>
    <row r="140" spans="1:19" x14ac:dyDescent="0.3">
      <c r="A140" t="s">
        <v>445</v>
      </c>
      <c r="B140" s="13">
        <v>45815</v>
      </c>
      <c r="C140" s="25">
        <f t="shared" si="11"/>
        <v>45809</v>
      </c>
      <c r="D140" t="s">
        <v>32</v>
      </c>
      <c r="E140" t="s">
        <v>25</v>
      </c>
      <c r="F140" t="s">
        <v>33</v>
      </c>
      <c r="G140" t="s">
        <v>40</v>
      </c>
      <c r="H140" t="s">
        <v>37</v>
      </c>
      <c r="I140">
        <v>869</v>
      </c>
      <c r="J140">
        <v>842</v>
      </c>
      <c r="K140">
        <v>25</v>
      </c>
      <c r="L140">
        <f t="shared" si="12"/>
        <v>817</v>
      </c>
      <c r="M140">
        <v>32.299999999999997</v>
      </c>
      <c r="N140">
        <v>8.5</v>
      </c>
      <c r="O140" s="8">
        <v>46.44</v>
      </c>
      <c r="P140" s="10">
        <f t="shared" si="10"/>
        <v>39102.479999999996</v>
      </c>
      <c r="Q140" s="8">
        <f t="shared" si="13"/>
        <v>1161</v>
      </c>
      <c r="R140" t="s">
        <v>21</v>
      </c>
      <c r="S140">
        <f t="shared" si="14"/>
        <v>842</v>
      </c>
    </row>
    <row r="141" spans="1:19" x14ac:dyDescent="0.3">
      <c r="A141" t="s">
        <v>640</v>
      </c>
      <c r="B141" s="13">
        <v>45807</v>
      </c>
      <c r="C141" s="25">
        <f t="shared" si="11"/>
        <v>45778</v>
      </c>
      <c r="D141" t="s">
        <v>16</v>
      </c>
      <c r="E141" t="s">
        <v>62</v>
      </c>
      <c r="F141" t="s">
        <v>43</v>
      </c>
      <c r="G141" t="s">
        <v>27</v>
      </c>
      <c r="H141" t="s">
        <v>44</v>
      </c>
      <c r="I141">
        <v>1647</v>
      </c>
      <c r="J141">
        <v>1467</v>
      </c>
      <c r="K141">
        <v>27</v>
      </c>
      <c r="L141">
        <f t="shared" si="12"/>
        <v>1440</v>
      </c>
      <c r="M141">
        <v>6.7</v>
      </c>
      <c r="N141">
        <v>6.1</v>
      </c>
      <c r="O141" s="8">
        <v>46.61</v>
      </c>
      <c r="P141" s="10">
        <f t="shared" si="10"/>
        <v>68376.87</v>
      </c>
      <c r="Q141" s="8">
        <f t="shared" si="13"/>
        <v>1258.47</v>
      </c>
      <c r="R141" t="s">
        <v>29</v>
      </c>
      <c r="S141">
        <f t="shared" si="14"/>
        <v>1467</v>
      </c>
    </row>
    <row r="142" spans="1:19" x14ac:dyDescent="0.3">
      <c r="A142" t="s">
        <v>810</v>
      </c>
      <c r="B142" s="13">
        <v>46009</v>
      </c>
      <c r="C142" s="25">
        <f t="shared" si="11"/>
        <v>45992</v>
      </c>
      <c r="D142" t="s">
        <v>24</v>
      </c>
      <c r="E142" t="s">
        <v>59</v>
      </c>
      <c r="F142" t="s">
        <v>26</v>
      </c>
      <c r="G142" t="s">
        <v>19</v>
      </c>
      <c r="H142" t="s">
        <v>44</v>
      </c>
      <c r="I142">
        <v>1786</v>
      </c>
      <c r="J142">
        <v>1584</v>
      </c>
      <c r="K142">
        <v>17</v>
      </c>
      <c r="L142">
        <f t="shared" si="12"/>
        <v>1567</v>
      </c>
      <c r="M142">
        <v>33.4</v>
      </c>
      <c r="N142">
        <v>6.5</v>
      </c>
      <c r="O142" s="8">
        <v>46.67</v>
      </c>
      <c r="P142" s="10">
        <f t="shared" si="10"/>
        <v>73925.279999999999</v>
      </c>
      <c r="Q142" s="8">
        <f t="shared" si="13"/>
        <v>793.39</v>
      </c>
      <c r="R142" t="s">
        <v>29</v>
      </c>
      <c r="S142">
        <f t="shared" si="14"/>
        <v>1584</v>
      </c>
    </row>
    <row r="143" spans="1:19" x14ac:dyDescent="0.3">
      <c r="A143" t="s">
        <v>360</v>
      </c>
      <c r="B143" s="13">
        <v>46000</v>
      </c>
      <c r="C143" s="25">
        <f t="shared" si="11"/>
        <v>45992</v>
      </c>
      <c r="D143" t="s">
        <v>24</v>
      </c>
      <c r="E143" t="s">
        <v>25</v>
      </c>
      <c r="F143" t="s">
        <v>18</v>
      </c>
      <c r="G143" t="s">
        <v>40</v>
      </c>
      <c r="H143" t="s">
        <v>72</v>
      </c>
      <c r="I143">
        <v>1004</v>
      </c>
      <c r="J143">
        <v>838</v>
      </c>
      <c r="K143">
        <v>4</v>
      </c>
      <c r="L143">
        <f t="shared" si="12"/>
        <v>834</v>
      </c>
      <c r="M143">
        <v>72.3</v>
      </c>
      <c r="N143">
        <v>7.5</v>
      </c>
      <c r="O143" s="8">
        <v>46.95</v>
      </c>
      <c r="P143" s="10">
        <f t="shared" si="10"/>
        <v>39344.100000000006</v>
      </c>
      <c r="Q143" s="8">
        <f t="shared" si="13"/>
        <v>187.8</v>
      </c>
      <c r="R143" t="s">
        <v>29</v>
      </c>
      <c r="S143">
        <f t="shared" si="14"/>
        <v>838</v>
      </c>
    </row>
    <row r="144" spans="1:19" x14ac:dyDescent="0.3">
      <c r="A144" t="s">
        <v>22</v>
      </c>
      <c r="B144" s="13">
        <v>45940</v>
      </c>
      <c r="C144" s="25">
        <f t="shared" si="11"/>
        <v>45931</v>
      </c>
      <c r="D144" t="s">
        <v>24</v>
      </c>
      <c r="E144" t="s">
        <v>25</v>
      </c>
      <c r="F144" t="s">
        <v>26</v>
      </c>
      <c r="G144" t="s">
        <v>27</v>
      </c>
      <c r="H144" t="s">
        <v>28</v>
      </c>
      <c r="I144">
        <v>1557</v>
      </c>
      <c r="J144">
        <v>1522</v>
      </c>
      <c r="K144">
        <v>27</v>
      </c>
      <c r="L144">
        <f t="shared" si="12"/>
        <v>1495</v>
      </c>
      <c r="M144">
        <v>40.799999999999997</v>
      </c>
      <c r="N144">
        <v>7</v>
      </c>
      <c r="O144" s="8">
        <v>47.54</v>
      </c>
      <c r="P144" s="10">
        <f t="shared" si="10"/>
        <v>72355.88</v>
      </c>
      <c r="Q144" s="8">
        <f t="shared" si="13"/>
        <v>1283.58</v>
      </c>
      <c r="R144" t="s">
        <v>29</v>
      </c>
      <c r="S144">
        <f t="shared" si="14"/>
        <v>1522</v>
      </c>
    </row>
    <row r="145" spans="1:19" x14ac:dyDescent="0.3">
      <c r="A145" t="s">
        <v>591</v>
      </c>
      <c r="B145" s="13">
        <v>46009</v>
      </c>
      <c r="C145" s="25">
        <f t="shared" si="11"/>
        <v>45992</v>
      </c>
      <c r="D145" t="s">
        <v>24</v>
      </c>
      <c r="E145" t="s">
        <v>17</v>
      </c>
      <c r="F145" t="s">
        <v>43</v>
      </c>
      <c r="G145" t="s">
        <v>27</v>
      </c>
      <c r="H145" t="s">
        <v>69</v>
      </c>
      <c r="I145">
        <v>761</v>
      </c>
      <c r="J145">
        <v>737</v>
      </c>
      <c r="K145">
        <v>5</v>
      </c>
      <c r="L145">
        <f t="shared" si="12"/>
        <v>732</v>
      </c>
      <c r="M145">
        <v>66.7</v>
      </c>
      <c r="N145">
        <v>6.2</v>
      </c>
      <c r="O145" s="8">
        <v>47.56</v>
      </c>
      <c r="P145" s="10">
        <f t="shared" si="10"/>
        <v>35051.72</v>
      </c>
      <c r="Q145" s="8">
        <f t="shared" si="13"/>
        <v>237.8</v>
      </c>
      <c r="R145" t="s">
        <v>29</v>
      </c>
      <c r="S145">
        <f t="shared" si="14"/>
        <v>737</v>
      </c>
    </row>
    <row r="146" spans="1:19" x14ac:dyDescent="0.3">
      <c r="A146" t="s">
        <v>155</v>
      </c>
      <c r="B146" s="13">
        <v>45907</v>
      </c>
      <c r="C146" s="25">
        <f t="shared" si="11"/>
        <v>45901</v>
      </c>
      <c r="D146" t="s">
        <v>16</v>
      </c>
      <c r="E146" t="s">
        <v>59</v>
      </c>
      <c r="F146" t="s">
        <v>33</v>
      </c>
      <c r="G146" t="s">
        <v>40</v>
      </c>
      <c r="H146" t="s">
        <v>28</v>
      </c>
      <c r="I146">
        <v>773</v>
      </c>
      <c r="J146">
        <v>611</v>
      </c>
      <c r="K146">
        <v>7</v>
      </c>
      <c r="L146">
        <f t="shared" si="12"/>
        <v>604</v>
      </c>
      <c r="M146">
        <v>31.8</v>
      </c>
      <c r="N146">
        <v>8.1999999999999993</v>
      </c>
      <c r="O146" s="8">
        <v>47.86</v>
      </c>
      <c r="P146" s="10">
        <f t="shared" si="10"/>
        <v>29242.46</v>
      </c>
      <c r="Q146" s="8">
        <f t="shared" si="13"/>
        <v>335.02</v>
      </c>
      <c r="R146" t="s">
        <v>29</v>
      </c>
      <c r="S146">
        <f t="shared" si="14"/>
        <v>611</v>
      </c>
    </row>
    <row r="147" spans="1:19" x14ac:dyDescent="0.3">
      <c r="A147" t="s">
        <v>375</v>
      </c>
      <c r="B147" s="13">
        <v>45888</v>
      </c>
      <c r="C147" s="25">
        <f t="shared" si="11"/>
        <v>45870</v>
      </c>
      <c r="D147" t="s">
        <v>32</v>
      </c>
      <c r="E147" t="s">
        <v>36</v>
      </c>
      <c r="F147" t="s">
        <v>33</v>
      </c>
      <c r="G147" t="s">
        <v>40</v>
      </c>
      <c r="H147" t="s">
        <v>69</v>
      </c>
      <c r="I147">
        <v>1097</v>
      </c>
      <c r="J147">
        <v>1067</v>
      </c>
      <c r="K147">
        <v>13</v>
      </c>
      <c r="L147">
        <f t="shared" si="12"/>
        <v>1054</v>
      </c>
      <c r="M147">
        <v>34.1</v>
      </c>
      <c r="N147">
        <v>6.9</v>
      </c>
      <c r="O147" s="8">
        <v>47.97</v>
      </c>
      <c r="P147" s="10">
        <f t="shared" si="10"/>
        <v>51183.99</v>
      </c>
      <c r="Q147" s="8">
        <f t="shared" si="13"/>
        <v>623.61</v>
      </c>
      <c r="R147" t="s">
        <v>29</v>
      </c>
      <c r="S147">
        <f t="shared" si="14"/>
        <v>1067</v>
      </c>
    </row>
    <row r="148" spans="1:19" x14ac:dyDescent="0.3">
      <c r="A148" t="s">
        <v>888</v>
      </c>
      <c r="B148" s="13">
        <v>45673</v>
      </c>
      <c r="C148" s="25">
        <f t="shared" si="11"/>
        <v>45658</v>
      </c>
      <c r="D148" t="s">
        <v>32</v>
      </c>
      <c r="E148" t="s">
        <v>62</v>
      </c>
      <c r="F148" t="s">
        <v>18</v>
      </c>
      <c r="G148" t="s">
        <v>40</v>
      </c>
      <c r="H148" t="s">
        <v>82</v>
      </c>
      <c r="I148">
        <v>1339</v>
      </c>
      <c r="J148">
        <v>1525</v>
      </c>
      <c r="K148">
        <v>8</v>
      </c>
      <c r="L148">
        <f t="shared" si="12"/>
        <v>1517</v>
      </c>
      <c r="M148">
        <v>18.100000000000001</v>
      </c>
      <c r="N148">
        <v>6.8</v>
      </c>
      <c r="O148" s="8">
        <v>48.19</v>
      </c>
      <c r="P148" s="10">
        <f t="shared" si="10"/>
        <v>73489.75</v>
      </c>
      <c r="Q148" s="8">
        <f t="shared" si="13"/>
        <v>385.52</v>
      </c>
      <c r="R148" t="s">
        <v>29</v>
      </c>
      <c r="S148">
        <f t="shared" si="14"/>
        <v>1525</v>
      </c>
    </row>
    <row r="149" spans="1:19" x14ac:dyDescent="0.3">
      <c r="A149" t="s">
        <v>507</v>
      </c>
      <c r="B149" s="13">
        <v>45828</v>
      </c>
      <c r="C149" s="25">
        <f t="shared" si="11"/>
        <v>45809</v>
      </c>
      <c r="D149" t="s">
        <v>32</v>
      </c>
      <c r="E149" t="s">
        <v>62</v>
      </c>
      <c r="F149" t="s">
        <v>43</v>
      </c>
      <c r="G149" t="s">
        <v>27</v>
      </c>
      <c r="H149" t="s">
        <v>37</v>
      </c>
      <c r="I149">
        <v>1194</v>
      </c>
      <c r="J149">
        <v>1142</v>
      </c>
      <c r="K149">
        <v>4</v>
      </c>
      <c r="L149">
        <f t="shared" si="12"/>
        <v>1138</v>
      </c>
      <c r="M149">
        <v>48.6</v>
      </c>
      <c r="N149">
        <v>6.3</v>
      </c>
      <c r="O149" s="8">
        <v>48.51</v>
      </c>
      <c r="P149" s="10">
        <f t="shared" si="10"/>
        <v>55398.42</v>
      </c>
      <c r="Q149" s="8">
        <f t="shared" si="13"/>
        <v>194.04</v>
      </c>
      <c r="R149" t="s">
        <v>29</v>
      </c>
      <c r="S149">
        <f t="shared" si="14"/>
        <v>1142</v>
      </c>
    </row>
    <row r="150" spans="1:19" x14ac:dyDescent="0.3">
      <c r="A150" t="s">
        <v>373</v>
      </c>
      <c r="B150" s="13">
        <v>45768</v>
      </c>
      <c r="C150" s="25">
        <f t="shared" si="11"/>
        <v>45748</v>
      </c>
      <c r="D150" t="s">
        <v>32</v>
      </c>
      <c r="E150" t="s">
        <v>25</v>
      </c>
      <c r="F150" t="s">
        <v>49</v>
      </c>
      <c r="G150" t="s">
        <v>40</v>
      </c>
      <c r="H150" t="s">
        <v>37</v>
      </c>
      <c r="I150">
        <v>1001</v>
      </c>
      <c r="J150">
        <v>993</v>
      </c>
      <c r="K150">
        <v>17</v>
      </c>
      <c r="L150">
        <f t="shared" si="12"/>
        <v>976</v>
      </c>
      <c r="M150">
        <v>10.3</v>
      </c>
      <c r="N150">
        <v>8.1</v>
      </c>
      <c r="O150" s="8">
        <v>48.58</v>
      </c>
      <c r="P150" s="10">
        <f t="shared" si="10"/>
        <v>48239.939999999995</v>
      </c>
      <c r="Q150" s="8">
        <f t="shared" si="13"/>
        <v>825.86</v>
      </c>
      <c r="R150" t="s">
        <v>29</v>
      </c>
      <c r="S150">
        <f t="shared" si="14"/>
        <v>993</v>
      </c>
    </row>
    <row r="151" spans="1:19" x14ac:dyDescent="0.3">
      <c r="A151" t="s">
        <v>689</v>
      </c>
      <c r="B151" s="13">
        <v>45999</v>
      </c>
      <c r="C151" s="25">
        <f t="shared" si="11"/>
        <v>45992</v>
      </c>
      <c r="D151" t="s">
        <v>24</v>
      </c>
      <c r="E151" t="s">
        <v>25</v>
      </c>
      <c r="F151" t="s">
        <v>33</v>
      </c>
      <c r="G151" t="s">
        <v>40</v>
      </c>
      <c r="H151" t="s">
        <v>82</v>
      </c>
      <c r="I151">
        <v>1373</v>
      </c>
      <c r="J151">
        <v>1011</v>
      </c>
      <c r="K151">
        <v>22</v>
      </c>
      <c r="L151">
        <f t="shared" si="12"/>
        <v>989</v>
      </c>
      <c r="M151">
        <v>42.8</v>
      </c>
      <c r="N151">
        <v>6.2</v>
      </c>
      <c r="O151" s="8">
        <v>48.64</v>
      </c>
      <c r="P151" s="10">
        <f t="shared" si="10"/>
        <v>49175.040000000001</v>
      </c>
      <c r="Q151" s="8">
        <f t="shared" si="13"/>
        <v>1070.08</v>
      </c>
      <c r="R151" t="s">
        <v>21</v>
      </c>
      <c r="S151">
        <f t="shared" si="14"/>
        <v>1011</v>
      </c>
    </row>
    <row r="152" spans="1:19" x14ac:dyDescent="0.3">
      <c r="A152" t="s">
        <v>897</v>
      </c>
      <c r="B152" s="13">
        <v>45866</v>
      </c>
      <c r="C152" s="25">
        <f t="shared" si="11"/>
        <v>45839</v>
      </c>
      <c r="D152" t="s">
        <v>16</v>
      </c>
      <c r="E152" t="s">
        <v>25</v>
      </c>
      <c r="F152" t="s">
        <v>43</v>
      </c>
      <c r="G152" t="s">
        <v>19</v>
      </c>
      <c r="H152" t="s">
        <v>75</v>
      </c>
      <c r="I152">
        <v>836</v>
      </c>
      <c r="J152">
        <v>797</v>
      </c>
      <c r="K152">
        <v>14</v>
      </c>
      <c r="L152">
        <f t="shared" si="12"/>
        <v>783</v>
      </c>
      <c r="M152">
        <v>31.2</v>
      </c>
      <c r="N152">
        <v>6.6</v>
      </c>
      <c r="O152" s="8">
        <v>48.67</v>
      </c>
      <c r="P152" s="10">
        <f t="shared" si="10"/>
        <v>38789.99</v>
      </c>
      <c r="Q152" s="8">
        <f t="shared" si="13"/>
        <v>681.38</v>
      </c>
      <c r="R152" t="s">
        <v>29</v>
      </c>
      <c r="S152">
        <f t="shared" si="14"/>
        <v>797</v>
      </c>
    </row>
    <row r="153" spans="1:19" x14ac:dyDescent="0.3">
      <c r="A153" t="s">
        <v>177</v>
      </c>
      <c r="B153" s="13">
        <v>45727</v>
      </c>
      <c r="C153" s="25">
        <f t="shared" si="11"/>
        <v>45717</v>
      </c>
      <c r="D153" t="s">
        <v>16</v>
      </c>
      <c r="E153" t="s">
        <v>17</v>
      </c>
      <c r="F153" t="s">
        <v>49</v>
      </c>
      <c r="G153" t="s">
        <v>27</v>
      </c>
      <c r="H153" t="s">
        <v>69</v>
      </c>
      <c r="I153">
        <v>753</v>
      </c>
      <c r="J153">
        <v>734</v>
      </c>
      <c r="K153">
        <v>4</v>
      </c>
      <c r="L153">
        <f t="shared" si="12"/>
        <v>730</v>
      </c>
      <c r="M153">
        <v>57.7</v>
      </c>
      <c r="N153">
        <v>7.6</v>
      </c>
      <c r="O153" s="8">
        <v>48.69</v>
      </c>
      <c r="P153" s="10">
        <f t="shared" si="10"/>
        <v>35738.46</v>
      </c>
      <c r="Q153" s="8">
        <f t="shared" si="13"/>
        <v>194.76</v>
      </c>
      <c r="R153" t="s">
        <v>29</v>
      </c>
      <c r="S153">
        <f t="shared" si="14"/>
        <v>734</v>
      </c>
    </row>
    <row r="154" spans="1:19" x14ac:dyDescent="0.3">
      <c r="A154" t="s">
        <v>828</v>
      </c>
      <c r="B154" s="13">
        <v>45979</v>
      </c>
      <c r="C154" s="25">
        <f t="shared" si="11"/>
        <v>45962</v>
      </c>
      <c r="D154" t="s">
        <v>16</v>
      </c>
      <c r="E154" t="s">
        <v>36</v>
      </c>
      <c r="F154" t="s">
        <v>18</v>
      </c>
      <c r="G154" t="s">
        <v>27</v>
      </c>
      <c r="H154" t="s">
        <v>20</v>
      </c>
      <c r="I154">
        <v>1790</v>
      </c>
      <c r="J154">
        <v>1581</v>
      </c>
      <c r="K154">
        <v>26</v>
      </c>
      <c r="L154">
        <f t="shared" si="12"/>
        <v>1555</v>
      </c>
      <c r="M154">
        <v>19.2</v>
      </c>
      <c r="N154">
        <v>8.1999999999999993</v>
      </c>
      <c r="O154" s="8">
        <v>49</v>
      </c>
      <c r="P154" s="10">
        <f t="shared" si="10"/>
        <v>77469</v>
      </c>
      <c r="Q154" s="8">
        <f t="shared" si="13"/>
        <v>1274</v>
      </c>
      <c r="R154" t="s">
        <v>29</v>
      </c>
      <c r="S154">
        <f t="shared" si="14"/>
        <v>1581</v>
      </c>
    </row>
    <row r="155" spans="1:19" x14ac:dyDescent="0.3">
      <c r="A155" t="s">
        <v>260</v>
      </c>
      <c r="B155" s="13">
        <v>45747</v>
      </c>
      <c r="C155" s="25">
        <f t="shared" si="11"/>
        <v>45717</v>
      </c>
      <c r="D155" t="s">
        <v>32</v>
      </c>
      <c r="E155" t="s">
        <v>62</v>
      </c>
      <c r="F155" t="s">
        <v>33</v>
      </c>
      <c r="G155" t="s">
        <v>19</v>
      </c>
      <c r="H155" t="s">
        <v>72</v>
      </c>
      <c r="I155">
        <v>1632</v>
      </c>
      <c r="J155">
        <v>1410</v>
      </c>
      <c r="K155">
        <v>32</v>
      </c>
      <c r="L155">
        <f t="shared" si="12"/>
        <v>1378</v>
      </c>
      <c r="M155">
        <v>65.8</v>
      </c>
      <c r="N155">
        <v>6.8</v>
      </c>
      <c r="O155" s="8">
        <v>49.01</v>
      </c>
      <c r="P155" s="10">
        <f t="shared" si="10"/>
        <v>69104.099999999991</v>
      </c>
      <c r="Q155" s="8">
        <f t="shared" si="13"/>
        <v>1568.32</v>
      </c>
      <c r="R155" t="s">
        <v>21</v>
      </c>
      <c r="S155">
        <f t="shared" si="14"/>
        <v>1410</v>
      </c>
    </row>
    <row r="156" spans="1:19" x14ac:dyDescent="0.3">
      <c r="A156" t="s">
        <v>818</v>
      </c>
      <c r="B156" s="13">
        <v>45756</v>
      </c>
      <c r="C156" s="25">
        <f t="shared" si="11"/>
        <v>45748</v>
      </c>
      <c r="D156" t="s">
        <v>24</v>
      </c>
      <c r="E156" t="s">
        <v>17</v>
      </c>
      <c r="F156" t="s">
        <v>43</v>
      </c>
      <c r="G156" t="s">
        <v>27</v>
      </c>
      <c r="H156" t="s">
        <v>75</v>
      </c>
      <c r="I156">
        <v>825</v>
      </c>
      <c r="J156">
        <v>723</v>
      </c>
      <c r="K156">
        <v>10</v>
      </c>
      <c r="L156">
        <f t="shared" si="12"/>
        <v>713</v>
      </c>
      <c r="M156">
        <v>55.4</v>
      </c>
      <c r="N156">
        <v>7</v>
      </c>
      <c r="O156" s="8">
        <v>49.38</v>
      </c>
      <c r="P156" s="10">
        <f t="shared" si="10"/>
        <v>35701.740000000005</v>
      </c>
      <c r="Q156" s="8">
        <f t="shared" si="13"/>
        <v>493.8</v>
      </c>
      <c r="R156" t="s">
        <v>29</v>
      </c>
      <c r="S156">
        <f t="shared" si="14"/>
        <v>723</v>
      </c>
    </row>
    <row r="157" spans="1:19" x14ac:dyDescent="0.3">
      <c r="A157" t="s">
        <v>922</v>
      </c>
      <c r="B157" s="13">
        <v>45694</v>
      </c>
      <c r="C157" s="25">
        <f t="shared" si="11"/>
        <v>45689</v>
      </c>
      <c r="D157" t="s">
        <v>16</v>
      </c>
      <c r="E157" t="s">
        <v>17</v>
      </c>
      <c r="F157" t="s">
        <v>18</v>
      </c>
      <c r="G157" t="s">
        <v>19</v>
      </c>
      <c r="H157" t="s">
        <v>37</v>
      </c>
      <c r="I157">
        <v>1221</v>
      </c>
      <c r="J157">
        <v>1194</v>
      </c>
      <c r="K157">
        <v>18</v>
      </c>
      <c r="L157">
        <f t="shared" si="12"/>
        <v>1176</v>
      </c>
      <c r="M157">
        <v>44.6</v>
      </c>
      <c r="N157">
        <v>7.6</v>
      </c>
      <c r="O157" s="8">
        <v>49.61</v>
      </c>
      <c r="P157" s="10">
        <f t="shared" si="10"/>
        <v>59234.34</v>
      </c>
      <c r="Q157" s="8">
        <f t="shared" si="13"/>
        <v>892.98</v>
      </c>
      <c r="R157" t="s">
        <v>29</v>
      </c>
      <c r="S157">
        <f t="shared" si="14"/>
        <v>1194</v>
      </c>
    </row>
    <row r="158" spans="1:19" x14ac:dyDescent="0.3">
      <c r="A158" t="s">
        <v>834</v>
      </c>
      <c r="B158" s="13">
        <v>45788</v>
      </c>
      <c r="C158" s="25">
        <f t="shared" si="11"/>
        <v>45778</v>
      </c>
      <c r="D158" t="s">
        <v>16</v>
      </c>
      <c r="E158" t="s">
        <v>36</v>
      </c>
      <c r="F158" t="s">
        <v>43</v>
      </c>
      <c r="G158" t="s">
        <v>40</v>
      </c>
      <c r="H158" t="s">
        <v>82</v>
      </c>
      <c r="I158">
        <v>1323</v>
      </c>
      <c r="J158">
        <v>1099</v>
      </c>
      <c r="K158">
        <v>31</v>
      </c>
      <c r="L158">
        <f t="shared" si="12"/>
        <v>1068</v>
      </c>
      <c r="M158">
        <v>25.7</v>
      </c>
      <c r="N158">
        <v>8.4</v>
      </c>
      <c r="O158" s="8">
        <v>49.61</v>
      </c>
      <c r="P158" s="10">
        <f t="shared" si="10"/>
        <v>54521.39</v>
      </c>
      <c r="Q158" s="8">
        <f t="shared" si="13"/>
        <v>1537.91</v>
      </c>
      <c r="R158" t="s">
        <v>21</v>
      </c>
      <c r="S158">
        <f t="shared" si="14"/>
        <v>1099</v>
      </c>
    </row>
    <row r="159" spans="1:19" x14ac:dyDescent="0.3">
      <c r="A159" t="s">
        <v>840</v>
      </c>
      <c r="B159" s="13">
        <v>45959</v>
      </c>
      <c r="C159" s="25">
        <f t="shared" si="11"/>
        <v>45931</v>
      </c>
      <c r="D159" t="s">
        <v>16</v>
      </c>
      <c r="E159" t="s">
        <v>62</v>
      </c>
      <c r="F159" t="s">
        <v>43</v>
      </c>
      <c r="G159" t="s">
        <v>40</v>
      </c>
      <c r="H159" t="s">
        <v>20</v>
      </c>
      <c r="I159">
        <v>884</v>
      </c>
      <c r="J159">
        <v>903</v>
      </c>
      <c r="K159">
        <v>5</v>
      </c>
      <c r="L159">
        <f t="shared" si="12"/>
        <v>898</v>
      </c>
      <c r="M159">
        <v>42.5</v>
      </c>
      <c r="N159">
        <v>7.8</v>
      </c>
      <c r="O159" s="8">
        <v>49.77</v>
      </c>
      <c r="P159" s="10">
        <f t="shared" si="10"/>
        <v>44942.310000000005</v>
      </c>
      <c r="Q159" s="8">
        <f t="shared" si="13"/>
        <v>248.85000000000002</v>
      </c>
      <c r="R159" t="s">
        <v>29</v>
      </c>
      <c r="S159">
        <f t="shared" si="14"/>
        <v>903</v>
      </c>
    </row>
    <row r="160" spans="1:19" x14ac:dyDescent="0.3">
      <c r="A160" t="s">
        <v>561</v>
      </c>
      <c r="B160" s="13">
        <v>45898</v>
      </c>
      <c r="C160" s="25">
        <f t="shared" si="11"/>
        <v>45870</v>
      </c>
      <c r="D160" t="s">
        <v>24</v>
      </c>
      <c r="E160" t="s">
        <v>36</v>
      </c>
      <c r="F160" t="s">
        <v>18</v>
      </c>
      <c r="G160" t="s">
        <v>27</v>
      </c>
      <c r="H160" t="s">
        <v>75</v>
      </c>
      <c r="I160">
        <v>756</v>
      </c>
      <c r="J160">
        <v>894</v>
      </c>
      <c r="K160">
        <v>12</v>
      </c>
      <c r="L160">
        <f t="shared" si="12"/>
        <v>882</v>
      </c>
      <c r="M160">
        <v>25.6</v>
      </c>
      <c r="N160">
        <v>6.8</v>
      </c>
      <c r="O160" s="8">
        <v>49.86</v>
      </c>
      <c r="P160" s="10">
        <f t="shared" si="10"/>
        <v>44574.84</v>
      </c>
      <c r="Q160" s="8">
        <f t="shared" si="13"/>
        <v>598.31999999999994</v>
      </c>
      <c r="R160" t="s">
        <v>29</v>
      </c>
      <c r="S160">
        <f t="shared" si="14"/>
        <v>894</v>
      </c>
    </row>
    <row r="161" spans="1:19" x14ac:dyDescent="0.3">
      <c r="A161" t="s">
        <v>194</v>
      </c>
      <c r="B161" s="13">
        <v>46001</v>
      </c>
      <c r="C161" s="25">
        <f t="shared" si="11"/>
        <v>45992</v>
      </c>
      <c r="D161" t="s">
        <v>16</v>
      </c>
      <c r="E161" t="s">
        <v>59</v>
      </c>
      <c r="F161" t="s">
        <v>26</v>
      </c>
      <c r="G161" t="s">
        <v>40</v>
      </c>
      <c r="H161" t="s">
        <v>37</v>
      </c>
      <c r="I161">
        <v>1078</v>
      </c>
      <c r="J161">
        <v>842</v>
      </c>
      <c r="K161">
        <v>8</v>
      </c>
      <c r="L161">
        <f t="shared" si="12"/>
        <v>834</v>
      </c>
      <c r="M161">
        <v>29.1</v>
      </c>
      <c r="N161">
        <v>8.1999999999999993</v>
      </c>
      <c r="O161" s="8">
        <v>50.22</v>
      </c>
      <c r="P161" s="10">
        <f t="shared" si="10"/>
        <v>42285.24</v>
      </c>
      <c r="Q161" s="8">
        <f t="shared" si="13"/>
        <v>401.76</v>
      </c>
      <c r="R161" t="s">
        <v>29</v>
      </c>
      <c r="S161">
        <f t="shared" si="14"/>
        <v>842</v>
      </c>
    </row>
    <row r="162" spans="1:19" x14ac:dyDescent="0.3">
      <c r="A162" t="s">
        <v>533</v>
      </c>
      <c r="B162" s="13">
        <v>45848</v>
      </c>
      <c r="C162" s="25">
        <f t="shared" si="11"/>
        <v>45839</v>
      </c>
      <c r="D162" t="s">
        <v>32</v>
      </c>
      <c r="E162" t="s">
        <v>17</v>
      </c>
      <c r="F162" t="s">
        <v>49</v>
      </c>
      <c r="G162" t="s">
        <v>19</v>
      </c>
      <c r="H162" t="s">
        <v>37</v>
      </c>
      <c r="I162">
        <v>1421</v>
      </c>
      <c r="J162">
        <v>1649</v>
      </c>
      <c r="K162">
        <v>8</v>
      </c>
      <c r="L162">
        <f t="shared" si="12"/>
        <v>1641</v>
      </c>
      <c r="M162">
        <v>49.2</v>
      </c>
      <c r="N162">
        <v>6.9</v>
      </c>
      <c r="O162" s="8">
        <v>50.33</v>
      </c>
      <c r="P162" s="10">
        <f t="shared" si="10"/>
        <v>82994.17</v>
      </c>
      <c r="Q162" s="8">
        <f t="shared" si="13"/>
        <v>402.64</v>
      </c>
      <c r="R162" t="s">
        <v>29</v>
      </c>
      <c r="S162">
        <f t="shared" si="14"/>
        <v>1649</v>
      </c>
    </row>
    <row r="163" spans="1:19" x14ac:dyDescent="0.3">
      <c r="A163" t="s">
        <v>399</v>
      </c>
      <c r="B163" s="13">
        <v>45936</v>
      </c>
      <c r="C163" s="25">
        <f t="shared" si="11"/>
        <v>45931</v>
      </c>
      <c r="D163" t="s">
        <v>32</v>
      </c>
      <c r="E163" t="s">
        <v>59</v>
      </c>
      <c r="F163" t="s">
        <v>43</v>
      </c>
      <c r="G163" t="s">
        <v>40</v>
      </c>
      <c r="H163" t="s">
        <v>37</v>
      </c>
      <c r="I163">
        <v>962</v>
      </c>
      <c r="J163">
        <v>942</v>
      </c>
      <c r="K163">
        <v>10</v>
      </c>
      <c r="L163">
        <f t="shared" si="12"/>
        <v>932</v>
      </c>
      <c r="M163">
        <v>26.8</v>
      </c>
      <c r="N163">
        <v>6.7</v>
      </c>
      <c r="O163" s="8">
        <v>50.35</v>
      </c>
      <c r="P163" s="10">
        <f t="shared" si="10"/>
        <v>47429.700000000004</v>
      </c>
      <c r="Q163" s="8">
        <f t="shared" si="13"/>
        <v>503.5</v>
      </c>
      <c r="R163" t="s">
        <v>29</v>
      </c>
      <c r="S163">
        <f t="shared" si="14"/>
        <v>942</v>
      </c>
    </row>
    <row r="164" spans="1:19" x14ac:dyDescent="0.3">
      <c r="A164" t="s">
        <v>715</v>
      </c>
      <c r="B164" s="13">
        <v>45951</v>
      </c>
      <c r="C164" s="25">
        <f t="shared" si="11"/>
        <v>45931</v>
      </c>
      <c r="D164" t="s">
        <v>32</v>
      </c>
      <c r="E164" t="s">
        <v>36</v>
      </c>
      <c r="F164" t="s">
        <v>33</v>
      </c>
      <c r="G164" t="s">
        <v>40</v>
      </c>
      <c r="H164" t="s">
        <v>28</v>
      </c>
      <c r="I164">
        <v>887</v>
      </c>
      <c r="J164">
        <v>742</v>
      </c>
      <c r="K164">
        <v>24</v>
      </c>
      <c r="L164">
        <f t="shared" si="12"/>
        <v>718</v>
      </c>
      <c r="M164">
        <v>42.7</v>
      </c>
      <c r="N164">
        <v>6.8</v>
      </c>
      <c r="O164" s="8">
        <v>50.41</v>
      </c>
      <c r="P164" s="10">
        <f t="shared" si="10"/>
        <v>37404.219999999994</v>
      </c>
      <c r="Q164" s="8">
        <f t="shared" si="13"/>
        <v>1209.8399999999999</v>
      </c>
      <c r="R164" t="s">
        <v>21</v>
      </c>
      <c r="S164">
        <f t="shared" si="14"/>
        <v>742</v>
      </c>
    </row>
    <row r="165" spans="1:19" x14ac:dyDescent="0.3">
      <c r="A165" t="s">
        <v>753</v>
      </c>
      <c r="B165" s="13">
        <v>45712</v>
      </c>
      <c r="C165" s="25">
        <f t="shared" si="11"/>
        <v>45689</v>
      </c>
      <c r="D165" t="s">
        <v>16</v>
      </c>
      <c r="E165" t="s">
        <v>62</v>
      </c>
      <c r="F165" t="s">
        <v>18</v>
      </c>
      <c r="G165" t="s">
        <v>40</v>
      </c>
      <c r="H165" t="s">
        <v>69</v>
      </c>
      <c r="I165">
        <v>1107</v>
      </c>
      <c r="J165">
        <v>878</v>
      </c>
      <c r="K165">
        <v>29</v>
      </c>
      <c r="L165">
        <f t="shared" si="12"/>
        <v>849</v>
      </c>
      <c r="M165">
        <v>3.9</v>
      </c>
      <c r="N165">
        <v>6.8</v>
      </c>
      <c r="O165" s="8">
        <v>50.5</v>
      </c>
      <c r="P165" s="10">
        <f t="shared" si="10"/>
        <v>44339</v>
      </c>
      <c r="Q165" s="8">
        <f t="shared" si="13"/>
        <v>1464.5</v>
      </c>
      <c r="R165" t="s">
        <v>21</v>
      </c>
      <c r="S165">
        <f t="shared" si="14"/>
        <v>878</v>
      </c>
    </row>
    <row r="166" spans="1:19" x14ac:dyDescent="0.3">
      <c r="A166" t="s">
        <v>517</v>
      </c>
      <c r="B166" s="13">
        <v>46000</v>
      </c>
      <c r="C166" s="25">
        <f t="shared" si="11"/>
        <v>45992</v>
      </c>
      <c r="D166" t="s">
        <v>16</v>
      </c>
      <c r="E166" t="s">
        <v>25</v>
      </c>
      <c r="F166" t="s">
        <v>18</v>
      </c>
      <c r="G166" t="s">
        <v>19</v>
      </c>
      <c r="H166" t="s">
        <v>20</v>
      </c>
      <c r="I166">
        <v>1684</v>
      </c>
      <c r="J166">
        <v>1649</v>
      </c>
      <c r="K166">
        <v>26</v>
      </c>
      <c r="L166">
        <f t="shared" si="12"/>
        <v>1623</v>
      </c>
      <c r="M166">
        <v>134</v>
      </c>
      <c r="N166">
        <v>8.1</v>
      </c>
      <c r="O166" s="8">
        <v>50.6</v>
      </c>
      <c r="P166" s="10">
        <f t="shared" si="10"/>
        <v>83439.400000000009</v>
      </c>
      <c r="Q166" s="8">
        <f t="shared" si="13"/>
        <v>1315.6000000000001</v>
      </c>
      <c r="R166" t="s">
        <v>29</v>
      </c>
      <c r="S166">
        <f t="shared" si="14"/>
        <v>1649</v>
      </c>
    </row>
    <row r="167" spans="1:19" x14ac:dyDescent="0.3">
      <c r="A167" t="s">
        <v>712</v>
      </c>
      <c r="B167" s="13">
        <v>45730</v>
      </c>
      <c r="C167" s="25">
        <f t="shared" si="11"/>
        <v>45717</v>
      </c>
      <c r="D167" t="s">
        <v>32</v>
      </c>
      <c r="E167" t="s">
        <v>25</v>
      </c>
      <c r="F167" t="s">
        <v>18</v>
      </c>
      <c r="G167" t="s">
        <v>27</v>
      </c>
      <c r="H167" t="s">
        <v>20</v>
      </c>
      <c r="I167">
        <v>1537</v>
      </c>
      <c r="J167">
        <v>1393</v>
      </c>
      <c r="K167">
        <v>7</v>
      </c>
      <c r="L167">
        <f t="shared" si="12"/>
        <v>1386</v>
      </c>
      <c r="M167">
        <v>91.1</v>
      </c>
      <c r="N167">
        <v>7</v>
      </c>
      <c r="O167" s="8">
        <v>50.73</v>
      </c>
      <c r="P167" s="10">
        <f t="shared" si="10"/>
        <v>70666.89</v>
      </c>
      <c r="Q167" s="8">
        <f t="shared" si="13"/>
        <v>355.10999999999996</v>
      </c>
      <c r="R167" t="s">
        <v>29</v>
      </c>
      <c r="S167">
        <f t="shared" si="14"/>
        <v>1393</v>
      </c>
    </row>
    <row r="168" spans="1:19" x14ac:dyDescent="0.3">
      <c r="A168" t="s">
        <v>264</v>
      </c>
      <c r="B168" s="13">
        <v>45818</v>
      </c>
      <c r="C168" s="25">
        <f t="shared" si="11"/>
        <v>45809</v>
      </c>
      <c r="D168" t="s">
        <v>16</v>
      </c>
      <c r="E168" t="s">
        <v>17</v>
      </c>
      <c r="F168" t="s">
        <v>43</v>
      </c>
      <c r="G168" t="s">
        <v>40</v>
      </c>
      <c r="H168" t="s">
        <v>69</v>
      </c>
      <c r="I168">
        <v>956</v>
      </c>
      <c r="J168">
        <v>1151</v>
      </c>
      <c r="K168">
        <v>27</v>
      </c>
      <c r="L168">
        <f t="shared" si="12"/>
        <v>1124</v>
      </c>
      <c r="M168">
        <v>7.7</v>
      </c>
      <c r="N168">
        <v>6.7</v>
      </c>
      <c r="O168" s="8">
        <v>50.74</v>
      </c>
      <c r="P168" s="10">
        <f t="shared" si="10"/>
        <v>58401.740000000005</v>
      </c>
      <c r="Q168" s="8">
        <f t="shared" si="13"/>
        <v>1369.98</v>
      </c>
      <c r="R168" t="s">
        <v>21</v>
      </c>
      <c r="S168">
        <f t="shared" si="14"/>
        <v>1151</v>
      </c>
    </row>
    <row r="169" spans="1:19" x14ac:dyDescent="0.3">
      <c r="A169" t="s">
        <v>474</v>
      </c>
      <c r="B169" s="13">
        <v>45905</v>
      </c>
      <c r="C169" s="25">
        <f t="shared" si="11"/>
        <v>45901</v>
      </c>
      <c r="D169" t="s">
        <v>16</v>
      </c>
      <c r="E169" t="s">
        <v>59</v>
      </c>
      <c r="F169" t="s">
        <v>49</v>
      </c>
      <c r="G169" t="s">
        <v>27</v>
      </c>
      <c r="H169" t="s">
        <v>82</v>
      </c>
      <c r="I169">
        <v>1742</v>
      </c>
      <c r="J169">
        <v>1666</v>
      </c>
      <c r="K169">
        <v>37</v>
      </c>
      <c r="L169">
        <f t="shared" si="12"/>
        <v>1629</v>
      </c>
      <c r="M169">
        <v>10.199999999999999</v>
      </c>
      <c r="N169">
        <v>8.3000000000000007</v>
      </c>
      <c r="O169" s="8">
        <v>50.75</v>
      </c>
      <c r="P169" s="10">
        <f t="shared" si="10"/>
        <v>84549.5</v>
      </c>
      <c r="Q169" s="8">
        <f t="shared" si="13"/>
        <v>1877.75</v>
      </c>
      <c r="R169" t="s">
        <v>21</v>
      </c>
      <c r="S169">
        <f t="shared" si="14"/>
        <v>1666</v>
      </c>
    </row>
    <row r="170" spans="1:19" x14ac:dyDescent="0.3">
      <c r="A170" t="s">
        <v>521</v>
      </c>
      <c r="B170" s="13">
        <v>45855</v>
      </c>
      <c r="C170" s="25">
        <f t="shared" si="11"/>
        <v>45839</v>
      </c>
      <c r="D170" t="s">
        <v>16</v>
      </c>
      <c r="E170" t="s">
        <v>59</v>
      </c>
      <c r="F170" t="s">
        <v>18</v>
      </c>
      <c r="G170" t="s">
        <v>27</v>
      </c>
      <c r="H170" t="s">
        <v>37</v>
      </c>
      <c r="I170">
        <v>1121</v>
      </c>
      <c r="J170">
        <v>998</v>
      </c>
      <c r="K170">
        <v>5</v>
      </c>
      <c r="L170">
        <f t="shared" si="12"/>
        <v>993</v>
      </c>
      <c r="M170">
        <v>13.1</v>
      </c>
      <c r="N170">
        <v>7.3</v>
      </c>
      <c r="O170" s="8">
        <v>50.84</v>
      </c>
      <c r="P170" s="10">
        <f t="shared" si="10"/>
        <v>50738.320000000007</v>
      </c>
      <c r="Q170" s="8">
        <f t="shared" si="13"/>
        <v>254.20000000000002</v>
      </c>
      <c r="R170" t="s">
        <v>29</v>
      </c>
      <c r="S170">
        <f t="shared" si="14"/>
        <v>998</v>
      </c>
    </row>
    <row r="171" spans="1:19" x14ac:dyDescent="0.3">
      <c r="A171" t="s">
        <v>500</v>
      </c>
      <c r="B171" s="13">
        <v>45666</v>
      </c>
      <c r="C171" s="25">
        <f t="shared" si="11"/>
        <v>45658</v>
      </c>
      <c r="D171" t="s">
        <v>24</v>
      </c>
      <c r="E171" t="s">
        <v>25</v>
      </c>
      <c r="F171" t="s">
        <v>43</v>
      </c>
      <c r="G171" t="s">
        <v>40</v>
      </c>
      <c r="H171" t="s">
        <v>75</v>
      </c>
      <c r="I171">
        <v>1641</v>
      </c>
      <c r="J171">
        <v>1594</v>
      </c>
      <c r="K171">
        <v>14</v>
      </c>
      <c r="L171">
        <f t="shared" si="12"/>
        <v>1580</v>
      </c>
      <c r="M171">
        <v>56.1</v>
      </c>
      <c r="N171">
        <v>7.7</v>
      </c>
      <c r="O171" s="8">
        <v>51.46</v>
      </c>
      <c r="P171" s="10">
        <f t="shared" si="10"/>
        <v>82027.240000000005</v>
      </c>
      <c r="Q171" s="8">
        <f t="shared" si="13"/>
        <v>720.44</v>
      </c>
      <c r="R171" t="s">
        <v>29</v>
      </c>
      <c r="S171">
        <f t="shared" si="14"/>
        <v>1594</v>
      </c>
    </row>
    <row r="172" spans="1:19" x14ac:dyDescent="0.3">
      <c r="A172" t="s">
        <v>515</v>
      </c>
      <c r="B172" s="13">
        <v>45837</v>
      </c>
      <c r="C172" s="25">
        <f t="shared" si="11"/>
        <v>45809</v>
      </c>
      <c r="D172" t="s">
        <v>24</v>
      </c>
      <c r="E172" t="s">
        <v>17</v>
      </c>
      <c r="F172" t="s">
        <v>49</v>
      </c>
      <c r="G172" t="s">
        <v>40</v>
      </c>
      <c r="H172" t="s">
        <v>72</v>
      </c>
      <c r="I172">
        <v>1579</v>
      </c>
      <c r="J172">
        <v>1659</v>
      </c>
      <c r="K172">
        <v>27</v>
      </c>
      <c r="L172">
        <f t="shared" si="12"/>
        <v>1632</v>
      </c>
      <c r="M172">
        <v>37.9</v>
      </c>
      <c r="N172">
        <v>8.1999999999999993</v>
      </c>
      <c r="O172" s="8">
        <v>52.33</v>
      </c>
      <c r="P172" s="10">
        <f t="shared" si="10"/>
        <v>86815.47</v>
      </c>
      <c r="Q172" s="8">
        <f t="shared" si="13"/>
        <v>1412.9099999999999</v>
      </c>
      <c r="R172" t="s">
        <v>29</v>
      </c>
      <c r="S172">
        <f t="shared" si="14"/>
        <v>1659</v>
      </c>
    </row>
    <row r="173" spans="1:19" x14ac:dyDescent="0.3">
      <c r="A173" t="s">
        <v>716</v>
      </c>
      <c r="B173" s="13">
        <v>45667</v>
      </c>
      <c r="C173" s="25">
        <f t="shared" si="11"/>
        <v>45658</v>
      </c>
      <c r="D173" t="s">
        <v>16</v>
      </c>
      <c r="E173" t="s">
        <v>62</v>
      </c>
      <c r="F173" t="s">
        <v>26</v>
      </c>
      <c r="G173" t="s">
        <v>40</v>
      </c>
      <c r="H173" t="s">
        <v>72</v>
      </c>
      <c r="I173">
        <v>1113</v>
      </c>
      <c r="J173">
        <v>1060</v>
      </c>
      <c r="K173">
        <v>8</v>
      </c>
      <c r="L173">
        <f t="shared" si="12"/>
        <v>1052</v>
      </c>
      <c r="M173">
        <v>78.8</v>
      </c>
      <c r="N173">
        <v>7.7</v>
      </c>
      <c r="O173" s="8">
        <v>52.37</v>
      </c>
      <c r="P173" s="10">
        <f t="shared" si="10"/>
        <v>55512.2</v>
      </c>
      <c r="Q173" s="8">
        <f t="shared" si="13"/>
        <v>418.96</v>
      </c>
      <c r="R173" t="s">
        <v>29</v>
      </c>
      <c r="S173">
        <f t="shared" si="14"/>
        <v>1060</v>
      </c>
    </row>
    <row r="174" spans="1:19" x14ac:dyDescent="0.3">
      <c r="A174" t="s">
        <v>368</v>
      </c>
      <c r="B174" s="13">
        <v>45820</v>
      </c>
      <c r="C174" s="25">
        <f t="shared" si="11"/>
        <v>45809</v>
      </c>
      <c r="D174" t="s">
        <v>32</v>
      </c>
      <c r="E174" t="s">
        <v>17</v>
      </c>
      <c r="F174" t="s">
        <v>18</v>
      </c>
      <c r="G174" t="s">
        <v>40</v>
      </c>
      <c r="H174" t="s">
        <v>72</v>
      </c>
      <c r="I174">
        <v>1168</v>
      </c>
      <c r="J174">
        <v>1134</v>
      </c>
      <c r="K174">
        <v>30</v>
      </c>
      <c r="L174">
        <f t="shared" si="12"/>
        <v>1104</v>
      </c>
      <c r="M174">
        <v>72.5</v>
      </c>
      <c r="N174">
        <v>8.1999999999999993</v>
      </c>
      <c r="O174" s="8">
        <v>52.62</v>
      </c>
      <c r="P174" s="10">
        <f t="shared" si="10"/>
        <v>59671.079999999994</v>
      </c>
      <c r="Q174" s="8">
        <f t="shared" si="13"/>
        <v>1578.6</v>
      </c>
      <c r="R174" t="s">
        <v>21</v>
      </c>
      <c r="S174">
        <f t="shared" si="14"/>
        <v>1134</v>
      </c>
    </row>
    <row r="175" spans="1:19" x14ac:dyDescent="0.3">
      <c r="A175" t="s">
        <v>904</v>
      </c>
      <c r="B175" s="13">
        <v>45660</v>
      </c>
      <c r="C175" s="25">
        <f t="shared" si="11"/>
        <v>45658</v>
      </c>
      <c r="D175" t="s">
        <v>32</v>
      </c>
      <c r="E175" t="s">
        <v>17</v>
      </c>
      <c r="F175" t="s">
        <v>33</v>
      </c>
      <c r="G175" t="s">
        <v>40</v>
      </c>
      <c r="H175" t="s">
        <v>72</v>
      </c>
      <c r="I175">
        <v>1596</v>
      </c>
      <c r="J175">
        <v>1475</v>
      </c>
      <c r="K175">
        <v>25</v>
      </c>
      <c r="L175">
        <f t="shared" si="12"/>
        <v>1450</v>
      </c>
      <c r="M175">
        <v>7.8</v>
      </c>
      <c r="N175">
        <v>6.9</v>
      </c>
      <c r="O175" s="8">
        <v>52.82</v>
      </c>
      <c r="P175" s="10">
        <f t="shared" si="10"/>
        <v>77909.5</v>
      </c>
      <c r="Q175" s="8">
        <f t="shared" si="13"/>
        <v>1320.5</v>
      </c>
      <c r="R175" t="s">
        <v>29</v>
      </c>
      <c r="S175">
        <f t="shared" si="14"/>
        <v>1475</v>
      </c>
    </row>
    <row r="176" spans="1:19" x14ac:dyDescent="0.3">
      <c r="A176" t="s">
        <v>455</v>
      </c>
      <c r="B176" s="13">
        <v>45895</v>
      </c>
      <c r="C176" s="25">
        <f t="shared" si="11"/>
        <v>45870</v>
      </c>
      <c r="D176" t="s">
        <v>16</v>
      </c>
      <c r="E176" t="s">
        <v>59</v>
      </c>
      <c r="F176" t="s">
        <v>43</v>
      </c>
      <c r="G176" t="s">
        <v>19</v>
      </c>
      <c r="H176" t="s">
        <v>37</v>
      </c>
      <c r="I176">
        <v>1064</v>
      </c>
      <c r="J176">
        <v>902</v>
      </c>
      <c r="K176">
        <v>7</v>
      </c>
      <c r="L176">
        <f t="shared" si="12"/>
        <v>895</v>
      </c>
      <c r="M176">
        <v>23.1</v>
      </c>
      <c r="N176">
        <v>7.6</v>
      </c>
      <c r="O176" s="8">
        <v>52.93</v>
      </c>
      <c r="P176" s="10">
        <f t="shared" si="10"/>
        <v>47742.86</v>
      </c>
      <c r="Q176" s="8">
        <f t="shared" si="13"/>
        <v>370.51</v>
      </c>
      <c r="R176" t="s">
        <v>29</v>
      </c>
      <c r="S176">
        <f t="shared" si="14"/>
        <v>902</v>
      </c>
    </row>
    <row r="177" spans="1:19" x14ac:dyDescent="0.3">
      <c r="A177" t="s">
        <v>749</v>
      </c>
      <c r="B177" s="13">
        <v>45667</v>
      </c>
      <c r="C177" s="25">
        <f t="shared" si="11"/>
        <v>45658</v>
      </c>
      <c r="D177" t="s">
        <v>32</v>
      </c>
      <c r="E177" t="s">
        <v>36</v>
      </c>
      <c r="F177" t="s">
        <v>33</v>
      </c>
      <c r="G177" t="s">
        <v>27</v>
      </c>
      <c r="H177" t="s">
        <v>82</v>
      </c>
      <c r="I177">
        <v>1756</v>
      </c>
      <c r="J177">
        <v>1631</v>
      </c>
      <c r="K177">
        <v>39</v>
      </c>
      <c r="L177">
        <f t="shared" si="12"/>
        <v>1592</v>
      </c>
      <c r="M177">
        <v>71.5</v>
      </c>
      <c r="N177">
        <v>6.1</v>
      </c>
      <c r="O177" s="8">
        <v>53.01</v>
      </c>
      <c r="P177" s="10">
        <f t="shared" si="10"/>
        <v>86459.31</v>
      </c>
      <c r="Q177" s="8">
        <f t="shared" si="13"/>
        <v>2067.39</v>
      </c>
      <c r="R177" t="s">
        <v>21</v>
      </c>
      <c r="S177">
        <f t="shared" si="14"/>
        <v>1631</v>
      </c>
    </row>
    <row r="178" spans="1:19" x14ac:dyDescent="0.3">
      <c r="A178" t="s">
        <v>790</v>
      </c>
      <c r="B178" s="13">
        <v>45851</v>
      </c>
      <c r="C178" s="25">
        <f t="shared" si="11"/>
        <v>45839</v>
      </c>
      <c r="D178" t="s">
        <v>24</v>
      </c>
      <c r="E178" t="s">
        <v>25</v>
      </c>
      <c r="F178" t="s">
        <v>49</v>
      </c>
      <c r="G178" t="s">
        <v>40</v>
      </c>
      <c r="H178" t="s">
        <v>82</v>
      </c>
      <c r="I178">
        <v>1534</v>
      </c>
      <c r="J178">
        <v>1635</v>
      </c>
      <c r="K178">
        <v>47</v>
      </c>
      <c r="L178">
        <f t="shared" si="12"/>
        <v>1588</v>
      </c>
      <c r="M178">
        <v>12.6</v>
      </c>
      <c r="N178">
        <v>7.7</v>
      </c>
      <c r="O178" s="8">
        <v>53.32</v>
      </c>
      <c r="P178" s="10">
        <f t="shared" si="10"/>
        <v>87178.2</v>
      </c>
      <c r="Q178" s="8">
        <f t="shared" si="13"/>
        <v>2506.04</v>
      </c>
      <c r="R178" t="s">
        <v>21</v>
      </c>
      <c r="S178">
        <f t="shared" si="14"/>
        <v>1635</v>
      </c>
    </row>
    <row r="179" spans="1:19" x14ac:dyDescent="0.3">
      <c r="A179" t="s">
        <v>213</v>
      </c>
      <c r="B179" s="13">
        <v>45816</v>
      </c>
      <c r="C179" s="25">
        <f t="shared" si="11"/>
        <v>45809</v>
      </c>
      <c r="D179" t="s">
        <v>24</v>
      </c>
      <c r="E179" t="s">
        <v>59</v>
      </c>
      <c r="F179" t="s">
        <v>43</v>
      </c>
      <c r="G179" t="s">
        <v>40</v>
      </c>
      <c r="H179" t="s">
        <v>37</v>
      </c>
      <c r="I179">
        <v>1065</v>
      </c>
      <c r="J179">
        <v>1067</v>
      </c>
      <c r="K179">
        <v>28</v>
      </c>
      <c r="L179">
        <f t="shared" si="12"/>
        <v>1039</v>
      </c>
      <c r="M179">
        <v>12.5</v>
      </c>
      <c r="N179">
        <v>8.1999999999999993</v>
      </c>
      <c r="O179" s="8">
        <v>53.32</v>
      </c>
      <c r="P179" s="10">
        <f t="shared" si="10"/>
        <v>56892.44</v>
      </c>
      <c r="Q179" s="8">
        <f t="shared" si="13"/>
        <v>1492.96</v>
      </c>
      <c r="R179" t="s">
        <v>21</v>
      </c>
      <c r="S179">
        <f t="shared" si="14"/>
        <v>1067</v>
      </c>
    </row>
    <row r="180" spans="1:19" x14ac:dyDescent="0.3">
      <c r="A180" t="s">
        <v>497</v>
      </c>
      <c r="B180" s="13">
        <v>45873</v>
      </c>
      <c r="C180" s="25">
        <f t="shared" si="11"/>
        <v>45870</v>
      </c>
      <c r="D180" t="s">
        <v>24</v>
      </c>
      <c r="E180" t="s">
        <v>59</v>
      </c>
      <c r="F180" t="s">
        <v>33</v>
      </c>
      <c r="G180" t="s">
        <v>40</v>
      </c>
      <c r="H180" t="s">
        <v>69</v>
      </c>
      <c r="I180">
        <v>844</v>
      </c>
      <c r="J180">
        <v>743</v>
      </c>
      <c r="K180">
        <v>22</v>
      </c>
      <c r="L180">
        <f t="shared" si="12"/>
        <v>721</v>
      </c>
      <c r="M180">
        <v>35.9</v>
      </c>
      <c r="N180">
        <v>7.1</v>
      </c>
      <c r="O180" s="8">
        <v>53.49</v>
      </c>
      <c r="P180" s="10">
        <f t="shared" si="10"/>
        <v>39743.07</v>
      </c>
      <c r="Q180" s="8">
        <f t="shared" si="13"/>
        <v>1176.78</v>
      </c>
      <c r="R180" t="s">
        <v>21</v>
      </c>
      <c r="S180">
        <f t="shared" si="14"/>
        <v>743</v>
      </c>
    </row>
    <row r="181" spans="1:19" x14ac:dyDescent="0.3">
      <c r="A181" t="s">
        <v>655</v>
      </c>
      <c r="B181" s="13">
        <v>46003</v>
      </c>
      <c r="C181" s="25">
        <f t="shared" si="11"/>
        <v>45992</v>
      </c>
      <c r="D181" t="s">
        <v>32</v>
      </c>
      <c r="E181" t="s">
        <v>17</v>
      </c>
      <c r="F181" t="s">
        <v>43</v>
      </c>
      <c r="G181" t="s">
        <v>40</v>
      </c>
      <c r="H181" t="s">
        <v>28</v>
      </c>
      <c r="I181">
        <v>1694</v>
      </c>
      <c r="J181">
        <v>1597</v>
      </c>
      <c r="K181">
        <v>6</v>
      </c>
      <c r="L181">
        <f t="shared" si="12"/>
        <v>1591</v>
      </c>
      <c r="M181">
        <v>56.6</v>
      </c>
      <c r="N181">
        <v>7.4</v>
      </c>
      <c r="O181" s="8">
        <v>53.88</v>
      </c>
      <c r="P181" s="10">
        <f t="shared" si="10"/>
        <v>86046.36</v>
      </c>
      <c r="Q181" s="8">
        <f t="shared" si="13"/>
        <v>323.28000000000003</v>
      </c>
      <c r="R181" t="s">
        <v>29</v>
      </c>
      <c r="S181">
        <f t="shared" si="14"/>
        <v>1597</v>
      </c>
    </row>
    <row r="182" spans="1:19" x14ac:dyDescent="0.3">
      <c r="A182" t="s">
        <v>253</v>
      </c>
      <c r="B182" s="13">
        <v>45842</v>
      </c>
      <c r="C182" s="25">
        <f t="shared" si="11"/>
        <v>45839</v>
      </c>
      <c r="D182" t="s">
        <v>16</v>
      </c>
      <c r="E182" t="s">
        <v>59</v>
      </c>
      <c r="F182" t="s">
        <v>26</v>
      </c>
      <c r="G182" t="s">
        <v>40</v>
      </c>
      <c r="H182" t="s">
        <v>44</v>
      </c>
      <c r="I182">
        <v>1734</v>
      </c>
      <c r="J182">
        <v>1483</v>
      </c>
      <c r="K182">
        <v>17</v>
      </c>
      <c r="L182">
        <f t="shared" si="12"/>
        <v>1466</v>
      </c>
      <c r="M182">
        <v>12</v>
      </c>
      <c r="N182">
        <v>6.3</v>
      </c>
      <c r="O182" s="8">
        <v>54.01</v>
      </c>
      <c r="P182" s="10">
        <f t="shared" si="10"/>
        <v>80096.83</v>
      </c>
      <c r="Q182" s="8">
        <f t="shared" si="13"/>
        <v>918.17</v>
      </c>
      <c r="R182" t="s">
        <v>29</v>
      </c>
      <c r="S182">
        <f t="shared" si="14"/>
        <v>1483</v>
      </c>
    </row>
    <row r="183" spans="1:19" x14ac:dyDescent="0.3">
      <c r="A183" t="s">
        <v>741</v>
      </c>
      <c r="B183" s="13">
        <v>45772</v>
      </c>
      <c r="C183" s="25">
        <f t="shared" si="11"/>
        <v>45748</v>
      </c>
      <c r="D183" t="s">
        <v>16</v>
      </c>
      <c r="E183" t="s">
        <v>17</v>
      </c>
      <c r="F183" t="s">
        <v>26</v>
      </c>
      <c r="G183" t="s">
        <v>27</v>
      </c>
      <c r="H183" t="s">
        <v>82</v>
      </c>
      <c r="I183">
        <v>962</v>
      </c>
      <c r="J183">
        <v>898</v>
      </c>
      <c r="K183">
        <v>6</v>
      </c>
      <c r="L183">
        <f t="shared" si="12"/>
        <v>892</v>
      </c>
      <c r="M183">
        <v>6.9</v>
      </c>
      <c r="N183">
        <v>8.4</v>
      </c>
      <c r="O183" s="8">
        <v>54.18</v>
      </c>
      <c r="P183" s="10">
        <f t="shared" si="10"/>
        <v>48653.64</v>
      </c>
      <c r="Q183" s="8">
        <f t="shared" si="13"/>
        <v>325.08</v>
      </c>
      <c r="R183" t="s">
        <v>29</v>
      </c>
      <c r="S183">
        <f t="shared" si="14"/>
        <v>898</v>
      </c>
    </row>
    <row r="184" spans="1:19" x14ac:dyDescent="0.3">
      <c r="A184" t="s">
        <v>626</v>
      </c>
      <c r="B184" s="13">
        <v>45739</v>
      </c>
      <c r="C184" s="25">
        <f t="shared" si="11"/>
        <v>45717</v>
      </c>
      <c r="D184" t="s">
        <v>16</v>
      </c>
      <c r="E184" t="s">
        <v>17</v>
      </c>
      <c r="F184" t="s">
        <v>26</v>
      </c>
      <c r="G184" t="s">
        <v>27</v>
      </c>
      <c r="H184" t="s">
        <v>72</v>
      </c>
      <c r="I184">
        <v>1464</v>
      </c>
      <c r="J184">
        <v>1305</v>
      </c>
      <c r="K184">
        <v>10</v>
      </c>
      <c r="L184">
        <f t="shared" si="12"/>
        <v>1295</v>
      </c>
      <c r="M184">
        <v>17.3</v>
      </c>
      <c r="N184">
        <v>7.5</v>
      </c>
      <c r="O184" s="8">
        <v>54.23</v>
      </c>
      <c r="P184" s="10">
        <f t="shared" si="10"/>
        <v>70770.149999999994</v>
      </c>
      <c r="Q184" s="8">
        <f t="shared" si="13"/>
        <v>542.29999999999995</v>
      </c>
      <c r="R184" t="s">
        <v>29</v>
      </c>
      <c r="S184">
        <f t="shared" si="14"/>
        <v>1305</v>
      </c>
    </row>
    <row r="185" spans="1:19" x14ac:dyDescent="0.3">
      <c r="A185" t="s">
        <v>342</v>
      </c>
      <c r="B185" s="13">
        <v>45780</v>
      </c>
      <c r="C185" s="25">
        <f t="shared" si="11"/>
        <v>45778</v>
      </c>
      <c r="D185" t="s">
        <v>32</v>
      </c>
      <c r="E185" t="s">
        <v>17</v>
      </c>
      <c r="F185" t="s">
        <v>33</v>
      </c>
      <c r="G185" t="s">
        <v>27</v>
      </c>
      <c r="H185" t="s">
        <v>37</v>
      </c>
      <c r="I185">
        <v>1479</v>
      </c>
      <c r="J185">
        <v>1363</v>
      </c>
      <c r="K185">
        <v>17</v>
      </c>
      <c r="L185">
        <f t="shared" si="12"/>
        <v>1346</v>
      </c>
      <c r="M185">
        <v>63.4</v>
      </c>
      <c r="N185">
        <v>6.5</v>
      </c>
      <c r="O185" s="8">
        <v>54.33</v>
      </c>
      <c r="P185" s="10">
        <f t="shared" si="10"/>
        <v>74051.789999999994</v>
      </c>
      <c r="Q185" s="8">
        <f t="shared" si="13"/>
        <v>923.61</v>
      </c>
      <c r="R185" t="s">
        <v>29</v>
      </c>
      <c r="S185">
        <f t="shared" si="14"/>
        <v>1363</v>
      </c>
    </row>
    <row r="186" spans="1:19" x14ac:dyDescent="0.3">
      <c r="A186" t="s">
        <v>549</v>
      </c>
      <c r="B186" s="13">
        <v>45768</v>
      </c>
      <c r="C186" s="25">
        <f t="shared" si="11"/>
        <v>45748</v>
      </c>
      <c r="D186" t="s">
        <v>24</v>
      </c>
      <c r="E186" t="s">
        <v>59</v>
      </c>
      <c r="F186" t="s">
        <v>33</v>
      </c>
      <c r="G186" t="s">
        <v>40</v>
      </c>
      <c r="H186" t="s">
        <v>72</v>
      </c>
      <c r="I186">
        <v>1397</v>
      </c>
      <c r="J186">
        <v>1009</v>
      </c>
      <c r="K186">
        <v>8</v>
      </c>
      <c r="L186">
        <f t="shared" si="12"/>
        <v>1001</v>
      </c>
      <c r="M186">
        <v>15.5</v>
      </c>
      <c r="N186">
        <v>6.9</v>
      </c>
      <c r="O186" s="8">
        <v>54.51</v>
      </c>
      <c r="P186" s="10">
        <f t="shared" si="10"/>
        <v>55000.59</v>
      </c>
      <c r="Q186" s="8">
        <f t="shared" si="13"/>
        <v>436.08</v>
      </c>
      <c r="R186" t="s">
        <v>29</v>
      </c>
      <c r="S186">
        <f t="shared" si="14"/>
        <v>1009</v>
      </c>
    </row>
    <row r="187" spans="1:19" x14ac:dyDescent="0.3">
      <c r="A187" t="s">
        <v>544</v>
      </c>
      <c r="B187" s="13">
        <v>45661</v>
      </c>
      <c r="C187" s="25">
        <f t="shared" si="11"/>
        <v>45658</v>
      </c>
      <c r="D187" t="s">
        <v>16</v>
      </c>
      <c r="E187" t="s">
        <v>62</v>
      </c>
      <c r="F187" t="s">
        <v>49</v>
      </c>
      <c r="G187" t="s">
        <v>19</v>
      </c>
      <c r="H187" t="s">
        <v>20</v>
      </c>
      <c r="I187">
        <v>1475</v>
      </c>
      <c r="J187">
        <v>1279</v>
      </c>
      <c r="K187">
        <v>35</v>
      </c>
      <c r="L187">
        <f t="shared" si="12"/>
        <v>1244</v>
      </c>
      <c r="M187">
        <v>11.7</v>
      </c>
      <c r="N187">
        <v>6.5</v>
      </c>
      <c r="O187" s="8">
        <v>55.12</v>
      </c>
      <c r="P187" s="10">
        <f t="shared" si="10"/>
        <v>70498.48</v>
      </c>
      <c r="Q187" s="8">
        <f t="shared" si="13"/>
        <v>1929.1999999999998</v>
      </c>
      <c r="R187" t="s">
        <v>21</v>
      </c>
      <c r="S187">
        <f t="shared" si="14"/>
        <v>1279</v>
      </c>
    </row>
    <row r="188" spans="1:19" x14ac:dyDescent="0.3">
      <c r="A188" t="s">
        <v>806</v>
      </c>
      <c r="B188" s="13">
        <v>45813</v>
      </c>
      <c r="C188" s="25">
        <f t="shared" si="11"/>
        <v>45809</v>
      </c>
      <c r="D188" t="s">
        <v>16</v>
      </c>
      <c r="E188" t="s">
        <v>59</v>
      </c>
      <c r="F188" t="s">
        <v>33</v>
      </c>
      <c r="G188" t="s">
        <v>19</v>
      </c>
      <c r="H188" t="s">
        <v>28</v>
      </c>
      <c r="I188">
        <v>982</v>
      </c>
      <c r="J188">
        <v>1005</v>
      </c>
      <c r="K188">
        <v>18</v>
      </c>
      <c r="L188">
        <f t="shared" si="12"/>
        <v>987</v>
      </c>
      <c r="M188">
        <v>9.8000000000000007</v>
      </c>
      <c r="N188">
        <v>7.9</v>
      </c>
      <c r="O188" s="8">
        <v>55.16</v>
      </c>
      <c r="P188" s="10">
        <f t="shared" si="10"/>
        <v>55435.799999999996</v>
      </c>
      <c r="Q188" s="8">
        <f t="shared" si="13"/>
        <v>992.87999999999988</v>
      </c>
      <c r="R188" t="s">
        <v>29</v>
      </c>
      <c r="S188">
        <f t="shared" si="14"/>
        <v>1005</v>
      </c>
    </row>
    <row r="189" spans="1:19" x14ac:dyDescent="0.3">
      <c r="A189" t="s">
        <v>192</v>
      </c>
      <c r="B189" s="13">
        <v>45902</v>
      </c>
      <c r="C189" s="25">
        <f t="shared" si="11"/>
        <v>45901</v>
      </c>
      <c r="D189" t="s">
        <v>32</v>
      </c>
      <c r="E189" t="s">
        <v>36</v>
      </c>
      <c r="F189" t="s">
        <v>18</v>
      </c>
      <c r="G189" t="s">
        <v>40</v>
      </c>
      <c r="H189" t="s">
        <v>44</v>
      </c>
      <c r="I189">
        <v>704</v>
      </c>
      <c r="J189">
        <v>661</v>
      </c>
      <c r="K189">
        <v>3</v>
      </c>
      <c r="L189">
        <f t="shared" si="12"/>
        <v>658</v>
      </c>
      <c r="M189">
        <v>11.2</v>
      </c>
      <c r="N189">
        <v>7.5</v>
      </c>
      <c r="O189" s="8">
        <v>55.43</v>
      </c>
      <c r="P189" s="10">
        <f t="shared" si="10"/>
        <v>36639.230000000003</v>
      </c>
      <c r="Q189" s="8">
        <f t="shared" si="13"/>
        <v>166.29</v>
      </c>
      <c r="R189" t="s">
        <v>29</v>
      </c>
      <c r="S189">
        <f t="shared" si="14"/>
        <v>661</v>
      </c>
    </row>
    <row r="190" spans="1:19" x14ac:dyDescent="0.3">
      <c r="A190" t="s">
        <v>216</v>
      </c>
      <c r="B190" s="13">
        <v>45965</v>
      </c>
      <c r="C190" s="25">
        <f t="shared" si="11"/>
        <v>45962</v>
      </c>
      <c r="D190" t="s">
        <v>32</v>
      </c>
      <c r="E190" t="s">
        <v>25</v>
      </c>
      <c r="F190" t="s">
        <v>49</v>
      </c>
      <c r="G190" t="s">
        <v>27</v>
      </c>
      <c r="H190" t="s">
        <v>72</v>
      </c>
      <c r="I190">
        <v>709</v>
      </c>
      <c r="J190">
        <v>731</v>
      </c>
      <c r="K190">
        <v>4</v>
      </c>
      <c r="L190">
        <f t="shared" si="12"/>
        <v>727</v>
      </c>
      <c r="M190">
        <v>34</v>
      </c>
      <c r="N190">
        <v>6.6</v>
      </c>
      <c r="O190" s="8">
        <v>55.44</v>
      </c>
      <c r="P190" s="10">
        <f t="shared" si="10"/>
        <v>40526.639999999999</v>
      </c>
      <c r="Q190" s="8">
        <f t="shared" si="13"/>
        <v>221.76</v>
      </c>
      <c r="R190" t="s">
        <v>29</v>
      </c>
      <c r="S190">
        <f t="shared" si="14"/>
        <v>731</v>
      </c>
    </row>
    <row r="191" spans="1:19" x14ac:dyDescent="0.3">
      <c r="A191" t="s">
        <v>907</v>
      </c>
      <c r="B191" s="13">
        <v>45849</v>
      </c>
      <c r="C191" s="25">
        <f t="shared" si="11"/>
        <v>45839</v>
      </c>
      <c r="D191" t="s">
        <v>32</v>
      </c>
      <c r="E191" t="s">
        <v>17</v>
      </c>
      <c r="F191" t="s">
        <v>26</v>
      </c>
      <c r="G191" t="s">
        <v>40</v>
      </c>
      <c r="H191" t="s">
        <v>69</v>
      </c>
      <c r="I191">
        <v>780</v>
      </c>
      <c r="J191">
        <v>818</v>
      </c>
      <c r="K191">
        <v>20</v>
      </c>
      <c r="L191">
        <f t="shared" si="12"/>
        <v>798</v>
      </c>
      <c r="M191">
        <v>40.1</v>
      </c>
      <c r="N191">
        <v>8.3000000000000007</v>
      </c>
      <c r="O191" s="8">
        <v>55.47</v>
      </c>
      <c r="P191" s="10">
        <f t="shared" si="10"/>
        <v>45374.46</v>
      </c>
      <c r="Q191" s="8">
        <f t="shared" si="13"/>
        <v>1109.4000000000001</v>
      </c>
      <c r="R191" t="s">
        <v>21</v>
      </c>
      <c r="S191">
        <f t="shared" si="14"/>
        <v>818</v>
      </c>
    </row>
    <row r="192" spans="1:19" x14ac:dyDescent="0.3">
      <c r="A192" t="s">
        <v>879</v>
      </c>
      <c r="B192" s="13">
        <v>46017</v>
      </c>
      <c r="C192" s="25">
        <f t="shared" si="11"/>
        <v>45992</v>
      </c>
      <c r="D192" t="s">
        <v>24</v>
      </c>
      <c r="E192" t="s">
        <v>36</v>
      </c>
      <c r="F192" t="s">
        <v>49</v>
      </c>
      <c r="G192" t="s">
        <v>27</v>
      </c>
      <c r="H192" t="s">
        <v>75</v>
      </c>
      <c r="I192">
        <v>1056</v>
      </c>
      <c r="J192">
        <v>976</v>
      </c>
      <c r="K192">
        <v>5</v>
      </c>
      <c r="L192">
        <f t="shared" si="12"/>
        <v>971</v>
      </c>
      <c r="M192">
        <v>34.799999999999997</v>
      </c>
      <c r="N192">
        <v>8.1999999999999993</v>
      </c>
      <c r="O192" s="8">
        <v>55.51</v>
      </c>
      <c r="P192" s="10">
        <f t="shared" si="10"/>
        <v>54177.759999999995</v>
      </c>
      <c r="Q192" s="8">
        <f t="shared" si="13"/>
        <v>277.55</v>
      </c>
      <c r="R192" t="s">
        <v>29</v>
      </c>
      <c r="S192">
        <f t="shared" si="14"/>
        <v>976</v>
      </c>
    </row>
    <row r="193" spans="1:19" x14ac:dyDescent="0.3">
      <c r="A193" t="s">
        <v>157</v>
      </c>
      <c r="B193" s="13">
        <v>45994</v>
      </c>
      <c r="C193" s="25">
        <f t="shared" si="11"/>
        <v>45992</v>
      </c>
      <c r="D193" t="s">
        <v>16</v>
      </c>
      <c r="E193" t="s">
        <v>36</v>
      </c>
      <c r="F193" t="s">
        <v>33</v>
      </c>
      <c r="G193" t="s">
        <v>27</v>
      </c>
      <c r="H193" t="s">
        <v>37</v>
      </c>
      <c r="I193">
        <v>1317</v>
      </c>
      <c r="J193">
        <v>1327</v>
      </c>
      <c r="K193">
        <v>29</v>
      </c>
      <c r="L193">
        <f t="shared" si="12"/>
        <v>1298</v>
      </c>
      <c r="M193">
        <v>20.2</v>
      </c>
      <c r="N193">
        <v>7.6</v>
      </c>
      <c r="O193" s="8">
        <v>56.02</v>
      </c>
      <c r="P193" s="10">
        <f t="shared" si="10"/>
        <v>74338.540000000008</v>
      </c>
      <c r="Q193" s="8">
        <f t="shared" si="13"/>
        <v>1624.5800000000002</v>
      </c>
      <c r="R193" t="s">
        <v>21</v>
      </c>
      <c r="S193">
        <f t="shared" si="14"/>
        <v>1327</v>
      </c>
    </row>
    <row r="194" spans="1:19" x14ac:dyDescent="0.3">
      <c r="A194" t="s">
        <v>742</v>
      </c>
      <c r="B194" s="13">
        <v>46006</v>
      </c>
      <c r="C194" s="25">
        <f t="shared" si="11"/>
        <v>45992</v>
      </c>
      <c r="D194" t="s">
        <v>32</v>
      </c>
      <c r="E194" t="s">
        <v>17</v>
      </c>
      <c r="F194" t="s">
        <v>26</v>
      </c>
      <c r="G194" t="s">
        <v>27</v>
      </c>
      <c r="H194" t="s">
        <v>20</v>
      </c>
      <c r="I194">
        <v>823</v>
      </c>
      <c r="J194">
        <v>845</v>
      </c>
      <c r="K194">
        <v>17</v>
      </c>
      <c r="L194">
        <f t="shared" si="12"/>
        <v>828</v>
      </c>
      <c r="M194">
        <v>18</v>
      </c>
      <c r="N194">
        <v>8.3000000000000007</v>
      </c>
      <c r="O194" s="8">
        <v>56.09</v>
      </c>
      <c r="P194" s="10">
        <f t="shared" ref="P194:P257" si="15">J194*O194</f>
        <v>47396.05</v>
      </c>
      <c r="Q194" s="8">
        <f t="shared" si="13"/>
        <v>953.53000000000009</v>
      </c>
      <c r="R194" t="s">
        <v>21</v>
      </c>
      <c r="S194">
        <f t="shared" si="14"/>
        <v>845</v>
      </c>
    </row>
    <row r="195" spans="1:19" x14ac:dyDescent="0.3">
      <c r="A195" t="s">
        <v>89</v>
      </c>
      <c r="B195" s="13">
        <v>45943</v>
      </c>
      <c r="C195" s="25">
        <f t="shared" ref="C195:C258" si="16">DATE(YEAR(B195), MONTH(B195), 1 )</f>
        <v>45931</v>
      </c>
      <c r="D195" t="s">
        <v>24</v>
      </c>
      <c r="E195" t="s">
        <v>25</v>
      </c>
      <c r="F195" t="s">
        <v>43</v>
      </c>
      <c r="G195" t="s">
        <v>40</v>
      </c>
      <c r="H195" t="s">
        <v>75</v>
      </c>
      <c r="I195">
        <v>1351</v>
      </c>
      <c r="J195">
        <v>1354</v>
      </c>
      <c r="K195">
        <v>10</v>
      </c>
      <c r="L195">
        <f t="shared" ref="L195:L258" si="17">J195 -K195</f>
        <v>1344</v>
      </c>
      <c r="M195">
        <v>27.5</v>
      </c>
      <c r="N195">
        <v>8.4</v>
      </c>
      <c r="O195" s="8">
        <v>56.27</v>
      </c>
      <c r="P195" s="10">
        <f t="shared" si="15"/>
        <v>76189.58</v>
      </c>
      <c r="Q195" s="8">
        <f t="shared" ref="Q195:Q258" si="18">K195*O195</f>
        <v>562.70000000000005</v>
      </c>
      <c r="R195" t="s">
        <v>29</v>
      </c>
      <c r="S195">
        <f t="shared" ref="S195:S258" si="19">L195  + K195</f>
        <v>1354</v>
      </c>
    </row>
    <row r="196" spans="1:19" x14ac:dyDescent="0.3">
      <c r="A196" t="s">
        <v>329</v>
      </c>
      <c r="B196" s="13">
        <v>46021</v>
      </c>
      <c r="C196" s="25">
        <f t="shared" si="16"/>
        <v>45992</v>
      </c>
      <c r="D196" t="s">
        <v>24</v>
      </c>
      <c r="E196" t="s">
        <v>62</v>
      </c>
      <c r="F196" t="s">
        <v>26</v>
      </c>
      <c r="G196" t="s">
        <v>19</v>
      </c>
      <c r="H196" t="s">
        <v>37</v>
      </c>
      <c r="I196">
        <v>1729</v>
      </c>
      <c r="J196">
        <v>1599</v>
      </c>
      <c r="K196">
        <v>47</v>
      </c>
      <c r="L196">
        <f t="shared" si="17"/>
        <v>1552</v>
      </c>
      <c r="M196">
        <v>9.9</v>
      </c>
      <c r="N196">
        <v>6.7</v>
      </c>
      <c r="O196" s="8">
        <v>56.58</v>
      </c>
      <c r="P196" s="10">
        <f t="shared" si="15"/>
        <v>90471.42</v>
      </c>
      <c r="Q196" s="8">
        <f t="shared" si="18"/>
        <v>2659.2599999999998</v>
      </c>
      <c r="R196" t="s">
        <v>21</v>
      </c>
      <c r="S196">
        <f t="shared" si="19"/>
        <v>1599</v>
      </c>
    </row>
    <row r="197" spans="1:19" x14ac:dyDescent="0.3">
      <c r="A197" t="s">
        <v>783</v>
      </c>
      <c r="B197" s="13">
        <v>45960</v>
      </c>
      <c r="C197" s="25">
        <f t="shared" si="16"/>
        <v>45931</v>
      </c>
      <c r="D197" t="s">
        <v>24</v>
      </c>
      <c r="E197" t="s">
        <v>25</v>
      </c>
      <c r="F197" t="s">
        <v>18</v>
      </c>
      <c r="G197" t="s">
        <v>19</v>
      </c>
      <c r="H197" t="s">
        <v>20</v>
      </c>
      <c r="I197">
        <v>1732</v>
      </c>
      <c r="J197">
        <v>1736</v>
      </c>
      <c r="K197">
        <v>39</v>
      </c>
      <c r="L197">
        <f t="shared" si="17"/>
        <v>1697</v>
      </c>
      <c r="M197">
        <v>31.6</v>
      </c>
      <c r="N197">
        <v>6.8</v>
      </c>
      <c r="O197" s="8">
        <v>57.42</v>
      </c>
      <c r="P197" s="10">
        <f t="shared" si="15"/>
        <v>99681.12000000001</v>
      </c>
      <c r="Q197" s="8">
        <f t="shared" si="18"/>
        <v>2239.38</v>
      </c>
      <c r="R197" t="s">
        <v>21</v>
      </c>
      <c r="S197">
        <f t="shared" si="19"/>
        <v>1736</v>
      </c>
    </row>
    <row r="198" spans="1:19" x14ac:dyDescent="0.3">
      <c r="A198" t="s">
        <v>374</v>
      </c>
      <c r="B198" s="13">
        <v>45907</v>
      </c>
      <c r="C198" s="25">
        <f t="shared" si="16"/>
        <v>45901</v>
      </c>
      <c r="D198" t="s">
        <v>32</v>
      </c>
      <c r="E198" t="s">
        <v>62</v>
      </c>
      <c r="F198" t="s">
        <v>33</v>
      </c>
      <c r="G198" t="s">
        <v>19</v>
      </c>
      <c r="H198" t="s">
        <v>20</v>
      </c>
      <c r="I198">
        <v>1073</v>
      </c>
      <c r="J198">
        <v>1065</v>
      </c>
      <c r="K198">
        <v>11</v>
      </c>
      <c r="L198">
        <f t="shared" si="17"/>
        <v>1054</v>
      </c>
      <c r="M198">
        <v>26.9</v>
      </c>
      <c r="N198">
        <v>7.9</v>
      </c>
      <c r="O198" s="8">
        <v>57.86</v>
      </c>
      <c r="P198" s="10">
        <f t="shared" si="15"/>
        <v>61620.9</v>
      </c>
      <c r="Q198" s="8">
        <f t="shared" si="18"/>
        <v>636.46</v>
      </c>
      <c r="R198" t="s">
        <v>29</v>
      </c>
      <c r="S198">
        <f t="shared" si="19"/>
        <v>1065</v>
      </c>
    </row>
    <row r="199" spans="1:19" x14ac:dyDescent="0.3">
      <c r="A199" t="s">
        <v>294</v>
      </c>
      <c r="B199" s="13">
        <v>45817</v>
      </c>
      <c r="C199" s="25">
        <f t="shared" si="16"/>
        <v>45809</v>
      </c>
      <c r="D199" t="s">
        <v>32</v>
      </c>
      <c r="E199" t="s">
        <v>62</v>
      </c>
      <c r="F199" t="s">
        <v>18</v>
      </c>
      <c r="G199" t="s">
        <v>19</v>
      </c>
      <c r="H199" t="s">
        <v>75</v>
      </c>
      <c r="I199">
        <v>729</v>
      </c>
      <c r="J199">
        <v>583</v>
      </c>
      <c r="K199">
        <v>6</v>
      </c>
      <c r="L199">
        <f t="shared" si="17"/>
        <v>577</v>
      </c>
      <c r="M199">
        <v>15.9</v>
      </c>
      <c r="N199">
        <v>7.3</v>
      </c>
      <c r="O199" s="8">
        <v>57.97</v>
      </c>
      <c r="P199" s="10">
        <f t="shared" si="15"/>
        <v>33796.51</v>
      </c>
      <c r="Q199" s="8">
        <f t="shared" si="18"/>
        <v>347.82</v>
      </c>
      <c r="R199" t="s">
        <v>29</v>
      </c>
      <c r="S199">
        <f t="shared" si="19"/>
        <v>583</v>
      </c>
    </row>
    <row r="200" spans="1:19" x14ac:dyDescent="0.3">
      <c r="A200" t="s">
        <v>643</v>
      </c>
      <c r="B200" s="13">
        <v>45981</v>
      </c>
      <c r="C200" s="25">
        <f t="shared" si="16"/>
        <v>45962</v>
      </c>
      <c r="D200" t="s">
        <v>24</v>
      </c>
      <c r="E200" t="s">
        <v>17</v>
      </c>
      <c r="F200" t="s">
        <v>49</v>
      </c>
      <c r="G200" t="s">
        <v>40</v>
      </c>
      <c r="H200" t="s">
        <v>69</v>
      </c>
      <c r="I200">
        <v>1260</v>
      </c>
      <c r="J200">
        <v>1272</v>
      </c>
      <c r="K200">
        <v>41</v>
      </c>
      <c r="L200">
        <f t="shared" si="17"/>
        <v>1231</v>
      </c>
      <c r="M200">
        <v>36.299999999999997</v>
      </c>
      <c r="N200">
        <v>6.3</v>
      </c>
      <c r="O200" s="8">
        <v>58.1</v>
      </c>
      <c r="P200" s="10">
        <f t="shared" si="15"/>
        <v>73903.199999999997</v>
      </c>
      <c r="Q200" s="8">
        <f t="shared" si="18"/>
        <v>2382.1</v>
      </c>
      <c r="R200" t="s">
        <v>21</v>
      </c>
      <c r="S200">
        <f t="shared" si="19"/>
        <v>1272</v>
      </c>
    </row>
    <row r="201" spans="1:19" x14ac:dyDescent="0.3">
      <c r="A201" t="s">
        <v>820</v>
      </c>
      <c r="B201" s="13">
        <v>45744</v>
      </c>
      <c r="C201" s="25">
        <f t="shared" si="16"/>
        <v>45717</v>
      </c>
      <c r="D201" t="s">
        <v>16</v>
      </c>
      <c r="E201" t="s">
        <v>17</v>
      </c>
      <c r="F201" t="s">
        <v>43</v>
      </c>
      <c r="G201" t="s">
        <v>40</v>
      </c>
      <c r="H201" t="s">
        <v>44</v>
      </c>
      <c r="I201">
        <v>1598</v>
      </c>
      <c r="J201">
        <v>1801</v>
      </c>
      <c r="K201">
        <v>23</v>
      </c>
      <c r="L201">
        <f t="shared" si="17"/>
        <v>1778</v>
      </c>
      <c r="M201">
        <v>55.4</v>
      </c>
      <c r="N201">
        <v>6.5</v>
      </c>
      <c r="O201" s="8">
        <v>58.34</v>
      </c>
      <c r="P201" s="10">
        <f t="shared" si="15"/>
        <v>105070.34000000001</v>
      </c>
      <c r="Q201" s="8">
        <f t="shared" si="18"/>
        <v>1341.8200000000002</v>
      </c>
      <c r="R201" t="s">
        <v>29</v>
      </c>
      <c r="S201">
        <f t="shared" si="19"/>
        <v>1801</v>
      </c>
    </row>
    <row r="202" spans="1:19" x14ac:dyDescent="0.3">
      <c r="A202" t="s">
        <v>531</v>
      </c>
      <c r="B202" s="13">
        <v>45856</v>
      </c>
      <c r="C202" s="25">
        <f t="shared" si="16"/>
        <v>45839</v>
      </c>
      <c r="D202" t="s">
        <v>16</v>
      </c>
      <c r="E202" t="s">
        <v>17</v>
      </c>
      <c r="F202" t="s">
        <v>18</v>
      </c>
      <c r="G202" t="s">
        <v>19</v>
      </c>
      <c r="H202" t="s">
        <v>44</v>
      </c>
      <c r="I202">
        <v>1347</v>
      </c>
      <c r="J202">
        <v>1042</v>
      </c>
      <c r="K202">
        <v>32</v>
      </c>
      <c r="L202">
        <f t="shared" si="17"/>
        <v>1010</v>
      </c>
      <c r="M202">
        <v>12.3</v>
      </c>
      <c r="N202">
        <v>6.3</v>
      </c>
      <c r="O202" s="8">
        <v>58.66</v>
      </c>
      <c r="P202" s="10">
        <f t="shared" si="15"/>
        <v>61123.719999999994</v>
      </c>
      <c r="Q202" s="8">
        <f t="shared" si="18"/>
        <v>1877.12</v>
      </c>
      <c r="R202" t="s">
        <v>21</v>
      </c>
      <c r="S202">
        <f t="shared" si="19"/>
        <v>1042</v>
      </c>
    </row>
    <row r="203" spans="1:19" x14ac:dyDescent="0.3">
      <c r="A203" t="s">
        <v>356</v>
      </c>
      <c r="B203" s="13">
        <v>45716</v>
      </c>
      <c r="C203" s="25">
        <f t="shared" si="16"/>
        <v>45689</v>
      </c>
      <c r="D203" t="s">
        <v>24</v>
      </c>
      <c r="E203" t="s">
        <v>36</v>
      </c>
      <c r="F203" t="s">
        <v>49</v>
      </c>
      <c r="G203" t="s">
        <v>40</v>
      </c>
      <c r="H203" t="s">
        <v>69</v>
      </c>
      <c r="I203">
        <v>1380</v>
      </c>
      <c r="J203">
        <v>1458</v>
      </c>
      <c r="K203">
        <v>29</v>
      </c>
      <c r="L203">
        <f t="shared" si="17"/>
        <v>1429</v>
      </c>
      <c r="M203">
        <v>33</v>
      </c>
      <c r="N203">
        <v>6.5</v>
      </c>
      <c r="O203" s="8">
        <v>58.73</v>
      </c>
      <c r="P203" s="10">
        <f t="shared" si="15"/>
        <v>85628.34</v>
      </c>
      <c r="Q203" s="8">
        <f t="shared" si="18"/>
        <v>1703.1699999999998</v>
      </c>
      <c r="R203" t="s">
        <v>29</v>
      </c>
      <c r="S203">
        <f t="shared" si="19"/>
        <v>1458</v>
      </c>
    </row>
    <row r="204" spans="1:19" x14ac:dyDescent="0.3">
      <c r="A204" t="s">
        <v>310</v>
      </c>
      <c r="B204" s="13">
        <v>45957</v>
      </c>
      <c r="C204" s="25">
        <f t="shared" si="16"/>
        <v>45931</v>
      </c>
      <c r="D204" t="s">
        <v>16</v>
      </c>
      <c r="E204" t="s">
        <v>25</v>
      </c>
      <c r="F204" t="s">
        <v>33</v>
      </c>
      <c r="G204" t="s">
        <v>19</v>
      </c>
      <c r="H204" t="s">
        <v>75</v>
      </c>
      <c r="I204">
        <v>1284</v>
      </c>
      <c r="J204">
        <v>939</v>
      </c>
      <c r="K204">
        <v>20</v>
      </c>
      <c r="L204">
        <f t="shared" si="17"/>
        <v>919</v>
      </c>
      <c r="M204">
        <v>34.6</v>
      </c>
      <c r="N204">
        <v>6.3</v>
      </c>
      <c r="O204" s="8">
        <v>58.78</v>
      </c>
      <c r="P204" s="10">
        <f t="shared" si="15"/>
        <v>55194.42</v>
      </c>
      <c r="Q204" s="8">
        <f t="shared" si="18"/>
        <v>1175.5999999999999</v>
      </c>
      <c r="R204" t="s">
        <v>21</v>
      </c>
      <c r="S204">
        <f t="shared" si="19"/>
        <v>939</v>
      </c>
    </row>
    <row r="205" spans="1:19" x14ac:dyDescent="0.3">
      <c r="A205" t="s">
        <v>234</v>
      </c>
      <c r="B205" s="13">
        <v>45951</v>
      </c>
      <c r="C205" s="25">
        <f t="shared" si="16"/>
        <v>45931</v>
      </c>
      <c r="D205" t="s">
        <v>24</v>
      </c>
      <c r="E205" t="s">
        <v>17</v>
      </c>
      <c r="F205" t="s">
        <v>26</v>
      </c>
      <c r="G205" t="s">
        <v>19</v>
      </c>
      <c r="H205" t="s">
        <v>20</v>
      </c>
      <c r="I205">
        <v>1110</v>
      </c>
      <c r="J205">
        <v>937</v>
      </c>
      <c r="K205">
        <v>6</v>
      </c>
      <c r="L205">
        <f t="shared" si="17"/>
        <v>931</v>
      </c>
      <c r="M205">
        <v>30</v>
      </c>
      <c r="N205">
        <v>8.3000000000000007</v>
      </c>
      <c r="O205" s="8">
        <v>58.83</v>
      </c>
      <c r="P205" s="10">
        <f t="shared" si="15"/>
        <v>55123.71</v>
      </c>
      <c r="Q205" s="8">
        <f t="shared" si="18"/>
        <v>352.98</v>
      </c>
      <c r="R205" t="s">
        <v>29</v>
      </c>
      <c r="S205">
        <f t="shared" si="19"/>
        <v>937</v>
      </c>
    </row>
    <row r="206" spans="1:19" x14ac:dyDescent="0.3">
      <c r="A206" t="s">
        <v>276</v>
      </c>
      <c r="B206" s="13">
        <v>45867</v>
      </c>
      <c r="C206" s="25">
        <f t="shared" si="16"/>
        <v>45839</v>
      </c>
      <c r="D206" t="s">
        <v>24</v>
      </c>
      <c r="E206" t="s">
        <v>36</v>
      </c>
      <c r="F206" t="s">
        <v>18</v>
      </c>
      <c r="G206" t="s">
        <v>19</v>
      </c>
      <c r="H206" t="s">
        <v>72</v>
      </c>
      <c r="I206">
        <v>1105</v>
      </c>
      <c r="J206">
        <v>939</v>
      </c>
      <c r="K206">
        <v>27</v>
      </c>
      <c r="L206">
        <f t="shared" si="17"/>
        <v>912</v>
      </c>
      <c r="M206">
        <v>54.8</v>
      </c>
      <c r="N206">
        <v>7</v>
      </c>
      <c r="O206" s="8">
        <v>58.84</v>
      </c>
      <c r="P206" s="10">
        <f t="shared" si="15"/>
        <v>55250.76</v>
      </c>
      <c r="Q206" s="8">
        <f t="shared" si="18"/>
        <v>1588.68</v>
      </c>
      <c r="R206" t="s">
        <v>21</v>
      </c>
      <c r="S206">
        <f t="shared" si="19"/>
        <v>939</v>
      </c>
    </row>
    <row r="207" spans="1:19" x14ac:dyDescent="0.3">
      <c r="A207" t="s">
        <v>171</v>
      </c>
      <c r="B207" s="13">
        <v>45685</v>
      </c>
      <c r="C207" s="25">
        <f t="shared" si="16"/>
        <v>45658</v>
      </c>
      <c r="D207" t="s">
        <v>24</v>
      </c>
      <c r="E207" t="s">
        <v>36</v>
      </c>
      <c r="F207" t="s">
        <v>33</v>
      </c>
      <c r="G207" t="s">
        <v>19</v>
      </c>
      <c r="H207" t="s">
        <v>82</v>
      </c>
      <c r="I207">
        <v>1002</v>
      </c>
      <c r="J207">
        <v>805</v>
      </c>
      <c r="K207">
        <v>24</v>
      </c>
      <c r="L207">
        <f t="shared" si="17"/>
        <v>781</v>
      </c>
      <c r="M207">
        <v>54.2</v>
      </c>
      <c r="N207">
        <v>6.7</v>
      </c>
      <c r="O207" s="8">
        <v>58.96</v>
      </c>
      <c r="P207" s="10">
        <f t="shared" si="15"/>
        <v>47462.8</v>
      </c>
      <c r="Q207" s="8">
        <f t="shared" si="18"/>
        <v>1415.04</v>
      </c>
      <c r="R207" t="s">
        <v>21</v>
      </c>
      <c r="S207">
        <f t="shared" si="19"/>
        <v>805</v>
      </c>
    </row>
    <row r="208" spans="1:19" x14ac:dyDescent="0.3">
      <c r="A208" t="s">
        <v>523</v>
      </c>
      <c r="B208" s="13">
        <v>45830</v>
      </c>
      <c r="C208" s="25">
        <f t="shared" si="16"/>
        <v>45809</v>
      </c>
      <c r="D208" t="s">
        <v>32</v>
      </c>
      <c r="E208" t="s">
        <v>62</v>
      </c>
      <c r="F208" t="s">
        <v>18</v>
      </c>
      <c r="G208" t="s">
        <v>27</v>
      </c>
      <c r="H208" t="s">
        <v>75</v>
      </c>
      <c r="I208">
        <v>1493</v>
      </c>
      <c r="J208">
        <v>1542</v>
      </c>
      <c r="K208">
        <v>48</v>
      </c>
      <c r="L208">
        <f t="shared" si="17"/>
        <v>1494</v>
      </c>
      <c r="M208">
        <v>14.6</v>
      </c>
      <c r="N208">
        <v>6.5</v>
      </c>
      <c r="O208" s="8">
        <v>59.05</v>
      </c>
      <c r="P208" s="10">
        <f t="shared" si="15"/>
        <v>91055.099999999991</v>
      </c>
      <c r="Q208" s="8">
        <f t="shared" si="18"/>
        <v>2834.3999999999996</v>
      </c>
      <c r="R208" t="s">
        <v>21</v>
      </c>
      <c r="S208">
        <f t="shared" si="19"/>
        <v>1542</v>
      </c>
    </row>
    <row r="209" spans="1:19" x14ac:dyDescent="0.3">
      <c r="A209" t="s">
        <v>306</v>
      </c>
      <c r="B209" s="13">
        <v>45670</v>
      </c>
      <c r="C209" s="25">
        <f t="shared" si="16"/>
        <v>45658</v>
      </c>
      <c r="D209" t="s">
        <v>16</v>
      </c>
      <c r="E209" t="s">
        <v>17</v>
      </c>
      <c r="F209" t="s">
        <v>43</v>
      </c>
      <c r="G209" t="s">
        <v>40</v>
      </c>
      <c r="H209" t="s">
        <v>72</v>
      </c>
      <c r="I209">
        <v>1759</v>
      </c>
      <c r="J209">
        <v>1915</v>
      </c>
      <c r="K209">
        <v>8</v>
      </c>
      <c r="L209">
        <f t="shared" si="17"/>
        <v>1907</v>
      </c>
      <c r="M209">
        <v>44.5</v>
      </c>
      <c r="N209">
        <v>7</v>
      </c>
      <c r="O209" s="8">
        <v>59.14</v>
      </c>
      <c r="P209" s="10">
        <f t="shared" si="15"/>
        <v>113253.1</v>
      </c>
      <c r="Q209" s="8">
        <f t="shared" si="18"/>
        <v>473.12</v>
      </c>
      <c r="R209" t="s">
        <v>29</v>
      </c>
      <c r="S209">
        <f t="shared" si="19"/>
        <v>1915</v>
      </c>
    </row>
    <row r="210" spans="1:19" x14ac:dyDescent="0.3">
      <c r="A210" t="s">
        <v>682</v>
      </c>
      <c r="B210" s="13">
        <v>45774</v>
      </c>
      <c r="C210" s="25">
        <f t="shared" si="16"/>
        <v>45748</v>
      </c>
      <c r="D210" t="s">
        <v>32</v>
      </c>
      <c r="E210" t="s">
        <v>59</v>
      </c>
      <c r="F210" t="s">
        <v>18</v>
      </c>
      <c r="G210" t="s">
        <v>27</v>
      </c>
      <c r="H210" t="s">
        <v>82</v>
      </c>
      <c r="I210">
        <v>871</v>
      </c>
      <c r="J210">
        <v>720</v>
      </c>
      <c r="K210">
        <v>8</v>
      </c>
      <c r="L210">
        <f t="shared" si="17"/>
        <v>712</v>
      </c>
      <c r="M210">
        <v>20</v>
      </c>
      <c r="N210">
        <v>7</v>
      </c>
      <c r="O210" s="8">
        <v>59.2</v>
      </c>
      <c r="P210" s="10">
        <f t="shared" si="15"/>
        <v>42624</v>
      </c>
      <c r="Q210" s="8">
        <f t="shared" si="18"/>
        <v>473.6</v>
      </c>
      <c r="R210" t="s">
        <v>29</v>
      </c>
      <c r="S210">
        <f t="shared" si="19"/>
        <v>720</v>
      </c>
    </row>
    <row r="211" spans="1:19" x14ac:dyDescent="0.3">
      <c r="A211" t="s">
        <v>777</v>
      </c>
      <c r="B211" s="13">
        <v>45967</v>
      </c>
      <c r="C211" s="25">
        <f t="shared" si="16"/>
        <v>45962</v>
      </c>
      <c r="D211" t="s">
        <v>24</v>
      </c>
      <c r="E211" t="s">
        <v>17</v>
      </c>
      <c r="F211" t="s">
        <v>18</v>
      </c>
      <c r="G211" t="s">
        <v>40</v>
      </c>
      <c r="H211" t="s">
        <v>20</v>
      </c>
      <c r="I211">
        <v>1500</v>
      </c>
      <c r="J211">
        <v>1388</v>
      </c>
      <c r="K211">
        <v>7</v>
      </c>
      <c r="L211">
        <f t="shared" si="17"/>
        <v>1381</v>
      </c>
      <c r="M211">
        <v>0.5</v>
      </c>
      <c r="N211">
        <v>7.4</v>
      </c>
      <c r="O211" s="8">
        <v>59.76</v>
      </c>
      <c r="P211" s="10">
        <f t="shared" si="15"/>
        <v>82946.87999999999</v>
      </c>
      <c r="Q211" s="8">
        <f t="shared" si="18"/>
        <v>418.32</v>
      </c>
      <c r="R211" t="s">
        <v>29</v>
      </c>
      <c r="S211">
        <f t="shared" si="19"/>
        <v>1388</v>
      </c>
    </row>
    <row r="212" spans="1:19" x14ac:dyDescent="0.3">
      <c r="A212" t="s">
        <v>797</v>
      </c>
      <c r="B212" s="13">
        <v>45932</v>
      </c>
      <c r="C212" s="25">
        <f t="shared" si="16"/>
        <v>45931</v>
      </c>
      <c r="D212" t="s">
        <v>32</v>
      </c>
      <c r="E212" t="s">
        <v>62</v>
      </c>
      <c r="F212" t="s">
        <v>49</v>
      </c>
      <c r="G212" t="s">
        <v>40</v>
      </c>
      <c r="H212" t="s">
        <v>75</v>
      </c>
      <c r="I212">
        <v>1594</v>
      </c>
      <c r="J212">
        <v>1379</v>
      </c>
      <c r="K212">
        <v>43</v>
      </c>
      <c r="L212">
        <f t="shared" si="17"/>
        <v>1336</v>
      </c>
      <c r="M212">
        <v>26.6</v>
      </c>
      <c r="N212">
        <v>6.6</v>
      </c>
      <c r="O212" s="8">
        <v>59.91</v>
      </c>
      <c r="P212" s="10">
        <f t="shared" si="15"/>
        <v>82615.89</v>
      </c>
      <c r="Q212" s="8">
        <f t="shared" si="18"/>
        <v>2576.1299999999997</v>
      </c>
      <c r="R212" t="s">
        <v>21</v>
      </c>
      <c r="S212">
        <f t="shared" si="19"/>
        <v>1379</v>
      </c>
    </row>
    <row r="213" spans="1:19" x14ac:dyDescent="0.3">
      <c r="A213" t="s">
        <v>452</v>
      </c>
      <c r="B213" s="13">
        <v>45871</v>
      </c>
      <c r="C213" s="25">
        <f t="shared" si="16"/>
        <v>45870</v>
      </c>
      <c r="D213" t="s">
        <v>24</v>
      </c>
      <c r="E213" t="s">
        <v>17</v>
      </c>
      <c r="F213" t="s">
        <v>33</v>
      </c>
      <c r="G213" t="s">
        <v>27</v>
      </c>
      <c r="H213" t="s">
        <v>20</v>
      </c>
      <c r="I213">
        <v>1785</v>
      </c>
      <c r="J213">
        <v>1816</v>
      </c>
      <c r="K213">
        <v>29</v>
      </c>
      <c r="L213">
        <f t="shared" si="17"/>
        <v>1787</v>
      </c>
      <c r="M213">
        <v>34.700000000000003</v>
      </c>
      <c r="N213">
        <v>7.9</v>
      </c>
      <c r="O213" s="8">
        <v>60.36</v>
      </c>
      <c r="P213" s="10">
        <f t="shared" si="15"/>
        <v>109613.75999999999</v>
      </c>
      <c r="Q213" s="8">
        <f t="shared" si="18"/>
        <v>1750.44</v>
      </c>
      <c r="R213" t="s">
        <v>29</v>
      </c>
      <c r="S213">
        <f t="shared" si="19"/>
        <v>1816</v>
      </c>
    </row>
    <row r="214" spans="1:19" x14ac:dyDescent="0.3">
      <c r="A214" t="s">
        <v>508</v>
      </c>
      <c r="B214" s="13">
        <v>45943</v>
      </c>
      <c r="C214" s="25">
        <f t="shared" si="16"/>
        <v>45931</v>
      </c>
      <c r="D214" t="s">
        <v>24</v>
      </c>
      <c r="E214" t="s">
        <v>17</v>
      </c>
      <c r="F214" t="s">
        <v>49</v>
      </c>
      <c r="G214" t="s">
        <v>40</v>
      </c>
      <c r="H214" t="s">
        <v>28</v>
      </c>
      <c r="I214">
        <v>1375</v>
      </c>
      <c r="J214">
        <v>1284</v>
      </c>
      <c r="K214">
        <v>19</v>
      </c>
      <c r="L214">
        <f t="shared" si="17"/>
        <v>1265</v>
      </c>
      <c r="M214">
        <v>33.799999999999997</v>
      </c>
      <c r="N214">
        <v>7</v>
      </c>
      <c r="O214" s="8">
        <v>61.05</v>
      </c>
      <c r="P214" s="10">
        <f t="shared" si="15"/>
        <v>78388.2</v>
      </c>
      <c r="Q214" s="8">
        <f t="shared" si="18"/>
        <v>1159.95</v>
      </c>
      <c r="R214" t="s">
        <v>29</v>
      </c>
      <c r="S214">
        <f t="shared" si="19"/>
        <v>1284</v>
      </c>
    </row>
    <row r="215" spans="1:19" x14ac:dyDescent="0.3">
      <c r="A215" t="s">
        <v>542</v>
      </c>
      <c r="B215" s="13">
        <v>45959</v>
      </c>
      <c r="C215" s="25">
        <f t="shared" si="16"/>
        <v>45931</v>
      </c>
      <c r="D215" t="s">
        <v>16</v>
      </c>
      <c r="E215" t="s">
        <v>17</v>
      </c>
      <c r="F215" t="s">
        <v>43</v>
      </c>
      <c r="G215" t="s">
        <v>19</v>
      </c>
      <c r="H215" t="s">
        <v>69</v>
      </c>
      <c r="I215">
        <v>1392</v>
      </c>
      <c r="J215">
        <v>1416</v>
      </c>
      <c r="K215">
        <v>23</v>
      </c>
      <c r="L215">
        <f t="shared" si="17"/>
        <v>1393</v>
      </c>
      <c r="M215">
        <v>132.6</v>
      </c>
      <c r="N215">
        <v>6.5</v>
      </c>
      <c r="O215" s="8">
        <v>61.06</v>
      </c>
      <c r="P215" s="10">
        <f t="shared" si="15"/>
        <v>86460.96</v>
      </c>
      <c r="Q215" s="8">
        <f t="shared" si="18"/>
        <v>1404.38</v>
      </c>
      <c r="R215" t="s">
        <v>29</v>
      </c>
      <c r="S215">
        <f t="shared" si="19"/>
        <v>1416</v>
      </c>
    </row>
    <row r="216" spans="1:19" x14ac:dyDescent="0.3">
      <c r="A216" t="s">
        <v>529</v>
      </c>
      <c r="B216" s="13">
        <v>45779</v>
      </c>
      <c r="C216" s="25">
        <f t="shared" si="16"/>
        <v>45778</v>
      </c>
      <c r="D216" t="s">
        <v>16</v>
      </c>
      <c r="E216" t="s">
        <v>62</v>
      </c>
      <c r="F216" t="s">
        <v>18</v>
      </c>
      <c r="G216" t="s">
        <v>27</v>
      </c>
      <c r="H216" t="s">
        <v>37</v>
      </c>
      <c r="I216">
        <v>1743</v>
      </c>
      <c r="J216">
        <v>1682</v>
      </c>
      <c r="K216">
        <v>7</v>
      </c>
      <c r="L216">
        <f t="shared" si="17"/>
        <v>1675</v>
      </c>
      <c r="M216">
        <v>46.9</v>
      </c>
      <c r="N216">
        <v>7.6</v>
      </c>
      <c r="O216" s="8">
        <v>61.06</v>
      </c>
      <c r="P216" s="10">
        <f t="shared" si="15"/>
        <v>102702.92</v>
      </c>
      <c r="Q216" s="8">
        <f t="shared" si="18"/>
        <v>427.42</v>
      </c>
      <c r="R216" t="s">
        <v>29</v>
      </c>
      <c r="S216">
        <f t="shared" si="19"/>
        <v>1682</v>
      </c>
    </row>
    <row r="217" spans="1:19" x14ac:dyDescent="0.3">
      <c r="A217" t="s">
        <v>475</v>
      </c>
      <c r="B217" s="13">
        <v>45695</v>
      </c>
      <c r="C217" s="25">
        <f t="shared" si="16"/>
        <v>45689</v>
      </c>
      <c r="D217" t="s">
        <v>16</v>
      </c>
      <c r="E217" t="s">
        <v>25</v>
      </c>
      <c r="F217" t="s">
        <v>26</v>
      </c>
      <c r="G217" t="s">
        <v>19</v>
      </c>
      <c r="H217" t="s">
        <v>37</v>
      </c>
      <c r="I217">
        <v>1646</v>
      </c>
      <c r="J217">
        <v>1378</v>
      </c>
      <c r="K217">
        <v>8</v>
      </c>
      <c r="L217">
        <f t="shared" si="17"/>
        <v>1370</v>
      </c>
      <c r="M217">
        <v>2.1</v>
      </c>
      <c r="N217">
        <v>7.7</v>
      </c>
      <c r="O217" s="8">
        <v>61.15</v>
      </c>
      <c r="P217" s="10">
        <f t="shared" si="15"/>
        <v>84264.7</v>
      </c>
      <c r="Q217" s="8">
        <f t="shared" si="18"/>
        <v>489.2</v>
      </c>
      <c r="R217" t="s">
        <v>29</v>
      </c>
      <c r="S217">
        <f t="shared" si="19"/>
        <v>1378</v>
      </c>
    </row>
    <row r="218" spans="1:19" x14ac:dyDescent="0.3">
      <c r="A218" t="s">
        <v>148</v>
      </c>
      <c r="B218" s="13">
        <v>45673</v>
      </c>
      <c r="C218" s="25">
        <f t="shared" si="16"/>
        <v>45658</v>
      </c>
      <c r="D218" t="s">
        <v>16</v>
      </c>
      <c r="E218" t="s">
        <v>17</v>
      </c>
      <c r="F218" t="s">
        <v>26</v>
      </c>
      <c r="G218" t="s">
        <v>19</v>
      </c>
      <c r="H218" t="s">
        <v>37</v>
      </c>
      <c r="I218">
        <v>1439</v>
      </c>
      <c r="J218">
        <v>1336</v>
      </c>
      <c r="K218">
        <v>12</v>
      </c>
      <c r="L218">
        <f t="shared" si="17"/>
        <v>1324</v>
      </c>
      <c r="M218">
        <v>25.2</v>
      </c>
      <c r="N218">
        <v>6.2</v>
      </c>
      <c r="O218" s="8">
        <v>61.42</v>
      </c>
      <c r="P218" s="10">
        <f t="shared" si="15"/>
        <v>82057.119999999995</v>
      </c>
      <c r="Q218" s="8">
        <f t="shared" si="18"/>
        <v>737.04</v>
      </c>
      <c r="R218" t="s">
        <v>29</v>
      </c>
      <c r="S218">
        <f t="shared" si="19"/>
        <v>1336</v>
      </c>
    </row>
    <row r="219" spans="1:19" x14ac:dyDescent="0.3">
      <c r="A219" t="s">
        <v>877</v>
      </c>
      <c r="B219" s="13">
        <v>45960</v>
      </c>
      <c r="C219" s="25">
        <f t="shared" si="16"/>
        <v>45931</v>
      </c>
      <c r="D219" t="s">
        <v>24</v>
      </c>
      <c r="E219" t="s">
        <v>25</v>
      </c>
      <c r="F219" t="s">
        <v>26</v>
      </c>
      <c r="G219" t="s">
        <v>27</v>
      </c>
      <c r="H219" t="s">
        <v>72</v>
      </c>
      <c r="I219">
        <v>1417</v>
      </c>
      <c r="J219">
        <v>1164</v>
      </c>
      <c r="K219">
        <v>22</v>
      </c>
      <c r="L219">
        <f t="shared" si="17"/>
        <v>1142</v>
      </c>
      <c r="M219">
        <v>30</v>
      </c>
      <c r="N219">
        <v>6.7</v>
      </c>
      <c r="O219" s="8">
        <v>61.52</v>
      </c>
      <c r="P219" s="10">
        <f t="shared" si="15"/>
        <v>71609.279999999999</v>
      </c>
      <c r="Q219" s="8">
        <f t="shared" si="18"/>
        <v>1353.44</v>
      </c>
      <c r="R219" t="s">
        <v>29</v>
      </c>
      <c r="S219">
        <f t="shared" si="19"/>
        <v>1164</v>
      </c>
    </row>
    <row r="220" spans="1:19" x14ac:dyDescent="0.3">
      <c r="A220" t="s">
        <v>860</v>
      </c>
      <c r="B220" s="13">
        <v>45678</v>
      </c>
      <c r="C220" s="25">
        <f t="shared" si="16"/>
        <v>45658</v>
      </c>
      <c r="D220" t="s">
        <v>32</v>
      </c>
      <c r="E220" t="s">
        <v>36</v>
      </c>
      <c r="F220" t="s">
        <v>43</v>
      </c>
      <c r="G220" t="s">
        <v>19</v>
      </c>
      <c r="H220" t="s">
        <v>20</v>
      </c>
      <c r="I220">
        <v>1005</v>
      </c>
      <c r="J220">
        <v>1040</v>
      </c>
      <c r="K220">
        <v>4</v>
      </c>
      <c r="L220">
        <f t="shared" si="17"/>
        <v>1036</v>
      </c>
      <c r="M220">
        <v>21.9</v>
      </c>
      <c r="N220">
        <v>7.7</v>
      </c>
      <c r="O220" s="8">
        <v>61.65</v>
      </c>
      <c r="P220" s="10">
        <f t="shared" si="15"/>
        <v>64116</v>
      </c>
      <c r="Q220" s="8">
        <f t="shared" si="18"/>
        <v>246.6</v>
      </c>
      <c r="R220" t="s">
        <v>29</v>
      </c>
      <c r="S220">
        <f t="shared" si="19"/>
        <v>1040</v>
      </c>
    </row>
    <row r="221" spans="1:19" x14ac:dyDescent="0.3">
      <c r="A221" t="s">
        <v>315</v>
      </c>
      <c r="B221" s="13">
        <v>45760</v>
      </c>
      <c r="C221" s="25">
        <f t="shared" si="16"/>
        <v>45748</v>
      </c>
      <c r="D221" t="s">
        <v>32</v>
      </c>
      <c r="E221" t="s">
        <v>59</v>
      </c>
      <c r="F221" t="s">
        <v>26</v>
      </c>
      <c r="G221" t="s">
        <v>40</v>
      </c>
      <c r="H221" t="s">
        <v>72</v>
      </c>
      <c r="I221">
        <v>1175</v>
      </c>
      <c r="J221">
        <v>1306</v>
      </c>
      <c r="K221">
        <v>27</v>
      </c>
      <c r="L221">
        <f t="shared" si="17"/>
        <v>1279</v>
      </c>
      <c r="M221">
        <v>15.4</v>
      </c>
      <c r="N221">
        <v>6.8</v>
      </c>
      <c r="O221" s="8">
        <v>61.91</v>
      </c>
      <c r="P221" s="10">
        <f t="shared" si="15"/>
        <v>80854.459999999992</v>
      </c>
      <c r="Q221" s="8">
        <f t="shared" si="18"/>
        <v>1671.57</v>
      </c>
      <c r="R221" t="s">
        <v>21</v>
      </c>
      <c r="S221">
        <f t="shared" si="19"/>
        <v>1306</v>
      </c>
    </row>
    <row r="222" spans="1:19" x14ac:dyDescent="0.3">
      <c r="A222" t="s">
        <v>933</v>
      </c>
      <c r="B222" s="13">
        <v>45775</v>
      </c>
      <c r="C222" s="25">
        <f t="shared" si="16"/>
        <v>45748</v>
      </c>
      <c r="D222" t="s">
        <v>32</v>
      </c>
      <c r="E222" t="s">
        <v>17</v>
      </c>
      <c r="F222" t="s">
        <v>49</v>
      </c>
      <c r="G222" t="s">
        <v>40</v>
      </c>
      <c r="H222" t="s">
        <v>20</v>
      </c>
      <c r="I222">
        <v>1708</v>
      </c>
      <c r="J222">
        <v>1735</v>
      </c>
      <c r="K222">
        <v>16</v>
      </c>
      <c r="L222">
        <f t="shared" si="17"/>
        <v>1719</v>
      </c>
      <c r="M222">
        <v>49.6</v>
      </c>
      <c r="N222">
        <v>7.7</v>
      </c>
      <c r="O222" s="8">
        <v>63.3</v>
      </c>
      <c r="P222" s="10">
        <f t="shared" si="15"/>
        <v>109825.5</v>
      </c>
      <c r="Q222" s="8">
        <f t="shared" si="18"/>
        <v>1012.8</v>
      </c>
      <c r="R222" t="s">
        <v>29</v>
      </c>
      <c r="S222">
        <f t="shared" si="19"/>
        <v>1735</v>
      </c>
    </row>
    <row r="223" spans="1:19" x14ac:dyDescent="0.3">
      <c r="A223" t="s">
        <v>889</v>
      </c>
      <c r="B223" s="13">
        <v>45837</v>
      </c>
      <c r="C223" s="25">
        <f t="shared" si="16"/>
        <v>45809</v>
      </c>
      <c r="D223" t="s">
        <v>16</v>
      </c>
      <c r="E223" t="s">
        <v>25</v>
      </c>
      <c r="F223" t="s">
        <v>18</v>
      </c>
      <c r="G223" t="s">
        <v>19</v>
      </c>
      <c r="H223" t="s">
        <v>75</v>
      </c>
      <c r="I223">
        <v>966</v>
      </c>
      <c r="J223">
        <v>771</v>
      </c>
      <c r="K223">
        <v>6</v>
      </c>
      <c r="L223">
        <f t="shared" si="17"/>
        <v>765</v>
      </c>
      <c r="M223">
        <v>151.19999999999999</v>
      </c>
      <c r="N223">
        <v>7.8</v>
      </c>
      <c r="O223" s="8">
        <v>63.35</v>
      </c>
      <c r="P223" s="10">
        <f t="shared" si="15"/>
        <v>48842.85</v>
      </c>
      <c r="Q223" s="8">
        <f t="shared" si="18"/>
        <v>380.1</v>
      </c>
      <c r="R223" t="s">
        <v>29</v>
      </c>
      <c r="S223">
        <f t="shared" si="19"/>
        <v>771</v>
      </c>
    </row>
    <row r="224" spans="1:19" x14ac:dyDescent="0.3">
      <c r="A224" t="s">
        <v>461</v>
      </c>
      <c r="B224" s="13">
        <v>45809</v>
      </c>
      <c r="C224" s="25">
        <f t="shared" si="16"/>
        <v>45809</v>
      </c>
      <c r="D224" t="s">
        <v>24</v>
      </c>
      <c r="E224" t="s">
        <v>25</v>
      </c>
      <c r="F224" t="s">
        <v>43</v>
      </c>
      <c r="G224" t="s">
        <v>40</v>
      </c>
      <c r="H224" t="s">
        <v>75</v>
      </c>
      <c r="I224">
        <v>896</v>
      </c>
      <c r="J224">
        <v>753</v>
      </c>
      <c r="K224">
        <v>9</v>
      </c>
      <c r="L224">
        <f t="shared" si="17"/>
        <v>744</v>
      </c>
      <c r="M224">
        <v>11.4</v>
      </c>
      <c r="N224">
        <v>7.2</v>
      </c>
      <c r="O224" s="8">
        <v>63.68</v>
      </c>
      <c r="P224" s="10">
        <f t="shared" si="15"/>
        <v>47951.040000000001</v>
      </c>
      <c r="Q224" s="8">
        <f t="shared" si="18"/>
        <v>573.12</v>
      </c>
      <c r="R224" t="s">
        <v>29</v>
      </c>
      <c r="S224">
        <f t="shared" si="19"/>
        <v>753</v>
      </c>
    </row>
    <row r="225" spans="1:19" x14ac:dyDescent="0.3">
      <c r="A225" t="s">
        <v>301</v>
      </c>
      <c r="B225" s="13">
        <v>45807</v>
      </c>
      <c r="C225" s="25">
        <f t="shared" si="16"/>
        <v>45778</v>
      </c>
      <c r="D225" t="s">
        <v>32</v>
      </c>
      <c r="E225" t="s">
        <v>17</v>
      </c>
      <c r="F225" t="s">
        <v>33</v>
      </c>
      <c r="G225" t="s">
        <v>19</v>
      </c>
      <c r="H225" t="s">
        <v>28</v>
      </c>
      <c r="I225">
        <v>936</v>
      </c>
      <c r="J225">
        <v>853</v>
      </c>
      <c r="K225">
        <v>26</v>
      </c>
      <c r="L225">
        <f t="shared" si="17"/>
        <v>827</v>
      </c>
      <c r="M225">
        <v>44.8</v>
      </c>
      <c r="N225">
        <v>6.8</v>
      </c>
      <c r="O225" s="8">
        <v>63.82</v>
      </c>
      <c r="P225" s="10">
        <f t="shared" si="15"/>
        <v>54438.46</v>
      </c>
      <c r="Q225" s="8">
        <f t="shared" si="18"/>
        <v>1659.32</v>
      </c>
      <c r="R225" t="s">
        <v>21</v>
      </c>
      <c r="S225">
        <f t="shared" si="19"/>
        <v>853</v>
      </c>
    </row>
    <row r="226" spans="1:19" x14ac:dyDescent="0.3">
      <c r="A226" t="s">
        <v>348</v>
      </c>
      <c r="B226" s="13">
        <v>45690</v>
      </c>
      <c r="C226" s="25">
        <f t="shared" si="16"/>
        <v>45689</v>
      </c>
      <c r="D226" t="s">
        <v>24</v>
      </c>
      <c r="E226" t="s">
        <v>25</v>
      </c>
      <c r="F226" t="s">
        <v>26</v>
      </c>
      <c r="G226" t="s">
        <v>19</v>
      </c>
      <c r="H226" t="s">
        <v>37</v>
      </c>
      <c r="I226">
        <v>1627</v>
      </c>
      <c r="J226">
        <v>1801</v>
      </c>
      <c r="K226">
        <v>31</v>
      </c>
      <c r="L226">
        <f t="shared" si="17"/>
        <v>1770</v>
      </c>
      <c r="M226">
        <v>77.2</v>
      </c>
      <c r="N226">
        <v>7</v>
      </c>
      <c r="O226" s="8">
        <v>63.92</v>
      </c>
      <c r="P226" s="10">
        <f t="shared" si="15"/>
        <v>115119.92</v>
      </c>
      <c r="Q226" s="8">
        <f t="shared" si="18"/>
        <v>1981.52</v>
      </c>
      <c r="R226" t="s">
        <v>29</v>
      </c>
      <c r="S226">
        <f t="shared" si="19"/>
        <v>1801</v>
      </c>
    </row>
    <row r="227" spans="1:19" x14ac:dyDescent="0.3">
      <c r="A227" t="s">
        <v>55</v>
      </c>
      <c r="B227" s="13">
        <v>45850</v>
      </c>
      <c r="C227" s="25">
        <f t="shared" si="16"/>
        <v>45839</v>
      </c>
      <c r="D227" t="s">
        <v>32</v>
      </c>
      <c r="E227" t="s">
        <v>36</v>
      </c>
      <c r="F227" t="s">
        <v>33</v>
      </c>
      <c r="G227" t="s">
        <v>40</v>
      </c>
      <c r="H227" t="s">
        <v>20</v>
      </c>
      <c r="I227">
        <v>1714</v>
      </c>
      <c r="J227">
        <v>1784</v>
      </c>
      <c r="K227">
        <v>48</v>
      </c>
      <c r="L227">
        <f t="shared" si="17"/>
        <v>1736</v>
      </c>
      <c r="M227">
        <v>69.900000000000006</v>
      </c>
      <c r="N227">
        <v>6.7</v>
      </c>
      <c r="O227" s="8">
        <v>64.25</v>
      </c>
      <c r="P227" s="10">
        <f t="shared" si="15"/>
        <v>114622</v>
      </c>
      <c r="Q227" s="8">
        <f t="shared" si="18"/>
        <v>3084</v>
      </c>
      <c r="R227" t="s">
        <v>21</v>
      </c>
      <c r="S227">
        <f t="shared" si="19"/>
        <v>1784</v>
      </c>
    </row>
    <row r="228" spans="1:19" x14ac:dyDescent="0.3">
      <c r="A228" t="s">
        <v>151</v>
      </c>
      <c r="B228" s="13">
        <v>45714</v>
      </c>
      <c r="C228" s="25">
        <f t="shared" si="16"/>
        <v>45689</v>
      </c>
      <c r="D228" t="s">
        <v>16</v>
      </c>
      <c r="E228" t="s">
        <v>36</v>
      </c>
      <c r="F228" t="s">
        <v>18</v>
      </c>
      <c r="G228" t="s">
        <v>40</v>
      </c>
      <c r="H228" t="s">
        <v>44</v>
      </c>
      <c r="I228">
        <v>1490</v>
      </c>
      <c r="J228">
        <v>1172</v>
      </c>
      <c r="K228">
        <v>22</v>
      </c>
      <c r="L228">
        <f t="shared" si="17"/>
        <v>1150</v>
      </c>
      <c r="M228">
        <v>36.799999999999997</v>
      </c>
      <c r="N228">
        <v>6.3</v>
      </c>
      <c r="O228" s="8">
        <v>64.400000000000006</v>
      </c>
      <c r="P228" s="10">
        <f t="shared" si="15"/>
        <v>75476.800000000003</v>
      </c>
      <c r="Q228" s="8">
        <f t="shared" si="18"/>
        <v>1416.8000000000002</v>
      </c>
      <c r="R228" t="s">
        <v>29</v>
      </c>
      <c r="S228">
        <f t="shared" si="19"/>
        <v>1172</v>
      </c>
    </row>
    <row r="229" spans="1:19" x14ac:dyDescent="0.3">
      <c r="A229" t="s">
        <v>283</v>
      </c>
      <c r="B229" s="13">
        <v>45862</v>
      </c>
      <c r="C229" s="25">
        <f t="shared" si="16"/>
        <v>45839</v>
      </c>
      <c r="D229" t="s">
        <v>16</v>
      </c>
      <c r="E229" t="s">
        <v>36</v>
      </c>
      <c r="F229" t="s">
        <v>49</v>
      </c>
      <c r="G229" t="s">
        <v>27</v>
      </c>
      <c r="H229" t="s">
        <v>28</v>
      </c>
      <c r="I229">
        <v>1647</v>
      </c>
      <c r="J229">
        <v>1591</v>
      </c>
      <c r="K229">
        <v>42</v>
      </c>
      <c r="L229">
        <f t="shared" si="17"/>
        <v>1549</v>
      </c>
      <c r="M229">
        <v>33.299999999999997</v>
      </c>
      <c r="N229">
        <v>7.2</v>
      </c>
      <c r="O229" s="8">
        <v>64.72</v>
      </c>
      <c r="P229" s="10">
        <f t="shared" si="15"/>
        <v>102969.52</v>
      </c>
      <c r="Q229" s="8">
        <f t="shared" si="18"/>
        <v>2718.24</v>
      </c>
      <c r="R229" t="s">
        <v>21</v>
      </c>
      <c r="S229">
        <f t="shared" si="19"/>
        <v>1591</v>
      </c>
    </row>
    <row r="230" spans="1:19" x14ac:dyDescent="0.3">
      <c r="A230" t="s">
        <v>471</v>
      </c>
      <c r="B230" s="13">
        <v>45899</v>
      </c>
      <c r="C230" s="25">
        <f t="shared" si="16"/>
        <v>45870</v>
      </c>
      <c r="D230" t="s">
        <v>24</v>
      </c>
      <c r="E230" t="s">
        <v>59</v>
      </c>
      <c r="F230" t="s">
        <v>18</v>
      </c>
      <c r="G230" t="s">
        <v>27</v>
      </c>
      <c r="H230" t="s">
        <v>20</v>
      </c>
      <c r="I230">
        <v>901</v>
      </c>
      <c r="J230">
        <v>966</v>
      </c>
      <c r="K230">
        <v>32</v>
      </c>
      <c r="L230">
        <f t="shared" si="17"/>
        <v>934</v>
      </c>
      <c r="M230">
        <v>30.8</v>
      </c>
      <c r="N230">
        <v>7.8</v>
      </c>
      <c r="O230" s="8">
        <v>64.86</v>
      </c>
      <c r="P230" s="10">
        <f t="shared" si="15"/>
        <v>62654.76</v>
      </c>
      <c r="Q230" s="8">
        <f t="shared" si="18"/>
        <v>2075.52</v>
      </c>
      <c r="R230" t="s">
        <v>21</v>
      </c>
      <c r="S230">
        <f t="shared" si="19"/>
        <v>966</v>
      </c>
    </row>
    <row r="231" spans="1:19" x14ac:dyDescent="0.3">
      <c r="A231" t="s">
        <v>862</v>
      </c>
      <c r="B231" s="13">
        <v>45729</v>
      </c>
      <c r="C231" s="25">
        <f t="shared" si="16"/>
        <v>45717</v>
      </c>
      <c r="D231" t="s">
        <v>24</v>
      </c>
      <c r="E231" t="s">
        <v>25</v>
      </c>
      <c r="F231" t="s">
        <v>49</v>
      </c>
      <c r="G231" t="s">
        <v>27</v>
      </c>
      <c r="H231" t="s">
        <v>37</v>
      </c>
      <c r="I231">
        <v>942</v>
      </c>
      <c r="J231">
        <v>818</v>
      </c>
      <c r="K231">
        <v>18</v>
      </c>
      <c r="L231">
        <f t="shared" si="17"/>
        <v>800</v>
      </c>
      <c r="M231">
        <v>46.1</v>
      </c>
      <c r="N231">
        <v>7.2</v>
      </c>
      <c r="O231" s="8">
        <v>65.069999999999993</v>
      </c>
      <c r="P231" s="10">
        <f t="shared" si="15"/>
        <v>53227.259999999995</v>
      </c>
      <c r="Q231" s="8">
        <f t="shared" si="18"/>
        <v>1171.2599999999998</v>
      </c>
      <c r="R231" t="s">
        <v>21</v>
      </c>
      <c r="S231">
        <f t="shared" si="19"/>
        <v>818</v>
      </c>
    </row>
    <row r="232" spans="1:19" x14ac:dyDescent="0.3">
      <c r="A232" t="s">
        <v>365</v>
      </c>
      <c r="B232" s="13">
        <v>45912</v>
      </c>
      <c r="C232" s="25">
        <f t="shared" si="16"/>
        <v>45901</v>
      </c>
      <c r="D232" t="s">
        <v>16</v>
      </c>
      <c r="E232" t="s">
        <v>59</v>
      </c>
      <c r="F232" t="s">
        <v>33</v>
      </c>
      <c r="G232" t="s">
        <v>40</v>
      </c>
      <c r="H232" t="s">
        <v>69</v>
      </c>
      <c r="I232">
        <v>766</v>
      </c>
      <c r="J232">
        <v>742</v>
      </c>
      <c r="K232">
        <v>18</v>
      </c>
      <c r="L232">
        <f t="shared" si="17"/>
        <v>724</v>
      </c>
      <c r="M232">
        <v>107</v>
      </c>
      <c r="N232">
        <v>8.4</v>
      </c>
      <c r="O232" s="8">
        <v>65.11</v>
      </c>
      <c r="P232" s="10">
        <f t="shared" si="15"/>
        <v>48311.62</v>
      </c>
      <c r="Q232" s="8">
        <f t="shared" si="18"/>
        <v>1171.98</v>
      </c>
      <c r="R232" t="s">
        <v>21</v>
      </c>
      <c r="S232">
        <f t="shared" si="19"/>
        <v>742</v>
      </c>
    </row>
    <row r="233" spans="1:19" x14ac:dyDescent="0.3">
      <c r="A233" t="s">
        <v>393</v>
      </c>
      <c r="B233" s="13">
        <v>45838</v>
      </c>
      <c r="C233" s="25">
        <f t="shared" si="16"/>
        <v>45809</v>
      </c>
      <c r="D233" t="s">
        <v>32</v>
      </c>
      <c r="E233" t="s">
        <v>36</v>
      </c>
      <c r="F233" t="s">
        <v>26</v>
      </c>
      <c r="G233" t="s">
        <v>40</v>
      </c>
      <c r="H233" t="s">
        <v>72</v>
      </c>
      <c r="I233">
        <v>929</v>
      </c>
      <c r="J233">
        <v>877</v>
      </c>
      <c r="K233">
        <v>13</v>
      </c>
      <c r="L233">
        <f t="shared" si="17"/>
        <v>864</v>
      </c>
      <c r="M233">
        <v>49.3</v>
      </c>
      <c r="N233">
        <v>7.9</v>
      </c>
      <c r="O233" s="8">
        <v>65.19</v>
      </c>
      <c r="P233" s="10">
        <f t="shared" si="15"/>
        <v>57171.63</v>
      </c>
      <c r="Q233" s="8">
        <f t="shared" si="18"/>
        <v>847.47</v>
      </c>
      <c r="R233" t="s">
        <v>29</v>
      </c>
      <c r="S233">
        <f t="shared" si="19"/>
        <v>877</v>
      </c>
    </row>
    <row r="234" spans="1:19" x14ac:dyDescent="0.3">
      <c r="A234" t="s">
        <v>106</v>
      </c>
      <c r="B234" s="13">
        <v>45860</v>
      </c>
      <c r="C234" s="25">
        <f t="shared" si="16"/>
        <v>45839</v>
      </c>
      <c r="D234" t="s">
        <v>16</v>
      </c>
      <c r="E234" t="s">
        <v>25</v>
      </c>
      <c r="F234" t="s">
        <v>33</v>
      </c>
      <c r="G234" t="s">
        <v>27</v>
      </c>
      <c r="H234" t="s">
        <v>69</v>
      </c>
      <c r="I234">
        <v>827</v>
      </c>
      <c r="J234">
        <v>871</v>
      </c>
      <c r="K234">
        <v>25</v>
      </c>
      <c r="L234">
        <f t="shared" si="17"/>
        <v>846</v>
      </c>
      <c r="M234">
        <v>3.9</v>
      </c>
      <c r="N234">
        <v>8.1</v>
      </c>
      <c r="O234" s="8">
        <v>65.28</v>
      </c>
      <c r="P234" s="10">
        <f t="shared" si="15"/>
        <v>56858.879999999997</v>
      </c>
      <c r="Q234" s="8">
        <f t="shared" si="18"/>
        <v>1632</v>
      </c>
      <c r="R234" t="s">
        <v>21</v>
      </c>
      <c r="S234">
        <f t="shared" si="19"/>
        <v>871</v>
      </c>
    </row>
    <row r="235" spans="1:19" x14ac:dyDescent="0.3">
      <c r="A235" t="s">
        <v>706</v>
      </c>
      <c r="B235" s="13">
        <v>45996</v>
      </c>
      <c r="C235" s="25">
        <f t="shared" si="16"/>
        <v>45992</v>
      </c>
      <c r="D235" t="s">
        <v>16</v>
      </c>
      <c r="E235" t="s">
        <v>25</v>
      </c>
      <c r="F235" t="s">
        <v>43</v>
      </c>
      <c r="G235" t="s">
        <v>40</v>
      </c>
      <c r="H235" t="s">
        <v>69</v>
      </c>
      <c r="I235">
        <v>1628</v>
      </c>
      <c r="J235">
        <v>1599</v>
      </c>
      <c r="K235">
        <v>17</v>
      </c>
      <c r="L235">
        <f t="shared" si="17"/>
        <v>1582</v>
      </c>
      <c r="M235">
        <v>85</v>
      </c>
      <c r="N235">
        <v>8.1999999999999993</v>
      </c>
      <c r="O235" s="8">
        <v>65.489999999999995</v>
      </c>
      <c r="P235" s="10">
        <f t="shared" si="15"/>
        <v>104718.51</v>
      </c>
      <c r="Q235" s="8">
        <f t="shared" si="18"/>
        <v>1113.33</v>
      </c>
      <c r="R235" t="s">
        <v>29</v>
      </c>
      <c r="S235">
        <f t="shared" si="19"/>
        <v>1599</v>
      </c>
    </row>
    <row r="236" spans="1:19" x14ac:dyDescent="0.3">
      <c r="A236" t="s">
        <v>390</v>
      </c>
      <c r="B236" s="13">
        <v>45791</v>
      </c>
      <c r="C236" s="25">
        <f t="shared" si="16"/>
        <v>45778</v>
      </c>
      <c r="D236" t="s">
        <v>32</v>
      </c>
      <c r="E236" t="s">
        <v>62</v>
      </c>
      <c r="F236" t="s">
        <v>18</v>
      </c>
      <c r="G236" t="s">
        <v>40</v>
      </c>
      <c r="H236" t="s">
        <v>82</v>
      </c>
      <c r="I236">
        <v>1318</v>
      </c>
      <c r="J236">
        <v>1361</v>
      </c>
      <c r="K236">
        <v>37</v>
      </c>
      <c r="L236">
        <f t="shared" si="17"/>
        <v>1324</v>
      </c>
      <c r="M236">
        <v>5.8</v>
      </c>
      <c r="N236">
        <v>7.9</v>
      </c>
      <c r="O236" s="8">
        <v>66.05</v>
      </c>
      <c r="P236" s="10">
        <f t="shared" si="15"/>
        <v>89894.05</v>
      </c>
      <c r="Q236" s="8">
        <f t="shared" si="18"/>
        <v>2443.85</v>
      </c>
      <c r="R236" t="s">
        <v>21</v>
      </c>
      <c r="S236">
        <f t="shared" si="19"/>
        <v>1361</v>
      </c>
    </row>
    <row r="237" spans="1:19" x14ac:dyDescent="0.3">
      <c r="A237" t="s">
        <v>822</v>
      </c>
      <c r="B237" s="13">
        <v>45930</v>
      </c>
      <c r="C237" s="25">
        <f t="shared" si="16"/>
        <v>45901</v>
      </c>
      <c r="D237" t="s">
        <v>32</v>
      </c>
      <c r="E237" t="s">
        <v>25</v>
      </c>
      <c r="F237" t="s">
        <v>26</v>
      </c>
      <c r="G237" t="s">
        <v>27</v>
      </c>
      <c r="H237" t="s">
        <v>75</v>
      </c>
      <c r="I237">
        <v>791</v>
      </c>
      <c r="J237">
        <v>803</v>
      </c>
      <c r="K237">
        <v>7</v>
      </c>
      <c r="L237">
        <f t="shared" si="17"/>
        <v>796</v>
      </c>
      <c r="M237">
        <v>8.1</v>
      </c>
      <c r="N237">
        <v>6.3</v>
      </c>
      <c r="O237" s="8">
        <v>66.260000000000005</v>
      </c>
      <c r="P237" s="10">
        <f t="shared" si="15"/>
        <v>53206.780000000006</v>
      </c>
      <c r="Q237" s="8">
        <f t="shared" si="18"/>
        <v>463.82000000000005</v>
      </c>
      <c r="R237" t="s">
        <v>29</v>
      </c>
      <c r="S237">
        <f t="shared" si="19"/>
        <v>803</v>
      </c>
    </row>
    <row r="238" spans="1:19" x14ac:dyDescent="0.3">
      <c r="A238" t="s">
        <v>57</v>
      </c>
      <c r="B238" s="13">
        <v>46014</v>
      </c>
      <c r="C238" s="25">
        <f t="shared" si="16"/>
        <v>45992</v>
      </c>
      <c r="D238" t="s">
        <v>16</v>
      </c>
      <c r="E238" t="s">
        <v>59</v>
      </c>
      <c r="F238" t="s">
        <v>18</v>
      </c>
      <c r="G238" t="s">
        <v>40</v>
      </c>
      <c r="H238" t="s">
        <v>28</v>
      </c>
      <c r="I238">
        <v>1552</v>
      </c>
      <c r="J238">
        <v>1467</v>
      </c>
      <c r="K238">
        <v>48</v>
      </c>
      <c r="L238">
        <f t="shared" si="17"/>
        <v>1419</v>
      </c>
      <c r="M238">
        <v>28.4</v>
      </c>
      <c r="N238">
        <v>7.1</v>
      </c>
      <c r="O238" s="8">
        <v>66.680000000000007</v>
      </c>
      <c r="P238" s="10">
        <f t="shared" si="15"/>
        <v>97819.560000000012</v>
      </c>
      <c r="Q238" s="8">
        <f t="shared" si="18"/>
        <v>3200.6400000000003</v>
      </c>
      <c r="R238" t="s">
        <v>21</v>
      </c>
      <c r="S238">
        <f t="shared" si="19"/>
        <v>1467</v>
      </c>
    </row>
    <row r="239" spans="1:19" x14ac:dyDescent="0.3">
      <c r="A239" t="s">
        <v>672</v>
      </c>
      <c r="B239" s="13">
        <v>45977</v>
      </c>
      <c r="C239" s="25">
        <f t="shared" si="16"/>
        <v>45962</v>
      </c>
      <c r="D239" t="s">
        <v>32</v>
      </c>
      <c r="E239" t="s">
        <v>62</v>
      </c>
      <c r="F239" t="s">
        <v>18</v>
      </c>
      <c r="G239" t="s">
        <v>27</v>
      </c>
      <c r="H239" t="s">
        <v>69</v>
      </c>
      <c r="I239">
        <v>819</v>
      </c>
      <c r="J239">
        <v>711</v>
      </c>
      <c r="K239">
        <v>16</v>
      </c>
      <c r="L239">
        <f t="shared" si="17"/>
        <v>695</v>
      </c>
      <c r="M239">
        <v>66.099999999999994</v>
      </c>
      <c r="N239">
        <v>7.1</v>
      </c>
      <c r="O239" s="8">
        <v>66.760000000000005</v>
      </c>
      <c r="P239" s="10">
        <f t="shared" si="15"/>
        <v>47466.36</v>
      </c>
      <c r="Q239" s="8">
        <f t="shared" si="18"/>
        <v>1068.1600000000001</v>
      </c>
      <c r="R239" t="s">
        <v>21</v>
      </c>
      <c r="S239">
        <f t="shared" si="19"/>
        <v>711</v>
      </c>
    </row>
    <row r="240" spans="1:19" x14ac:dyDescent="0.3">
      <c r="A240" t="s">
        <v>14</v>
      </c>
      <c r="B240" s="13">
        <v>45690</v>
      </c>
      <c r="C240" s="25">
        <f t="shared" si="16"/>
        <v>45689</v>
      </c>
      <c r="D240" t="s">
        <v>16</v>
      </c>
      <c r="E240" t="s">
        <v>17</v>
      </c>
      <c r="F240" t="s">
        <v>18</v>
      </c>
      <c r="G240" t="s">
        <v>19</v>
      </c>
      <c r="H240" t="s">
        <v>20</v>
      </c>
      <c r="I240">
        <v>1378</v>
      </c>
      <c r="J240">
        <v>1308</v>
      </c>
      <c r="K240">
        <v>39</v>
      </c>
      <c r="L240">
        <f t="shared" si="17"/>
        <v>1269</v>
      </c>
      <c r="M240">
        <v>26</v>
      </c>
      <c r="N240">
        <v>7.2</v>
      </c>
      <c r="O240" s="8">
        <v>66.91</v>
      </c>
      <c r="P240" s="10">
        <f t="shared" si="15"/>
        <v>87518.28</v>
      </c>
      <c r="Q240" s="8">
        <f t="shared" si="18"/>
        <v>2609.4899999999998</v>
      </c>
      <c r="R240" t="s">
        <v>21</v>
      </c>
      <c r="S240">
        <f t="shared" si="19"/>
        <v>1308</v>
      </c>
    </row>
    <row r="241" spans="1:19" x14ac:dyDescent="0.3">
      <c r="A241" t="s">
        <v>649</v>
      </c>
      <c r="B241" s="13">
        <v>45796</v>
      </c>
      <c r="C241" s="25">
        <f t="shared" si="16"/>
        <v>45778</v>
      </c>
      <c r="D241" t="s">
        <v>24</v>
      </c>
      <c r="E241" t="s">
        <v>62</v>
      </c>
      <c r="F241" t="s">
        <v>18</v>
      </c>
      <c r="G241" t="s">
        <v>40</v>
      </c>
      <c r="H241" t="s">
        <v>44</v>
      </c>
      <c r="I241">
        <v>942</v>
      </c>
      <c r="J241">
        <v>740</v>
      </c>
      <c r="K241">
        <v>14</v>
      </c>
      <c r="L241">
        <f t="shared" si="17"/>
        <v>726</v>
      </c>
      <c r="M241">
        <v>37.299999999999997</v>
      </c>
      <c r="N241">
        <v>8.3000000000000007</v>
      </c>
      <c r="O241" s="8">
        <v>66.95</v>
      </c>
      <c r="P241" s="10">
        <f t="shared" si="15"/>
        <v>49543</v>
      </c>
      <c r="Q241" s="8">
        <f t="shared" si="18"/>
        <v>937.30000000000007</v>
      </c>
      <c r="R241" t="s">
        <v>29</v>
      </c>
      <c r="S241">
        <f t="shared" si="19"/>
        <v>740</v>
      </c>
    </row>
    <row r="242" spans="1:19" x14ac:dyDescent="0.3">
      <c r="A242" t="s">
        <v>762</v>
      </c>
      <c r="B242" s="13">
        <v>45810</v>
      </c>
      <c r="C242" s="25">
        <f t="shared" si="16"/>
        <v>45809</v>
      </c>
      <c r="D242" t="s">
        <v>24</v>
      </c>
      <c r="E242" t="s">
        <v>36</v>
      </c>
      <c r="F242" t="s">
        <v>49</v>
      </c>
      <c r="G242" t="s">
        <v>19</v>
      </c>
      <c r="H242" t="s">
        <v>72</v>
      </c>
      <c r="I242">
        <v>1672</v>
      </c>
      <c r="J242">
        <v>1598</v>
      </c>
      <c r="K242">
        <v>34</v>
      </c>
      <c r="L242">
        <f t="shared" si="17"/>
        <v>1564</v>
      </c>
      <c r="M242">
        <v>24.6</v>
      </c>
      <c r="N242">
        <v>7.9</v>
      </c>
      <c r="O242" s="8">
        <v>67.87</v>
      </c>
      <c r="P242" s="10">
        <f t="shared" si="15"/>
        <v>108456.26000000001</v>
      </c>
      <c r="Q242" s="8">
        <f t="shared" si="18"/>
        <v>2307.58</v>
      </c>
      <c r="R242" t="s">
        <v>21</v>
      </c>
      <c r="S242">
        <f t="shared" si="19"/>
        <v>1598</v>
      </c>
    </row>
    <row r="243" spans="1:19" x14ac:dyDescent="0.3">
      <c r="A243" t="s">
        <v>168</v>
      </c>
      <c r="B243" s="13">
        <v>45988</v>
      </c>
      <c r="C243" s="25">
        <f t="shared" si="16"/>
        <v>45962</v>
      </c>
      <c r="D243" t="s">
        <v>32</v>
      </c>
      <c r="E243" t="s">
        <v>25</v>
      </c>
      <c r="F243" t="s">
        <v>26</v>
      </c>
      <c r="G243" t="s">
        <v>19</v>
      </c>
      <c r="H243" t="s">
        <v>72</v>
      </c>
      <c r="I243">
        <v>1638</v>
      </c>
      <c r="J243">
        <v>1563</v>
      </c>
      <c r="K243">
        <v>15</v>
      </c>
      <c r="L243">
        <f t="shared" si="17"/>
        <v>1548</v>
      </c>
      <c r="M243">
        <v>69.099999999999994</v>
      </c>
      <c r="N243">
        <v>6.8</v>
      </c>
      <c r="O243" s="8">
        <v>68.05</v>
      </c>
      <c r="P243" s="10">
        <f t="shared" si="15"/>
        <v>106362.15</v>
      </c>
      <c r="Q243" s="8">
        <f t="shared" si="18"/>
        <v>1020.75</v>
      </c>
      <c r="R243" t="s">
        <v>29</v>
      </c>
      <c r="S243">
        <f t="shared" si="19"/>
        <v>1563</v>
      </c>
    </row>
    <row r="244" spans="1:19" x14ac:dyDescent="0.3">
      <c r="A244" t="s">
        <v>485</v>
      </c>
      <c r="B244" s="13">
        <v>45767</v>
      </c>
      <c r="C244" s="25">
        <f t="shared" si="16"/>
        <v>45748</v>
      </c>
      <c r="D244" t="s">
        <v>16</v>
      </c>
      <c r="E244" t="s">
        <v>36</v>
      </c>
      <c r="F244" t="s">
        <v>33</v>
      </c>
      <c r="G244" t="s">
        <v>19</v>
      </c>
      <c r="H244" t="s">
        <v>82</v>
      </c>
      <c r="I244">
        <v>1037</v>
      </c>
      <c r="J244">
        <v>1075</v>
      </c>
      <c r="K244">
        <v>11</v>
      </c>
      <c r="L244">
        <f t="shared" si="17"/>
        <v>1064</v>
      </c>
      <c r="M244">
        <v>3.5</v>
      </c>
      <c r="N244">
        <v>7.1</v>
      </c>
      <c r="O244" s="8">
        <v>68.05</v>
      </c>
      <c r="P244" s="10">
        <f t="shared" si="15"/>
        <v>73153.75</v>
      </c>
      <c r="Q244" s="8">
        <f t="shared" si="18"/>
        <v>748.55</v>
      </c>
      <c r="R244" t="s">
        <v>29</v>
      </c>
      <c r="S244">
        <f t="shared" si="19"/>
        <v>1075</v>
      </c>
    </row>
    <row r="245" spans="1:19" x14ac:dyDescent="0.3">
      <c r="A245" t="s">
        <v>401</v>
      </c>
      <c r="B245" s="13">
        <v>46011</v>
      </c>
      <c r="C245" s="25">
        <f t="shared" si="16"/>
        <v>45992</v>
      </c>
      <c r="D245" t="s">
        <v>24</v>
      </c>
      <c r="E245" t="s">
        <v>36</v>
      </c>
      <c r="F245" t="s">
        <v>26</v>
      </c>
      <c r="G245" t="s">
        <v>40</v>
      </c>
      <c r="H245" t="s">
        <v>28</v>
      </c>
      <c r="I245">
        <v>1018</v>
      </c>
      <c r="J245">
        <v>985</v>
      </c>
      <c r="K245">
        <v>10</v>
      </c>
      <c r="L245">
        <f t="shared" si="17"/>
        <v>975</v>
      </c>
      <c r="M245">
        <v>17.399999999999999</v>
      </c>
      <c r="N245">
        <v>8.1</v>
      </c>
      <c r="O245" s="8">
        <v>68.7</v>
      </c>
      <c r="P245" s="10">
        <f t="shared" si="15"/>
        <v>67669.5</v>
      </c>
      <c r="Q245" s="8">
        <f t="shared" si="18"/>
        <v>687</v>
      </c>
      <c r="R245" t="s">
        <v>29</v>
      </c>
      <c r="S245">
        <f t="shared" si="19"/>
        <v>985</v>
      </c>
    </row>
    <row r="246" spans="1:19" x14ac:dyDescent="0.3">
      <c r="A246" t="s">
        <v>867</v>
      </c>
      <c r="B246" s="13">
        <v>45814</v>
      </c>
      <c r="C246" s="25">
        <f t="shared" si="16"/>
        <v>45809</v>
      </c>
      <c r="D246" t="s">
        <v>16</v>
      </c>
      <c r="E246" t="s">
        <v>36</v>
      </c>
      <c r="F246" t="s">
        <v>33</v>
      </c>
      <c r="G246" t="s">
        <v>19</v>
      </c>
      <c r="H246" t="s">
        <v>20</v>
      </c>
      <c r="I246">
        <v>1627</v>
      </c>
      <c r="J246">
        <v>1526</v>
      </c>
      <c r="K246">
        <v>34</v>
      </c>
      <c r="L246">
        <f t="shared" si="17"/>
        <v>1492</v>
      </c>
      <c r="M246">
        <v>41</v>
      </c>
      <c r="N246">
        <v>6.8</v>
      </c>
      <c r="O246" s="8">
        <v>68.81</v>
      </c>
      <c r="P246" s="10">
        <f t="shared" si="15"/>
        <v>105004.06</v>
      </c>
      <c r="Q246" s="8">
        <f t="shared" si="18"/>
        <v>2339.54</v>
      </c>
      <c r="R246" t="s">
        <v>21</v>
      </c>
      <c r="S246">
        <f t="shared" si="19"/>
        <v>1526</v>
      </c>
    </row>
    <row r="247" spans="1:19" x14ac:dyDescent="0.3">
      <c r="A247" t="s">
        <v>775</v>
      </c>
      <c r="B247" s="13">
        <v>45889</v>
      </c>
      <c r="C247" s="25">
        <f t="shared" si="16"/>
        <v>45870</v>
      </c>
      <c r="D247" t="s">
        <v>24</v>
      </c>
      <c r="E247" t="s">
        <v>25</v>
      </c>
      <c r="F247" t="s">
        <v>18</v>
      </c>
      <c r="G247" t="s">
        <v>40</v>
      </c>
      <c r="H247" t="s">
        <v>82</v>
      </c>
      <c r="I247">
        <v>770</v>
      </c>
      <c r="J247">
        <v>798</v>
      </c>
      <c r="K247">
        <v>11</v>
      </c>
      <c r="L247">
        <f t="shared" si="17"/>
        <v>787</v>
      </c>
      <c r="M247">
        <v>101.3</v>
      </c>
      <c r="N247">
        <v>7.6</v>
      </c>
      <c r="O247" s="8">
        <v>69.13</v>
      </c>
      <c r="P247" s="10">
        <f t="shared" si="15"/>
        <v>55165.74</v>
      </c>
      <c r="Q247" s="8">
        <f t="shared" si="18"/>
        <v>760.43</v>
      </c>
      <c r="R247" t="s">
        <v>29</v>
      </c>
      <c r="S247">
        <f t="shared" si="19"/>
        <v>798</v>
      </c>
    </row>
    <row r="248" spans="1:19" x14ac:dyDescent="0.3">
      <c r="A248" t="s">
        <v>384</v>
      </c>
      <c r="B248" s="13">
        <v>45701</v>
      </c>
      <c r="C248" s="25">
        <f t="shared" si="16"/>
        <v>45689</v>
      </c>
      <c r="D248" t="s">
        <v>24</v>
      </c>
      <c r="E248" t="s">
        <v>17</v>
      </c>
      <c r="F248" t="s">
        <v>33</v>
      </c>
      <c r="G248" t="s">
        <v>40</v>
      </c>
      <c r="H248" t="s">
        <v>69</v>
      </c>
      <c r="I248">
        <v>1046</v>
      </c>
      <c r="J248">
        <v>1061</v>
      </c>
      <c r="K248">
        <v>5</v>
      </c>
      <c r="L248">
        <f t="shared" si="17"/>
        <v>1056</v>
      </c>
      <c r="M248">
        <v>44</v>
      </c>
      <c r="N248">
        <v>8.4</v>
      </c>
      <c r="O248" s="8">
        <v>69.17</v>
      </c>
      <c r="P248" s="10">
        <f t="shared" si="15"/>
        <v>73389.37</v>
      </c>
      <c r="Q248" s="8">
        <f t="shared" si="18"/>
        <v>345.85</v>
      </c>
      <c r="R248" t="s">
        <v>29</v>
      </c>
      <c r="S248">
        <f t="shared" si="19"/>
        <v>1061</v>
      </c>
    </row>
    <row r="249" spans="1:19" x14ac:dyDescent="0.3">
      <c r="A249" t="s">
        <v>333</v>
      </c>
      <c r="B249" s="13">
        <v>45806</v>
      </c>
      <c r="C249" s="25">
        <f t="shared" si="16"/>
        <v>45778</v>
      </c>
      <c r="D249" t="s">
        <v>16</v>
      </c>
      <c r="E249" t="s">
        <v>62</v>
      </c>
      <c r="F249" t="s">
        <v>18</v>
      </c>
      <c r="G249" t="s">
        <v>40</v>
      </c>
      <c r="H249" t="s">
        <v>28</v>
      </c>
      <c r="I249">
        <v>1435</v>
      </c>
      <c r="J249">
        <v>1359</v>
      </c>
      <c r="K249">
        <v>8</v>
      </c>
      <c r="L249">
        <f t="shared" si="17"/>
        <v>1351</v>
      </c>
      <c r="M249">
        <v>56.3</v>
      </c>
      <c r="N249">
        <v>8.4</v>
      </c>
      <c r="O249" s="8">
        <v>69.430000000000007</v>
      </c>
      <c r="P249" s="10">
        <f t="shared" si="15"/>
        <v>94355.37000000001</v>
      </c>
      <c r="Q249" s="8">
        <f t="shared" si="18"/>
        <v>555.44000000000005</v>
      </c>
      <c r="R249" t="s">
        <v>29</v>
      </c>
      <c r="S249">
        <f t="shared" si="19"/>
        <v>1359</v>
      </c>
    </row>
    <row r="250" spans="1:19" x14ac:dyDescent="0.3">
      <c r="A250" t="s">
        <v>312</v>
      </c>
      <c r="B250" s="13">
        <v>45679</v>
      </c>
      <c r="C250" s="25">
        <f t="shared" si="16"/>
        <v>45658</v>
      </c>
      <c r="D250" t="s">
        <v>24</v>
      </c>
      <c r="E250" t="s">
        <v>59</v>
      </c>
      <c r="F250" t="s">
        <v>43</v>
      </c>
      <c r="G250" t="s">
        <v>27</v>
      </c>
      <c r="H250" t="s">
        <v>69</v>
      </c>
      <c r="I250">
        <v>1243</v>
      </c>
      <c r="J250">
        <v>1270</v>
      </c>
      <c r="K250">
        <v>27</v>
      </c>
      <c r="L250">
        <f t="shared" si="17"/>
        <v>1243</v>
      </c>
      <c r="M250">
        <v>93.8</v>
      </c>
      <c r="N250">
        <v>6.9</v>
      </c>
      <c r="O250" s="8">
        <v>69.900000000000006</v>
      </c>
      <c r="P250" s="10">
        <f t="shared" si="15"/>
        <v>88773</v>
      </c>
      <c r="Q250" s="8">
        <f t="shared" si="18"/>
        <v>1887.3000000000002</v>
      </c>
      <c r="R250" t="s">
        <v>21</v>
      </c>
      <c r="S250">
        <f t="shared" si="19"/>
        <v>1270</v>
      </c>
    </row>
    <row r="251" spans="1:19" x14ac:dyDescent="0.3">
      <c r="A251" t="s">
        <v>137</v>
      </c>
      <c r="B251" s="13">
        <v>45942</v>
      </c>
      <c r="C251" s="25">
        <f t="shared" si="16"/>
        <v>45931</v>
      </c>
      <c r="D251" t="s">
        <v>16</v>
      </c>
      <c r="E251" t="s">
        <v>62</v>
      </c>
      <c r="F251" t="s">
        <v>26</v>
      </c>
      <c r="G251" t="s">
        <v>27</v>
      </c>
      <c r="H251" t="s">
        <v>28</v>
      </c>
      <c r="I251">
        <v>1784</v>
      </c>
      <c r="J251">
        <v>1637</v>
      </c>
      <c r="K251">
        <v>29</v>
      </c>
      <c r="L251">
        <f t="shared" si="17"/>
        <v>1608</v>
      </c>
      <c r="M251">
        <v>20.3</v>
      </c>
      <c r="N251">
        <v>8.4</v>
      </c>
      <c r="O251" s="8">
        <v>70.27</v>
      </c>
      <c r="P251" s="10">
        <f t="shared" si="15"/>
        <v>115031.98999999999</v>
      </c>
      <c r="Q251" s="8">
        <f t="shared" si="18"/>
        <v>2037.83</v>
      </c>
      <c r="R251" t="s">
        <v>29</v>
      </c>
      <c r="S251">
        <f t="shared" si="19"/>
        <v>1637</v>
      </c>
    </row>
    <row r="252" spans="1:19" x14ac:dyDescent="0.3">
      <c r="A252" t="s">
        <v>444</v>
      </c>
      <c r="B252" s="13">
        <v>45900</v>
      </c>
      <c r="C252" s="25">
        <f t="shared" si="16"/>
        <v>45870</v>
      </c>
      <c r="D252" t="s">
        <v>16</v>
      </c>
      <c r="E252" t="s">
        <v>59</v>
      </c>
      <c r="F252" t="s">
        <v>18</v>
      </c>
      <c r="G252" t="s">
        <v>27</v>
      </c>
      <c r="H252" t="s">
        <v>75</v>
      </c>
      <c r="I252">
        <v>1774</v>
      </c>
      <c r="J252">
        <v>1603</v>
      </c>
      <c r="K252">
        <v>21</v>
      </c>
      <c r="L252">
        <f t="shared" si="17"/>
        <v>1582</v>
      </c>
      <c r="M252">
        <v>21.8</v>
      </c>
      <c r="N252">
        <v>7.6</v>
      </c>
      <c r="O252" s="8">
        <v>70.36</v>
      </c>
      <c r="P252" s="10">
        <f t="shared" si="15"/>
        <v>112787.08</v>
      </c>
      <c r="Q252" s="8">
        <f t="shared" si="18"/>
        <v>1477.56</v>
      </c>
      <c r="R252" t="s">
        <v>29</v>
      </c>
      <c r="S252">
        <f t="shared" si="19"/>
        <v>1603</v>
      </c>
    </row>
    <row r="253" spans="1:19" x14ac:dyDescent="0.3">
      <c r="A253" t="s">
        <v>848</v>
      </c>
      <c r="B253" s="13">
        <v>45718</v>
      </c>
      <c r="C253" s="25">
        <f t="shared" si="16"/>
        <v>45717</v>
      </c>
      <c r="D253" t="s">
        <v>24</v>
      </c>
      <c r="E253" t="s">
        <v>25</v>
      </c>
      <c r="F253" t="s">
        <v>18</v>
      </c>
      <c r="G253" t="s">
        <v>19</v>
      </c>
      <c r="H253" t="s">
        <v>75</v>
      </c>
      <c r="I253">
        <v>1757</v>
      </c>
      <c r="J253">
        <v>1655</v>
      </c>
      <c r="K253">
        <v>39</v>
      </c>
      <c r="L253">
        <f t="shared" si="17"/>
        <v>1616</v>
      </c>
      <c r="M253">
        <v>50.9</v>
      </c>
      <c r="N253">
        <v>7.9</v>
      </c>
      <c r="O253" s="8">
        <v>70.739999999999995</v>
      </c>
      <c r="P253" s="10">
        <f t="shared" si="15"/>
        <v>117074.7</v>
      </c>
      <c r="Q253" s="8">
        <f t="shared" si="18"/>
        <v>2758.8599999999997</v>
      </c>
      <c r="R253" t="s">
        <v>21</v>
      </c>
      <c r="S253">
        <f t="shared" si="19"/>
        <v>1655</v>
      </c>
    </row>
    <row r="254" spans="1:19" x14ac:dyDescent="0.3">
      <c r="A254" t="s">
        <v>570</v>
      </c>
      <c r="B254" s="13">
        <v>45697</v>
      </c>
      <c r="C254" s="25">
        <f t="shared" si="16"/>
        <v>45689</v>
      </c>
      <c r="D254" t="s">
        <v>32</v>
      </c>
      <c r="E254" t="s">
        <v>17</v>
      </c>
      <c r="F254" t="s">
        <v>49</v>
      </c>
      <c r="G254" t="s">
        <v>40</v>
      </c>
      <c r="H254" t="s">
        <v>75</v>
      </c>
      <c r="I254">
        <v>1356</v>
      </c>
      <c r="J254">
        <v>1345</v>
      </c>
      <c r="K254">
        <v>33</v>
      </c>
      <c r="L254">
        <f t="shared" si="17"/>
        <v>1312</v>
      </c>
      <c r="M254">
        <v>76.400000000000006</v>
      </c>
      <c r="N254">
        <v>8.4</v>
      </c>
      <c r="O254" s="8">
        <v>70.95</v>
      </c>
      <c r="P254" s="10">
        <f t="shared" si="15"/>
        <v>95427.75</v>
      </c>
      <c r="Q254" s="8">
        <f t="shared" si="18"/>
        <v>2341.35</v>
      </c>
      <c r="R254" t="s">
        <v>21</v>
      </c>
      <c r="S254">
        <f t="shared" si="19"/>
        <v>1345</v>
      </c>
    </row>
    <row r="255" spans="1:19" x14ac:dyDescent="0.3">
      <c r="A255" t="s">
        <v>560</v>
      </c>
      <c r="B255" s="13">
        <v>45747</v>
      </c>
      <c r="C255" s="25">
        <f t="shared" si="16"/>
        <v>45717</v>
      </c>
      <c r="D255" t="s">
        <v>16</v>
      </c>
      <c r="E255" t="s">
        <v>17</v>
      </c>
      <c r="F255" t="s">
        <v>18</v>
      </c>
      <c r="G255" t="s">
        <v>40</v>
      </c>
      <c r="H255" t="s">
        <v>28</v>
      </c>
      <c r="I255">
        <v>1740</v>
      </c>
      <c r="J255">
        <v>1908</v>
      </c>
      <c r="K255">
        <v>47</v>
      </c>
      <c r="L255">
        <f t="shared" si="17"/>
        <v>1861</v>
      </c>
      <c r="M255">
        <v>33.799999999999997</v>
      </c>
      <c r="N255">
        <v>6.7</v>
      </c>
      <c r="O255" s="8">
        <v>71.16</v>
      </c>
      <c r="P255" s="10">
        <f t="shared" si="15"/>
        <v>135773.28</v>
      </c>
      <c r="Q255" s="8">
        <f t="shared" si="18"/>
        <v>3344.52</v>
      </c>
      <c r="R255" t="s">
        <v>21</v>
      </c>
      <c r="S255">
        <f t="shared" si="19"/>
        <v>1908</v>
      </c>
    </row>
    <row r="256" spans="1:19" x14ac:dyDescent="0.3">
      <c r="A256" t="s">
        <v>52</v>
      </c>
      <c r="B256" s="13">
        <v>45692</v>
      </c>
      <c r="C256" s="25">
        <f t="shared" si="16"/>
        <v>45689</v>
      </c>
      <c r="D256" t="s">
        <v>24</v>
      </c>
      <c r="E256" t="s">
        <v>25</v>
      </c>
      <c r="F256" t="s">
        <v>54</v>
      </c>
      <c r="G256" t="s">
        <v>40</v>
      </c>
      <c r="H256" t="s">
        <v>28</v>
      </c>
      <c r="I256">
        <v>1330</v>
      </c>
      <c r="J256">
        <v>1198</v>
      </c>
      <c r="K256">
        <v>6</v>
      </c>
      <c r="L256">
        <f t="shared" si="17"/>
        <v>1192</v>
      </c>
      <c r="M256">
        <v>50.7</v>
      </c>
      <c r="N256">
        <v>7.6</v>
      </c>
      <c r="O256" s="8">
        <v>71.16</v>
      </c>
      <c r="P256" s="10">
        <f t="shared" si="15"/>
        <v>85249.68</v>
      </c>
      <c r="Q256" s="8">
        <f t="shared" si="18"/>
        <v>426.96</v>
      </c>
      <c r="R256" t="s">
        <v>29</v>
      </c>
      <c r="S256">
        <f t="shared" si="19"/>
        <v>1198</v>
      </c>
    </row>
    <row r="257" spans="1:19" x14ac:dyDescent="0.3">
      <c r="A257" t="s">
        <v>248</v>
      </c>
      <c r="B257" s="13">
        <v>45942</v>
      </c>
      <c r="C257" s="25">
        <f t="shared" si="16"/>
        <v>45931</v>
      </c>
      <c r="D257" t="s">
        <v>24</v>
      </c>
      <c r="E257" t="s">
        <v>17</v>
      </c>
      <c r="F257" t="s">
        <v>249</v>
      </c>
      <c r="G257" t="s">
        <v>27</v>
      </c>
      <c r="H257" t="s">
        <v>69</v>
      </c>
      <c r="I257">
        <v>1682</v>
      </c>
      <c r="J257">
        <v>1596</v>
      </c>
      <c r="K257">
        <v>30</v>
      </c>
      <c r="L257">
        <f t="shared" si="17"/>
        <v>1566</v>
      </c>
      <c r="M257">
        <v>42.6</v>
      </c>
      <c r="N257">
        <v>8.3000000000000007</v>
      </c>
      <c r="O257" s="8">
        <v>71.25</v>
      </c>
      <c r="P257" s="10">
        <f t="shared" si="15"/>
        <v>113715</v>
      </c>
      <c r="Q257" s="8">
        <f t="shared" si="18"/>
        <v>2137.5</v>
      </c>
      <c r="R257" t="s">
        <v>29</v>
      </c>
      <c r="S257">
        <f t="shared" si="19"/>
        <v>1596</v>
      </c>
    </row>
    <row r="258" spans="1:19" x14ac:dyDescent="0.3">
      <c r="A258" t="s">
        <v>619</v>
      </c>
      <c r="B258" s="13">
        <v>45983</v>
      </c>
      <c r="C258" s="25">
        <f t="shared" si="16"/>
        <v>45962</v>
      </c>
      <c r="D258" t="s">
        <v>24</v>
      </c>
      <c r="E258" t="s">
        <v>62</v>
      </c>
      <c r="F258" t="s">
        <v>26</v>
      </c>
      <c r="G258" t="s">
        <v>19</v>
      </c>
      <c r="H258" t="s">
        <v>28</v>
      </c>
      <c r="I258">
        <v>918</v>
      </c>
      <c r="J258">
        <v>1010</v>
      </c>
      <c r="K258">
        <v>30</v>
      </c>
      <c r="L258">
        <f t="shared" si="17"/>
        <v>980</v>
      </c>
      <c r="M258">
        <v>41.2</v>
      </c>
      <c r="N258">
        <v>8.5</v>
      </c>
      <c r="O258" s="8">
        <v>71.36</v>
      </c>
      <c r="P258" s="10">
        <f t="shared" ref="P258:P321" si="20">J258*O258</f>
        <v>72073.600000000006</v>
      </c>
      <c r="Q258" s="8">
        <f t="shared" si="18"/>
        <v>2140.8000000000002</v>
      </c>
      <c r="R258" t="s">
        <v>21</v>
      </c>
      <c r="S258">
        <f t="shared" si="19"/>
        <v>1010</v>
      </c>
    </row>
    <row r="259" spans="1:19" x14ac:dyDescent="0.3">
      <c r="A259" t="s">
        <v>153</v>
      </c>
      <c r="B259" s="13">
        <v>45929</v>
      </c>
      <c r="C259" s="25">
        <f t="shared" ref="C259:C322" si="21">DATE(YEAR(B259), MONTH(B259), 1 )</f>
        <v>45901</v>
      </c>
      <c r="D259" t="s">
        <v>24</v>
      </c>
      <c r="E259" t="s">
        <v>25</v>
      </c>
      <c r="F259" t="s">
        <v>18</v>
      </c>
      <c r="G259" t="s">
        <v>19</v>
      </c>
      <c r="H259" t="s">
        <v>28</v>
      </c>
      <c r="I259">
        <v>790</v>
      </c>
      <c r="J259">
        <v>804</v>
      </c>
      <c r="K259">
        <v>18</v>
      </c>
      <c r="L259">
        <f t="shared" ref="L259:L322" si="22">J259 -K259</f>
        <v>786</v>
      </c>
      <c r="M259">
        <v>41.5</v>
      </c>
      <c r="N259">
        <v>6.9</v>
      </c>
      <c r="O259" s="8">
        <v>71.39</v>
      </c>
      <c r="P259" s="10">
        <f t="shared" si="20"/>
        <v>57397.56</v>
      </c>
      <c r="Q259" s="8">
        <f t="shared" ref="Q259:Q322" si="23">K259*O259</f>
        <v>1285.02</v>
      </c>
      <c r="R259" t="s">
        <v>21</v>
      </c>
      <c r="S259">
        <f t="shared" ref="S259:S322" si="24">L259  + K259</f>
        <v>804</v>
      </c>
    </row>
    <row r="260" spans="1:19" x14ac:dyDescent="0.3">
      <c r="A260" t="s">
        <v>615</v>
      </c>
      <c r="B260" s="13">
        <v>45816</v>
      </c>
      <c r="C260" s="25">
        <f t="shared" si="21"/>
        <v>45809</v>
      </c>
      <c r="D260" t="s">
        <v>16</v>
      </c>
      <c r="E260" t="s">
        <v>62</v>
      </c>
      <c r="F260" t="s">
        <v>18</v>
      </c>
      <c r="G260" t="s">
        <v>27</v>
      </c>
      <c r="H260" t="s">
        <v>69</v>
      </c>
      <c r="I260">
        <v>1550</v>
      </c>
      <c r="J260">
        <v>1495</v>
      </c>
      <c r="K260">
        <v>49</v>
      </c>
      <c r="L260">
        <f t="shared" si="22"/>
        <v>1446</v>
      </c>
      <c r="M260">
        <v>82.2</v>
      </c>
      <c r="N260">
        <v>7.4</v>
      </c>
      <c r="O260" s="8">
        <v>71.66</v>
      </c>
      <c r="P260" s="10">
        <f t="shared" si="20"/>
        <v>107131.7</v>
      </c>
      <c r="Q260" s="8">
        <f t="shared" si="23"/>
        <v>3511.3399999999997</v>
      </c>
      <c r="R260" t="s">
        <v>21</v>
      </c>
      <c r="S260">
        <f t="shared" si="24"/>
        <v>1495</v>
      </c>
    </row>
    <row r="261" spans="1:19" x14ac:dyDescent="0.3">
      <c r="A261" t="s">
        <v>857</v>
      </c>
      <c r="B261" s="13">
        <v>45665</v>
      </c>
      <c r="C261" s="25">
        <f t="shared" si="21"/>
        <v>45658</v>
      </c>
      <c r="D261" t="s">
        <v>16</v>
      </c>
      <c r="E261" t="s">
        <v>36</v>
      </c>
      <c r="F261" t="s">
        <v>26</v>
      </c>
      <c r="G261" t="s">
        <v>27</v>
      </c>
      <c r="H261" t="s">
        <v>82</v>
      </c>
      <c r="I261">
        <v>1575</v>
      </c>
      <c r="J261">
        <v>1480</v>
      </c>
      <c r="K261">
        <v>15</v>
      </c>
      <c r="L261">
        <f t="shared" si="22"/>
        <v>1465</v>
      </c>
      <c r="M261">
        <v>8.9</v>
      </c>
      <c r="N261">
        <v>6.7</v>
      </c>
      <c r="O261" s="8">
        <v>71.849999999999994</v>
      </c>
      <c r="P261" s="10">
        <f t="shared" si="20"/>
        <v>106337.99999999999</v>
      </c>
      <c r="Q261" s="8">
        <f t="shared" si="23"/>
        <v>1077.75</v>
      </c>
      <c r="R261" t="s">
        <v>29</v>
      </c>
      <c r="S261">
        <f t="shared" si="24"/>
        <v>1480</v>
      </c>
    </row>
    <row r="262" spans="1:19" x14ac:dyDescent="0.3">
      <c r="A262" t="s">
        <v>767</v>
      </c>
      <c r="B262" s="13">
        <v>45875</v>
      </c>
      <c r="C262" s="25">
        <f t="shared" si="21"/>
        <v>45870</v>
      </c>
      <c r="D262" t="s">
        <v>24</v>
      </c>
      <c r="E262" t="s">
        <v>59</v>
      </c>
      <c r="F262" t="s">
        <v>49</v>
      </c>
      <c r="G262" t="s">
        <v>19</v>
      </c>
      <c r="H262" t="s">
        <v>72</v>
      </c>
      <c r="I262">
        <v>1356</v>
      </c>
      <c r="J262">
        <v>1376</v>
      </c>
      <c r="K262">
        <v>11</v>
      </c>
      <c r="L262">
        <f t="shared" si="22"/>
        <v>1365</v>
      </c>
      <c r="M262">
        <v>19.100000000000001</v>
      </c>
      <c r="N262">
        <v>7.3</v>
      </c>
      <c r="O262" s="8">
        <v>71.89</v>
      </c>
      <c r="P262" s="10">
        <f t="shared" si="20"/>
        <v>98920.639999999999</v>
      </c>
      <c r="Q262" s="8">
        <f t="shared" si="23"/>
        <v>790.79</v>
      </c>
      <c r="R262" t="s">
        <v>29</v>
      </c>
      <c r="S262">
        <f t="shared" si="24"/>
        <v>1376</v>
      </c>
    </row>
    <row r="263" spans="1:19" x14ac:dyDescent="0.3">
      <c r="A263" t="s">
        <v>328</v>
      </c>
      <c r="B263" s="13">
        <v>45944</v>
      </c>
      <c r="C263" s="25">
        <f t="shared" si="21"/>
        <v>45931</v>
      </c>
      <c r="D263" t="s">
        <v>16</v>
      </c>
      <c r="E263" t="s">
        <v>25</v>
      </c>
      <c r="F263" t="s">
        <v>49</v>
      </c>
      <c r="G263" t="s">
        <v>27</v>
      </c>
      <c r="H263" t="s">
        <v>82</v>
      </c>
      <c r="I263">
        <v>1760</v>
      </c>
      <c r="J263">
        <v>1797</v>
      </c>
      <c r="K263">
        <v>61</v>
      </c>
      <c r="L263">
        <f t="shared" si="22"/>
        <v>1736</v>
      </c>
      <c r="M263">
        <v>56.8</v>
      </c>
      <c r="N263">
        <v>7.5</v>
      </c>
      <c r="O263" s="8">
        <v>71.97</v>
      </c>
      <c r="P263" s="10">
        <f t="shared" si="20"/>
        <v>129330.09</v>
      </c>
      <c r="Q263" s="8">
        <f t="shared" si="23"/>
        <v>4390.17</v>
      </c>
      <c r="R263" t="s">
        <v>21</v>
      </c>
      <c r="S263">
        <f t="shared" si="24"/>
        <v>1797</v>
      </c>
    </row>
    <row r="264" spans="1:19" x14ac:dyDescent="0.3">
      <c r="A264" t="s">
        <v>558</v>
      </c>
      <c r="B264" s="13">
        <v>45701</v>
      </c>
      <c r="C264" s="25">
        <f t="shared" si="21"/>
        <v>45689</v>
      </c>
      <c r="D264" t="s">
        <v>32</v>
      </c>
      <c r="E264" t="s">
        <v>36</v>
      </c>
      <c r="F264" t="s">
        <v>49</v>
      </c>
      <c r="G264" t="s">
        <v>19</v>
      </c>
      <c r="H264" t="s">
        <v>72</v>
      </c>
      <c r="I264">
        <v>782</v>
      </c>
      <c r="J264">
        <v>726</v>
      </c>
      <c r="K264">
        <v>7</v>
      </c>
      <c r="L264">
        <f t="shared" si="22"/>
        <v>719</v>
      </c>
      <c r="M264">
        <v>20.9</v>
      </c>
      <c r="N264">
        <v>7.4</v>
      </c>
      <c r="O264" s="8">
        <v>72.13</v>
      </c>
      <c r="P264" s="10">
        <f t="shared" si="20"/>
        <v>52366.38</v>
      </c>
      <c r="Q264" s="8">
        <f t="shared" si="23"/>
        <v>504.90999999999997</v>
      </c>
      <c r="R264" t="s">
        <v>29</v>
      </c>
      <c r="S264">
        <f t="shared" si="24"/>
        <v>726</v>
      </c>
    </row>
    <row r="265" spans="1:19" x14ac:dyDescent="0.3">
      <c r="A265" t="s">
        <v>93</v>
      </c>
      <c r="B265" s="13">
        <v>45804</v>
      </c>
      <c r="C265" s="25">
        <f t="shared" si="21"/>
        <v>45778</v>
      </c>
      <c r="D265" t="s">
        <v>24</v>
      </c>
      <c r="E265" t="s">
        <v>36</v>
      </c>
      <c r="F265" t="s">
        <v>18</v>
      </c>
      <c r="G265" t="s">
        <v>40</v>
      </c>
      <c r="H265" t="s">
        <v>72</v>
      </c>
      <c r="I265">
        <v>1460</v>
      </c>
      <c r="J265">
        <v>1686</v>
      </c>
      <c r="K265">
        <v>20</v>
      </c>
      <c r="L265">
        <f t="shared" si="22"/>
        <v>1666</v>
      </c>
      <c r="M265">
        <v>125.3</v>
      </c>
      <c r="N265">
        <v>6.8</v>
      </c>
      <c r="O265" s="8">
        <v>72.34</v>
      </c>
      <c r="P265" s="10">
        <f t="shared" si="20"/>
        <v>121965.24</v>
      </c>
      <c r="Q265" s="8">
        <f t="shared" si="23"/>
        <v>1446.8000000000002</v>
      </c>
      <c r="R265" t="s">
        <v>29</v>
      </c>
      <c r="S265">
        <f t="shared" si="24"/>
        <v>1686</v>
      </c>
    </row>
    <row r="266" spans="1:19" x14ac:dyDescent="0.3">
      <c r="A266" t="s">
        <v>553</v>
      </c>
      <c r="B266" s="13">
        <v>45697</v>
      </c>
      <c r="C266" s="25">
        <f t="shared" si="21"/>
        <v>45689</v>
      </c>
      <c r="D266" t="s">
        <v>24</v>
      </c>
      <c r="E266" t="s">
        <v>62</v>
      </c>
      <c r="F266" t="s">
        <v>26</v>
      </c>
      <c r="G266" t="s">
        <v>40</v>
      </c>
      <c r="H266" t="s">
        <v>69</v>
      </c>
      <c r="I266">
        <v>1144</v>
      </c>
      <c r="J266">
        <v>871</v>
      </c>
      <c r="K266">
        <v>25</v>
      </c>
      <c r="L266">
        <f t="shared" si="22"/>
        <v>846</v>
      </c>
      <c r="M266">
        <v>77.599999999999994</v>
      </c>
      <c r="N266">
        <v>6.3</v>
      </c>
      <c r="O266" s="8">
        <v>72.41</v>
      </c>
      <c r="P266" s="10">
        <f t="shared" si="20"/>
        <v>63069.11</v>
      </c>
      <c r="Q266" s="8">
        <f t="shared" si="23"/>
        <v>1810.25</v>
      </c>
      <c r="R266" t="s">
        <v>21</v>
      </c>
      <c r="S266">
        <f t="shared" si="24"/>
        <v>871</v>
      </c>
    </row>
    <row r="267" spans="1:19" x14ac:dyDescent="0.3">
      <c r="A267" t="s">
        <v>335</v>
      </c>
      <c r="B267" s="13">
        <v>45810</v>
      </c>
      <c r="C267" s="25">
        <f t="shared" si="21"/>
        <v>45809</v>
      </c>
      <c r="D267" t="s">
        <v>24</v>
      </c>
      <c r="E267" t="s">
        <v>25</v>
      </c>
      <c r="F267" t="s">
        <v>33</v>
      </c>
      <c r="G267" t="s">
        <v>19</v>
      </c>
      <c r="H267" t="s">
        <v>44</v>
      </c>
      <c r="I267">
        <v>947</v>
      </c>
      <c r="J267">
        <v>1085</v>
      </c>
      <c r="K267">
        <v>33</v>
      </c>
      <c r="L267">
        <f t="shared" si="22"/>
        <v>1052</v>
      </c>
      <c r="M267">
        <v>46.4</v>
      </c>
      <c r="N267">
        <v>7.6</v>
      </c>
      <c r="O267" s="8">
        <v>72.489999999999995</v>
      </c>
      <c r="P267" s="10">
        <f t="shared" si="20"/>
        <v>78651.649999999994</v>
      </c>
      <c r="Q267" s="8">
        <f t="shared" si="23"/>
        <v>2392.1699999999996</v>
      </c>
      <c r="R267" t="s">
        <v>21</v>
      </c>
      <c r="S267">
        <f t="shared" si="24"/>
        <v>1085</v>
      </c>
    </row>
    <row r="268" spans="1:19" x14ac:dyDescent="0.3">
      <c r="A268" t="s">
        <v>883</v>
      </c>
      <c r="B268" s="13">
        <v>45977</v>
      </c>
      <c r="C268" s="25">
        <f t="shared" si="21"/>
        <v>45962</v>
      </c>
      <c r="D268" t="s">
        <v>24</v>
      </c>
      <c r="E268" t="s">
        <v>36</v>
      </c>
      <c r="F268" t="s">
        <v>26</v>
      </c>
      <c r="G268" t="s">
        <v>27</v>
      </c>
      <c r="H268" t="s">
        <v>75</v>
      </c>
      <c r="I268">
        <v>1788</v>
      </c>
      <c r="J268">
        <v>1628</v>
      </c>
      <c r="K268">
        <v>30</v>
      </c>
      <c r="L268">
        <f t="shared" si="22"/>
        <v>1598</v>
      </c>
      <c r="M268">
        <v>9.6</v>
      </c>
      <c r="N268">
        <v>6.4</v>
      </c>
      <c r="O268" s="8">
        <v>72.88</v>
      </c>
      <c r="P268" s="10">
        <f t="shared" si="20"/>
        <v>118648.64</v>
      </c>
      <c r="Q268" s="8">
        <f t="shared" si="23"/>
        <v>2186.3999999999996</v>
      </c>
      <c r="R268" t="s">
        <v>29</v>
      </c>
      <c r="S268">
        <f t="shared" si="24"/>
        <v>1628</v>
      </c>
    </row>
    <row r="269" spans="1:19" x14ac:dyDescent="0.3">
      <c r="A269" t="s">
        <v>784</v>
      </c>
      <c r="B269" s="13">
        <v>45749</v>
      </c>
      <c r="C269" s="25">
        <f t="shared" si="21"/>
        <v>45748</v>
      </c>
      <c r="D269" t="s">
        <v>24</v>
      </c>
      <c r="E269" t="s">
        <v>59</v>
      </c>
      <c r="F269" t="s">
        <v>33</v>
      </c>
      <c r="G269" t="s">
        <v>19</v>
      </c>
      <c r="H269" t="s">
        <v>72</v>
      </c>
      <c r="I269">
        <v>1574</v>
      </c>
      <c r="J269">
        <v>1385</v>
      </c>
      <c r="K269">
        <v>22</v>
      </c>
      <c r="L269">
        <f t="shared" si="22"/>
        <v>1363</v>
      </c>
      <c r="M269">
        <v>11.6</v>
      </c>
      <c r="N269">
        <v>7.4</v>
      </c>
      <c r="O269" s="8">
        <v>72.91</v>
      </c>
      <c r="P269" s="10">
        <f t="shared" si="20"/>
        <v>100980.34999999999</v>
      </c>
      <c r="Q269" s="8">
        <f t="shared" si="23"/>
        <v>1604.02</v>
      </c>
      <c r="R269" t="s">
        <v>29</v>
      </c>
      <c r="S269">
        <f t="shared" si="24"/>
        <v>1385</v>
      </c>
    </row>
    <row r="270" spans="1:19" x14ac:dyDescent="0.3">
      <c r="A270" t="s">
        <v>750</v>
      </c>
      <c r="B270" s="13">
        <v>45875</v>
      </c>
      <c r="C270" s="25">
        <f t="shared" si="21"/>
        <v>45870</v>
      </c>
      <c r="D270" t="s">
        <v>16</v>
      </c>
      <c r="E270" t="s">
        <v>36</v>
      </c>
      <c r="F270" t="s">
        <v>26</v>
      </c>
      <c r="G270" t="s">
        <v>27</v>
      </c>
      <c r="H270" t="s">
        <v>20</v>
      </c>
      <c r="I270">
        <v>812</v>
      </c>
      <c r="J270">
        <v>734</v>
      </c>
      <c r="K270">
        <v>12</v>
      </c>
      <c r="L270">
        <f t="shared" si="22"/>
        <v>722</v>
      </c>
      <c r="M270">
        <v>33.4</v>
      </c>
      <c r="N270">
        <v>6.2</v>
      </c>
      <c r="O270" s="8">
        <v>73.040000000000006</v>
      </c>
      <c r="P270" s="10">
        <f t="shared" si="20"/>
        <v>53611.360000000008</v>
      </c>
      <c r="Q270" s="8">
        <f t="shared" si="23"/>
        <v>876.48</v>
      </c>
      <c r="R270" t="s">
        <v>29</v>
      </c>
      <c r="S270">
        <f t="shared" si="24"/>
        <v>734</v>
      </c>
    </row>
    <row r="271" spans="1:19" x14ac:dyDescent="0.3">
      <c r="A271" t="s">
        <v>231</v>
      </c>
      <c r="B271" s="13">
        <v>45961</v>
      </c>
      <c r="C271" s="25">
        <f t="shared" si="21"/>
        <v>45931</v>
      </c>
      <c r="D271" t="s">
        <v>32</v>
      </c>
      <c r="E271" t="s">
        <v>59</v>
      </c>
      <c r="F271" t="s">
        <v>33</v>
      </c>
      <c r="G271" t="s">
        <v>27</v>
      </c>
      <c r="H271" t="s">
        <v>28</v>
      </c>
      <c r="I271">
        <v>781</v>
      </c>
      <c r="J271">
        <v>705</v>
      </c>
      <c r="K271">
        <v>14</v>
      </c>
      <c r="L271">
        <f t="shared" si="22"/>
        <v>691</v>
      </c>
      <c r="M271">
        <v>28</v>
      </c>
      <c r="N271">
        <v>7.3</v>
      </c>
      <c r="O271" s="8">
        <v>73.19</v>
      </c>
      <c r="P271" s="10">
        <f t="shared" si="20"/>
        <v>51598.95</v>
      </c>
      <c r="Q271" s="8">
        <f t="shared" si="23"/>
        <v>1024.6599999999999</v>
      </c>
      <c r="R271" t="s">
        <v>29</v>
      </c>
      <c r="S271">
        <f t="shared" si="24"/>
        <v>705</v>
      </c>
    </row>
    <row r="272" spans="1:19" x14ac:dyDescent="0.3">
      <c r="A272" t="s">
        <v>280</v>
      </c>
      <c r="B272" s="13">
        <v>45864</v>
      </c>
      <c r="C272" s="25">
        <f t="shared" si="21"/>
        <v>45839</v>
      </c>
      <c r="D272" t="s">
        <v>16</v>
      </c>
      <c r="E272" t="s">
        <v>59</v>
      </c>
      <c r="F272" t="s">
        <v>18</v>
      </c>
      <c r="G272" t="s">
        <v>19</v>
      </c>
      <c r="H272" t="s">
        <v>44</v>
      </c>
      <c r="I272">
        <v>1708</v>
      </c>
      <c r="J272">
        <v>1577</v>
      </c>
      <c r="K272">
        <v>7</v>
      </c>
      <c r="L272">
        <f t="shared" si="22"/>
        <v>1570</v>
      </c>
      <c r="M272">
        <v>42.6</v>
      </c>
      <c r="N272">
        <v>6</v>
      </c>
      <c r="O272" s="8">
        <v>73.41</v>
      </c>
      <c r="P272" s="10">
        <f t="shared" si="20"/>
        <v>115767.56999999999</v>
      </c>
      <c r="Q272" s="8">
        <f t="shared" si="23"/>
        <v>513.87</v>
      </c>
      <c r="R272" t="s">
        <v>29</v>
      </c>
      <c r="S272">
        <f t="shared" si="24"/>
        <v>1577</v>
      </c>
    </row>
    <row r="273" spans="1:19" x14ac:dyDescent="0.3">
      <c r="A273" t="s">
        <v>359</v>
      </c>
      <c r="B273" s="13">
        <v>45840</v>
      </c>
      <c r="C273" s="25">
        <f t="shared" si="21"/>
        <v>45839</v>
      </c>
      <c r="D273" t="s">
        <v>24</v>
      </c>
      <c r="E273" t="s">
        <v>36</v>
      </c>
      <c r="F273" t="s">
        <v>49</v>
      </c>
      <c r="G273" t="s">
        <v>40</v>
      </c>
      <c r="H273" t="s">
        <v>69</v>
      </c>
      <c r="I273">
        <v>1419</v>
      </c>
      <c r="J273">
        <v>1230</v>
      </c>
      <c r="K273">
        <v>24</v>
      </c>
      <c r="L273">
        <f t="shared" si="22"/>
        <v>1206</v>
      </c>
      <c r="M273">
        <v>14.2</v>
      </c>
      <c r="N273">
        <v>7.3</v>
      </c>
      <c r="O273" s="8">
        <v>73.459999999999994</v>
      </c>
      <c r="P273" s="10">
        <f t="shared" si="20"/>
        <v>90355.799999999988</v>
      </c>
      <c r="Q273" s="8">
        <f t="shared" si="23"/>
        <v>1763.04</v>
      </c>
      <c r="R273" t="s">
        <v>29</v>
      </c>
      <c r="S273">
        <f t="shared" si="24"/>
        <v>1230</v>
      </c>
    </row>
    <row r="274" spans="1:19" x14ac:dyDescent="0.3">
      <c r="A274" t="s">
        <v>576</v>
      </c>
      <c r="B274" s="13">
        <v>45742</v>
      </c>
      <c r="C274" s="25">
        <f t="shared" si="21"/>
        <v>45717</v>
      </c>
      <c r="D274" t="s">
        <v>24</v>
      </c>
      <c r="E274" t="s">
        <v>59</v>
      </c>
      <c r="F274" t="s">
        <v>18</v>
      </c>
      <c r="G274" t="s">
        <v>40</v>
      </c>
      <c r="H274" t="s">
        <v>82</v>
      </c>
      <c r="I274">
        <v>775</v>
      </c>
      <c r="J274">
        <v>703</v>
      </c>
      <c r="K274">
        <v>15</v>
      </c>
      <c r="L274">
        <f t="shared" si="22"/>
        <v>688</v>
      </c>
      <c r="M274">
        <v>54.1</v>
      </c>
      <c r="N274">
        <v>7.7</v>
      </c>
      <c r="O274" s="8">
        <v>73.52</v>
      </c>
      <c r="P274" s="10">
        <f t="shared" si="20"/>
        <v>51684.56</v>
      </c>
      <c r="Q274" s="8">
        <f t="shared" si="23"/>
        <v>1102.8</v>
      </c>
      <c r="R274" t="s">
        <v>21</v>
      </c>
      <c r="S274">
        <f t="shared" si="24"/>
        <v>703</v>
      </c>
    </row>
    <row r="275" spans="1:19" x14ac:dyDescent="0.3">
      <c r="A275" t="s">
        <v>858</v>
      </c>
      <c r="B275" s="13">
        <v>45916</v>
      </c>
      <c r="C275" s="25">
        <f t="shared" si="21"/>
        <v>45901</v>
      </c>
      <c r="D275" t="s">
        <v>32</v>
      </c>
      <c r="E275" t="s">
        <v>62</v>
      </c>
      <c r="F275" t="s">
        <v>49</v>
      </c>
      <c r="G275" t="s">
        <v>19</v>
      </c>
      <c r="H275" t="s">
        <v>72</v>
      </c>
      <c r="I275">
        <v>1257</v>
      </c>
      <c r="J275">
        <v>1280</v>
      </c>
      <c r="K275">
        <v>12</v>
      </c>
      <c r="L275">
        <f t="shared" si="22"/>
        <v>1268</v>
      </c>
      <c r="M275">
        <v>30.6</v>
      </c>
      <c r="N275">
        <v>8</v>
      </c>
      <c r="O275" s="8">
        <v>73.569999999999993</v>
      </c>
      <c r="P275" s="10">
        <f t="shared" si="20"/>
        <v>94169.599999999991</v>
      </c>
      <c r="Q275" s="8">
        <f t="shared" si="23"/>
        <v>882.83999999999992</v>
      </c>
      <c r="R275" t="s">
        <v>29</v>
      </c>
      <c r="S275">
        <f t="shared" si="24"/>
        <v>1280</v>
      </c>
    </row>
    <row r="276" spans="1:19" x14ac:dyDescent="0.3">
      <c r="A276" t="s">
        <v>355</v>
      </c>
      <c r="B276" s="13">
        <v>45919</v>
      </c>
      <c r="C276" s="25">
        <f t="shared" si="21"/>
        <v>45901</v>
      </c>
      <c r="D276" t="s">
        <v>16</v>
      </c>
      <c r="E276" t="s">
        <v>25</v>
      </c>
      <c r="F276" t="s">
        <v>49</v>
      </c>
      <c r="G276" t="s">
        <v>19</v>
      </c>
      <c r="H276" t="s">
        <v>44</v>
      </c>
      <c r="I276">
        <v>1650</v>
      </c>
      <c r="J276">
        <v>1325</v>
      </c>
      <c r="K276">
        <v>7</v>
      </c>
      <c r="L276">
        <f t="shared" si="22"/>
        <v>1318</v>
      </c>
      <c r="M276">
        <v>78.900000000000006</v>
      </c>
      <c r="N276">
        <v>6.6</v>
      </c>
      <c r="O276" s="8">
        <v>73.61</v>
      </c>
      <c r="P276" s="10">
        <f t="shared" si="20"/>
        <v>97533.25</v>
      </c>
      <c r="Q276" s="8">
        <f t="shared" si="23"/>
        <v>515.27</v>
      </c>
      <c r="R276" t="s">
        <v>29</v>
      </c>
      <c r="S276">
        <f t="shared" si="24"/>
        <v>1325</v>
      </c>
    </row>
    <row r="277" spans="1:19" x14ac:dyDescent="0.3">
      <c r="A277" t="s">
        <v>919</v>
      </c>
      <c r="B277" s="13">
        <v>45995</v>
      </c>
      <c r="C277" s="25">
        <f t="shared" si="21"/>
        <v>45992</v>
      </c>
      <c r="D277" t="s">
        <v>32</v>
      </c>
      <c r="E277" t="s">
        <v>36</v>
      </c>
      <c r="F277" t="s">
        <v>33</v>
      </c>
      <c r="G277" t="s">
        <v>27</v>
      </c>
      <c r="H277" t="s">
        <v>75</v>
      </c>
      <c r="I277">
        <v>1129</v>
      </c>
      <c r="J277">
        <v>1022</v>
      </c>
      <c r="K277">
        <v>11</v>
      </c>
      <c r="L277">
        <f t="shared" si="22"/>
        <v>1011</v>
      </c>
      <c r="M277">
        <v>50</v>
      </c>
      <c r="N277">
        <v>7.3</v>
      </c>
      <c r="O277" s="8">
        <v>73.63</v>
      </c>
      <c r="P277" s="10">
        <f t="shared" si="20"/>
        <v>75249.86</v>
      </c>
      <c r="Q277" s="8">
        <f t="shared" si="23"/>
        <v>809.93</v>
      </c>
      <c r="R277" t="s">
        <v>29</v>
      </c>
      <c r="S277">
        <f t="shared" si="24"/>
        <v>1022</v>
      </c>
    </row>
    <row r="278" spans="1:19" x14ac:dyDescent="0.3">
      <c r="A278" t="s">
        <v>661</v>
      </c>
      <c r="B278" s="13">
        <v>45682</v>
      </c>
      <c r="C278" s="25">
        <f t="shared" si="21"/>
        <v>45658</v>
      </c>
      <c r="D278" t="s">
        <v>16</v>
      </c>
      <c r="E278" t="s">
        <v>17</v>
      </c>
      <c r="F278" t="s">
        <v>33</v>
      </c>
      <c r="G278" t="s">
        <v>40</v>
      </c>
      <c r="H278" t="s">
        <v>69</v>
      </c>
      <c r="I278">
        <v>1749</v>
      </c>
      <c r="J278">
        <v>1604</v>
      </c>
      <c r="K278">
        <v>45</v>
      </c>
      <c r="L278">
        <f t="shared" si="22"/>
        <v>1559</v>
      </c>
      <c r="M278">
        <v>165.7</v>
      </c>
      <c r="N278">
        <v>7.1</v>
      </c>
      <c r="O278" s="8">
        <v>73.66</v>
      </c>
      <c r="P278" s="10">
        <f t="shared" si="20"/>
        <v>118150.64</v>
      </c>
      <c r="Q278" s="8">
        <f t="shared" si="23"/>
        <v>3314.7</v>
      </c>
      <c r="R278" t="s">
        <v>21</v>
      </c>
      <c r="S278">
        <f t="shared" si="24"/>
        <v>1604</v>
      </c>
    </row>
    <row r="279" spans="1:19" x14ac:dyDescent="0.3">
      <c r="A279" t="s">
        <v>740</v>
      </c>
      <c r="B279" s="13">
        <v>45899</v>
      </c>
      <c r="C279" s="25">
        <f t="shared" si="21"/>
        <v>45870</v>
      </c>
      <c r="D279" t="s">
        <v>32</v>
      </c>
      <c r="E279" t="s">
        <v>17</v>
      </c>
      <c r="F279" t="s">
        <v>33</v>
      </c>
      <c r="G279" t="s">
        <v>27</v>
      </c>
      <c r="H279" t="s">
        <v>69</v>
      </c>
      <c r="I279">
        <v>1008</v>
      </c>
      <c r="J279">
        <v>994</v>
      </c>
      <c r="K279">
        <v>23</v>
      </c>
      <c r="L279">
        <f t="shared" si="22"/>
        <v>971</v>
      </c>
      <c r="M279">
        <v>13.6</v>
      </c>
      <c r="N279">
        <v>7.2</v>
      </c>
      <c r="O279" s="8">
        <v>73.8</v>
      </c>
      <c r="P279" s="10">
        <f t="shared" si="20"/>
        <v>73357.2</v>
      </c>
      <c r="Q279" s="8">
        <f t="shared" si="23"/>
        <v>1697.3999999999999</v>
      </c>
      <c r="R279" t="s">
        <v>21</v>
      </c>
      <c r="S279">
        <f t="shared" si="24"/>
        <v>994</v>
      </c>
    </row>
    <row r="280" spans="1:19" x14ac:dyDescent="0.3">
      <c r="A280" t="s">
        <v>449</v>
      </c>
      <c r="B280" s="13">
        <v>45886</v>
      </c>
      <c r="C280" s="25">
        <f t="shared" si="21"/>
        <v>45870</v>
      </c>
      <c r="D280" t="s">
        <v>24</v>
      </c>
      <c r="E280" t="s">
        <v>62</v>
      </c>
      <c r="F280" t="s">
        <v>49</v>
      </c>
      <c r="G280" t="s">
        <v>27</v>
      </c>
      <c r="H280" t="s">
        <v>72</v>
      </c>
      <c r="I280">
        <v>1015</v>
      </c>
      <c r="J280">
        <v>947</v>
      </c>
      <c r="K280">
        <v>28</v>
      </c>
      <c r="L280">
        <f t="shared" si="22"/>
        <v>919</v>
      </c>
      <c r="M280">
        <v>77</v>
      </c>
      <c r="N280">
        <v>6.8</v>
      </c>
      <c r="O280" s="8">
        <v>73.86</v>
      </c>
      <c r="P280" s="10">
        <f t="shared" si="20"/>
        <v>69945.42</v>
      </c>
      <c r="Q280" s="8">
        <f t="shared" si="23"/>
        <v>2068.08</v>
      </c>
      <c r="R280" t="s">
        <v>21</v>
      </c>
      <c r="S280">
        <f t="shared" si="24"/>
        <v>947</v>
      </c>
    </row>
    <row r="281" spans="1:19" x14ac:dyDescent="0.3">
      <c r="A281" t="s">
        <v>885</v>
      </c>
      <c r="B281" s="13">
        <v>45968</v>
      </c>
      <c r="C281" s="25">
        <f t="shared" si="21"/>
        <v>45962</v>
      </c>
      <c r="D281" t="s">
        <v>32</v>
      </c>
      <c r="E281" t="s">
        <v>59</v>
      </c>
      <c r="F281" t="s">
        <v>18</v>
      </c>
      <c r="G281" t="s">
        <v>40</v>
      </c>
      <c r="H281" t="s">
        <v>44</v>
      </c>
      <c r="I281">
        <v>857</v>
      </c>
      <c r="J281">
        <v>757</v>
      </c>
      <c r="K281">
        <v>18</v>
      </c>
      <c r="L281">
        <f t="shared" si="22"/>
        <v>739</v>
      </c>
      <c r="M281">
        <v>33.799999999999997</v>
      </c>
      <c r="N281">
        <v>6.2</v>
      </c>
      <c r="O281" s="8">
        <v>74.010000000000005</v>
      </c>
      <c r="P281" s="10">
        <f t="shared" si="20"/>
        <v>56025.570000000007</v>
      </c>
      <c r="Q281" s="8">
        <f t="shared" si="23"/>
        <v>1332.18</v>
      </c>
      <c r="R281" t="s">
        <v>21</v>
      </c>
      <c r="S281">
        <f t="shared" si="24"/>
        <v>757</v>
      </c>
    </row>
    <row r="282" spans="1:19" x14ac:dyDescent="0.3">
      <c r="A282" t="s">
        <v>766</v>
      </c>
      <c r="B282" s="13">
        <v>45718</v>
      </c>
      <c r="C282" s="25">
        <f t="shared" si="21"/>
        <v>45717</v>
      </c>
      <c r="D282" t="s">
        <v>32</v>
      </c>
      <c r="E282" t="s">
        <v>59</v>
      </c>
      <c r="F282" t="s">
        <v>18</v>
      </c>
      <c r="G282" t="s">
        <v>27</v>
      </c>
      <c r="H282" t="s">
        <v>69</v>
      </c>
      <c r="I282">
        <v>1650</v>
      </c>
      <c r="J282">
        <v>1761</v>
      </c>
      <c r="K282">
        <v>41</v>
      </c>
      <c r="L282">
        <f t="shared" si="22"/>
        <v>1720</v>
      </c>
      <c r="M282">
        <v>22.6</v>
      </c>
      <c r="N282">
        <v>6.3</v>
      </c>
      <c r="O282" s="8">
        <v>74.010000000000005</v>
      </c>
      <c r="P282" s="10">
        <f t="shared" si="20"/>
        <v>130331.61000000002</v>
      </c>
      <c r="Q282" s="8">
        <f t="shared" si="23"/>
        <v>3034.4100000000003</v>
      </c>
      <c r="R282" t="s">
        <v>21</v>
      </c>
      <c r="S282">
        <f t="shared" si="24"/>
        <v>1761</v>
      </c>
    </row>
    <row r="283" spans="1:19" x14ac:dyDescent="0.3">
      <c r="A283" t="s">
        <v>895</v>
      </c>
      <c r="B283" s="13">
        <v>45892</v>
      </c>
      <c r="C283" s="25">
        <f t="shared" si="21"/>
        <v>45870</v>
      </c>
      <c r="D283" t="s">
        <v>16</v>
      </c>
      <c r="E283" t="s">
        <v>17</v>
      </c>
      <c r="F283" t="s">
        <v>26</v>
      </c>
      <c r="G283" t="s">
        <v>40</v>
      </c>
      <c r="H283" t="s">
        <v>82</v>
      </c>
      <c r="I283">
        <v>1593</v>
      </c>
      <c r="J283">
        <v>1560</v>
      </c>
      <c r="K283">
        <v>23</v>
      </c>
      <c r="L283">
        <f t="shared" si="22"/>
        <v>1537</v>
      </c>
      <c r="M283">
        <v>54.9</v>
      </c>
      <c r="N283">
        <v>8.1</v>
      </c>
      <c r="O283" s="8">
        <v>74.180000000000007</v>
      </c>
      <c r="P283" s="10">
        <f t="shared" si="20"/>
        <v>115720.80000000002</v>
      </c>
      <c r="Q283" s="8">
        <f t="shared" si="23"/>
        <v>1706.14</v>
      </c>
      <c r="R283" t="s">
        <v>29</v>
      </c>
      <c r="S283">
        <f t="shared" si="24"/>
        <v>1560</v>
      </c>
    </row>
    <row r="284" spans="1:19" x14ac:dyDescent="0.3">
      <c r="A284" t="s">
        <v>606</v>
      </c>
      <c r="B284" s="13">
        <v>45999</v>
      </c>
      <c r="C284" s="25">
        <f t="shared" si="21"/>
        <v>45992</v>
      </c>
      <c r="D284" t="s">
        <v>32</v>
      </c>
      <c r="E284" t="s">
        <v>25</v>
      </c>
      <c r="F284" t="s">
        <v>18</v>
      </c>
      <c r="G284" t="s">
        <v>27</v>
      </c>
      <c r="H284" t="s">
        <v>72</v>
      </c>
      <c r="I284">
        <v>1610</v>
      </c>
      <c r="J284">
        <v>1511</v>
      </c>
      <c r="K284">
        <v>13</v>
      </c>
      <c r="L284">
        <f t="shared" si="22"/>
        <v>1498</v>
      </c>
      <c r="M284">
        <v>4.0999999999999996</v>
      </c>
      <c r="N284">
        <v>6</v>
      </c>
      <c r="O284" s="8">
        <v>74.55</v>
      </c>
      <c r="P284" s="10">
        <f t="shared" si="20"/>
        <v>112645.05</v>
      </c>
      <c r="Q284" s="8">
        <f t="shared" si="23"/>
        <v>969.15</v>
      </c>
      <c r="R284" t="s">
        <v>29</v>
      </c>
      <c r="S284">
        <f t="shared" si="24"/>
        <v>1511</v>
      </c>
    </row>
    <row r="285" spans="1:19" x14ac:dyDescent="0.3">
      <c r="A285" t="s">
        <v>623</v>
      </c>
      <c r="B285" s="13">
        <v>45966</v>
      </c>
      <c r="C285" s="25">
        <f t="shared" si="21"/>
        <v>45962</v>
      </c>
      <c r="D285" t="s">
        <v>32</v>
      </c>
      <c r="E285" t="s">
        <v>25</v>
      </c>
      <c r="F285" t="s">
        <v>49</v>
      </c>
      <c r="G285" t="s">
        <v>40</v>
      </c>
      <c r="H285" t="s">
        <v>28</v>
      </c>
      <c r="I285">
        <v>1319</v>
      </c>
      <c r="J285">
        <v>1240</v>
      </c>
      <c r="K285">
        <v>22</v>
      </c>
      <c r="L285">
        <f t="shared" si="22"/>
        <v>1218</v>
      </c>
      <c r="M285">
        <v>59.7</v>
      </c>
      <c r="N285">
        <v>7.5</v>
      </c>
      <c r="O285" s="8">
        <v>74.8</v>
      </c>
      <c r="P285" s="10">
        <f t="shared" si="20"/>
        <v>92752</v>
      </c>
      <c r="Q285" s="8">
        <f t="shared" si="23"/>
        <v>1645.6</v>
      </c>
      <c r="R285" t="s">
        <v>29</v>
      </c>
      <c r="S285">
        <f t="shared" si="24"/>
        <v>1240</v>
      </c>
    </row>
    <row r="286" spans="1:19" x14ac:dyDescent="0.3">
      <c r="A286" t="s">
        <v>286</v>
      </c>
      <c r="B286" s="13">
        <v>45768</v>
      </c>
      <c r="C286" s="25">
        <f t="shared" si="21"/>
        <v>45748</v>
      </c>
      <c r="D286" t="s">
        <v>24</v>
      </c>
      <c r="E286" t="s">
        <v>62</v>
      </c>
      <c r="F286" t="s">
        <v>49</v>
      </c>
      <c r="G286" t="s">
        <v>40</v>
      </c>
      <c r="H286" t="s">
        <v>20</v>
      </c>
      <c r="I286">
        <v>941</v>
      </c>
      <c r="J286">
        <v>1000</v>
      </c>
      <c r="K286">
        <v>7</v>
      </c>
      <c r="L286">
        <f t="shared" si="22"/>
        <v>993</v>
      </c>
      <c r="M286">
        <v>37.4</v>
      </c>
      <c r="N286">
        <v>7.6</v>
      </c>
      <c r="O286" s="8">
        <v>74.989999999999995</v>
      </c>
      <c r="P286" s="10">
        <f t="shared" si="20"/>
        <v>74990</v>
      </c>
      <c r="Q286" s="8">
        <f t="shared" si="23"/>
        <v>524.92999999999995</v>
      </c>
      <c r="R286" t="s">
        <v>29</v>
      </c>
      <c r="S286">
        <f t="shared" si="24"/>
        <v>1000</v>
      </c>
    </row>
    <row r="287" spans="1:19" x14ac:dyDescent="0.3">
      <c r="A287" t="s">
        <v>245</v>
      </c>
      <c r="B287" s="13">
        <v>45915</v>
      </c>
      <c r="C287" s="25">
        <f t="shared" si="21"/>
        <v>45901</v>
      </c>
      <c r="D287" t="s">
        <v>24</v>
      </c>
      <c r="E287" t="s">
        <v>36</v>
      </c>
      <c r="F287" t="s">
        <v>43</v>
      </c>
      <c r="G287" t="s">
        <v>40</v>
      </c>
      <c r="H287" t="s">
        <v>69</v>
      </c>
      <c r="I287">
        <v>1051</v>
      </c>
      <c r="J287">
        <v>848</v>
      </c>
      <c r="K287">
        <v>25</v>
      </c>
      <c r="L287">
        <f t="shared" si="22"/>
        <v>823</v>
      </c>
      <c r="M287">
        <v>38.799999999999997</v>
      </c>
      <c r="N287">
        <v>6.1</v>
      </c>
      <c r="O287" s="8">
        <v>75.099999999999994</v>
      </c>
      <c r="P287" s="10">
        <f t="shared" si="20"/>
        <v>63684.799999999996</v>
      </c>
      <c r="Q287" s="8">
        <f t="shared" si="23"/>
        <v>1877.4999999999998</v>
      </c>
      <c r="R287" t="s">
        <v>21</v>
      </c>
      <c r="S287">
        <f t="shared" si="24"/>
        <v>848</v>
      </c>
    </row>
    <row r="288" spans="1:19" x14ac:dyDescent="0.3">
      <c r="A288" t="s">
        <v>812</v>
      </c>
      <c r="B288" s="13">
        <v>45758</v>
      </c>
      <c r="C288" s="25">
        <f t="shared" si="21"/>
        <v>45748</v>
      </c>
      <c r="D288" t="s">
        <v>24</v>
      </c>
      <c r="E288" t="s">
        <v>17</v>
      </c>
      <c r="F288" t="s">
        <v>33</v>
      </c>
      <c r="G288" t="s">
        <v>19</v>
      </c>
      <c r="H288" t="s">
        <v>82</v>
      </c>
      <c r="I288">
        <v>1185</v>
      </c>
      <c r="J288">
        <v>1179</v>
      </c>
      <c r="K288">
        <v>26</v>
      </c>
      <c r="L288">
        <f t="shared" si="22"/>
        <v>1153</v>
      </c>
      <c r="M288">
        <v>46.5</v>
      </c>
      <c r="N288">
        <v>6.7</v>
      </c>
      <c r="O288" s="8">
        <v>75.27</v>
      </c>
      <c r="P288" s="10">
        <f t="shared" si="20"/>
        <v>88743.33</v>
      </c>
      <c r="Q288" s="8">
        <f t="shared" si="23"/>
        <v>1957.02</v>
      </c>
      <c r="R288" t="s">
        <v>21</v>
      </c>
      <c r="S288">
        <f t="shared" si="24"/>
        <v>1179</v>
      </c>
    </row>
    <row r="289" spans="1:19" x14ac:dyDescent="0.3">
      <c r="A289" t="s">
        <v>314</v>
      </c>
      <c r="B289" s="13">
        <v>45970</v>
      </c>
      <c r="C289" s="25">
        <f t="shared" si="21"/>
        <v>45962</v>
      </c>
      <c r="D289" t="s">
        <v>32</v>
      </c>
      <c r="E289" t="s">
        <v>25</v>
      </c>
      <c r="F289" t="s">
        <v>43</v>
      </c>
      <c r="G289" t="s">
        <v>19</v>
      </c>
      <c r="H289" t="s">
        <v>82</v>
      </c>
      <c r="I289">
        <v>1184</v>
      </c>
      <c r="J289">
        <v>1144</v>
      </c>
      <c r="K289">
        <v>17</v>
      </c>
      <c r="L289">
        <f t="shared" si="22"/>
        <v>1127</v>
      </c>
      <c r="M289">
        <v>22.5</v>
      </c>
      <c r="N289">
        <v>6.8</v>
      </c>
      <c r="O289" s="8">
        <v>75.28</v>
      </c>
      <c r="P289" s="10">
        <f t="shared" si="20"/>
        <v>86120.320000000007</v>
      </c>
      <c r="Q289" s="8">
        <f t="shared" si="23"/>
        <v>1279.76</v>
      </c>
      <c r="R289" t="s">
        <v>29</v>
      </c>
      <c r="S289">
        <f t="shared" si="24"/>
        <v>1144</v>
      </c>
    </row>
    <row r="290" spans="1:19" x14ac:dyDescent="0.3">
      <c r="A290" t="s">
        <v>524</v>
      </c>
      <c r="B290" s="13">
        <v>45952</v>
      </c>
      <c r="C290" s="25">
        <f t="shared" si="21"/>
        <v>45931</v>
      </c>
      <c r="D290" t="s">
        <v>24</v>
      </c>
      <c r="E290" t="s">
        <v>62</v>
      </c>
      <c r="F290" t="s">
        <v>43</v>
      </c>
      <c r="G290" t="s">
        <v>40</v>
      </c>
      <c r="H290" t="s">
        <v>82</v>
      </c>
      <c r="I290">
        <v>832</v>
      </c>
      <c r="J290">
        <v>855</v>
      </c>
      <c r="K290">
        <v>5</v>
      </c>
      <c r="L290">
        <f t="shared" si="22"/>
        <v>850</v>
      </c>
      <c r="M290">
        <v>16.2</v>
      </c>
      <c r="N290">
        <v>8.5</v>
      </c>
      <c r="O290" s="8">
        <v>75.83</v>
      </c>
      <c r="P290" s="10">
        <f t="shared" si="20"/>
        <v>64834.65</v>
      </c>
      <c r="Q290" s="8">
        <f t="shared" si="23"/>
        <v>379.15</v>
      </c>
      <c r="R290" t="s">
        <v>29</v>
      </c>
      <c r="S290">
        <f t="shared" si="24"/>
        <v>855</v>
      </c>
    </row>
    <row r="291" spans="1:19" x14ac:dyDescent="0.3">
      <c r="A291" t="s">
        <v>65</v>
      </c>
      <c r="B291" s="13">
        <v>45919</v>
      </c>
      <c r="C291" s="25">
        <f t="shared" si="21"/>
        <v>45901</v>
      </c>
      <c r="D291" t="s">
        <v>24</v>
      </c>
      <c r="E291" t="s">
        <v>25</v>
      </c>
      <c r="F291" t="s">
        <v>49</v>
      </c>
      <c r="G291" t="s">
        <v>27</v>
      </c>
      <c r="H291" t="s">
        <v>44</v>
      </c>
      <c r="I291">
        <v>1226</v>
      </c>
      <c r="J291">
        <v>1120</v>
      </c>
      <c r="K291">
        <v>32</v>
      </c>
      <c r="L291">
        <f t="shared" si="22"/>
        <v>1088</v>
      </c>
      <c r="M291">
        <v>35.200000000000003</v>
      </c>
      <c r="N291">
        <v>6.7</v>
      </c>
      <c r="O291" s="8">
        <v>76.239999999999995</v>
      </c>
      <c r="P291" s="10">
        <f t="shared" si="20"/>
        <v>85388.799999999988</v>
      </c>
      <c r="Q291" s="8">
        <f t="shared" si="23"/>
        <v>2439.6799999999998</v>
      </c>
      <c r="R291" t="s">
        <v>21</v>
      </c>
      <c r="S291">
        <f t="shared" si="24"/>
        <v>1120</v>
      </c>
    </row>
    <row r="292" spans="1:19" x14ac:dyDescent="0.3">
      <c r="A292" t="s">
        <v>864</v>
      </c>
      <c r="B292" s="13">
        <v>45961</v>
      </c>
      <c r="C292" s="25">
        <f t="shared" si="21"/>
        <v>45931</v>
      </c>
      <c r="D292" t="s">
        <v>24</v>
      </c>
      <c r="E292" t="s">
        <v>25</v>
      </c>
      <c r="F292" t="s">
        <v>18</v>
      </c>
      <c r="G292" t="s">
        <v>27</v>
      </c>
      <c r="H292" t="s">
        <v>44</v>
      </c>
      <c r="I292">
        <v>871</v>
      </c>
      <c r="J292">
        <v>793</v>
      </c>
      <c r="K292">
        <v>25</v>
      </c>
      <c r="L292">
        <f t="shared" si="22"/>
        <v>768</v>
      </c>
      <c r="M292">
        <v>21.2</v>
      </c>
      <c r="N292">
        <v>7.8</v>
      </c>
      <c r="O292" s="8">
        <v>76.88</v>
      </c>
      <c r="P292" s="10">
        <f t="shared" si="20"/>
        <v>60965.84</v>
      </c>
      <c r="Q292" s="8">
        <f t="shared" si="23"/>
        <v>1922</v>
      </c>
      <c r="R292" t="s">
        <v>21</v>
      </c>
      <c r="S292">
        <f t="shared" si="24"/>
        <v>793</v>
      </c>
    </row>
    <row r="293" spans="1:19" x14ac:dyDescent="0.3">
      <c r="A293" t="s">
        <v>397</v>
      </c>
      <c r="B293" s="13">
        <v>45755</v>
      </c>
      <c r="C293" s="25">
        <f t="shared" si="21"/>
        <v>45748</v>
      </c>
      <c r="D293" t="s">
        <v>32</v>
      </c>
      <c r="E293" t="s">
        <v>25</v>
      </c>
      <c r="F293" t="s">
        <v>26</v>
      </c>
      <c r="G293" t="s">
        <v>40</v>
      </c>
      <c r="H293" t="s">
        <v>69</v>
      </c>
      <c r="I293">
        <v>1460</v>
      </c>
      <c r="J293">
        <v>1393</v>
      </c>
      <c r="K293">
        <v>13</v>
      </c>
      <c r="L293">
        <f t="shared" si="22"/>
        <v>1380</v>
      </c>
      <c r="M293">
        <v>72.8</v>
      </c>
      <c r="N293">
        <v>6.5</v>
      </c>
      <c r="O293" s="8">
        <v>76.91</v>
      </c>
      <c r="P293" s="10">
        <f t="shared" si="20"/>
        <v>107135.62999999999</v>
      </c>
      <c r="Q293" s="8">
        <f t="shared" si="23"/>
        <v>999.82999999999993</v>
      </c>
      <c r="R293" t="s">
        <v>29</v>
      </c>
      <c r="S293">
        <f t="shared" si="24"/>
        <v>1393</v>
      </c>
    </row>
    <row r="294" spans="1:19" x14ac:dyDescent="0.3">
      <c r="A294" t="s">
        <v>202</v>
      </c>
      <c r="B294" s="13">
        <v>45887</v>
      </c>
      <c r="C294" s="25">
        <f t="shared" si="21"/>
        <v>45870</v>
      </c>
      <c r="D294" t="s">
        <v>16</v>
      </c>
      <c r="E294" t="s">
        <v>59</v>
      </c>
      <c r="F294" t="s">
        <v>49</v>
      </c>
      <c r="G294" t="s">
        <v>19</v>
      </c>
      <c r="H294" t="s">
        <v>20</v>
      </c>
      <c r="I294">
        <v>1095</v>
      </c>
      <c r="J294">
        <v>998</v>
      </c>
      <c r="K294">
        <v>32</v>
      </c>
      <c r="L294">
        <f t="shared" si="22"/>
        <v>966</v>
      </c>
      <c r="M294">
        <v>87.7</v>
      </c>
      <c r="N294">
        <v>6.5</v>
      </c>
      <c r="O294" s="8">
        <v>77.66</v>
      </c>
      <c r="P294" s="10">
        <f t="shared" si="20"/>
        <v>77504.679999999993</v>
      </c>
      <c r="Q294" s="8">
        <f t="shared" si="23"/>
        <v>2485.12</v>
      </c>
      <c r="R294" t="s">
        <v>21</v>
      </c>
      <c r="S294">
        <f t="shared" si="24"/>
        <v>998</v>
      </c>
    </row>
    <row r="295" spans="1:19" x14ac:dyDescent="0.3">
      <c r="A295" t="s">
        <v>547</v>
      </c>
      <c r="B295" s="13">
        <v>45856</v>
      </c>
      <c r="C295" s="25">
        <f t="shared" si="21"/>
        <v>45839</v>
      </c>
      <c r="D295" t="s">
        <v>32</v>
      </c>
      <c r="E295" t="s">
        <v>17</v>
      </c>
      <c r="F295" t="s">
        <v>43</v>
      </c>
      <c r="G295" t="s">
        <v>19</v>
      </c>
      <c r="H295" t="s">
        <v>72</v>
      </c>
      <c r="I295">
        <v>780</v>
      </c>
      <c r="J295">
        <v>690</v>
      </c>
      <c r="K295">
        <v>23</v>
      </c>
      <c r="L295">
        <f t="shared" si="22"/>
        <v>667</v>
      </c>
      <c r="M295">
        <v>30.8</v>
      </c>
      <c r="N295">
        <v>7.9</v>
      </c>
      <c r="O295" s="8">
        <v>77.900000000000006</v>
      </c>
      <c r="P295" s="10">
        <f t="shared" si="20"/>
        <v>53751.000000000007</v>
      </c>
      <c r="Q295" s="8">
        <f t="shared" si="23"/>
        <v>1791.7</v>
      </c>
      <c r="R295" t="s">
        <v>21</v>
      </c>
      <c r="S295">
        <f t="shared" si="24"/>
        <v>690</v>
      </c>
    </row>
    <row r="296" spans="1:19" x14ac:dyDescent="0.3">
      <c r="A296" t="s">
        <v>410</v>
      </c>
      <c r="B296" s="13">
        <v>45926</v>
      </c>
      <c r="C296" s="25">
        <f t="shared" si="21"/>
        <v>45901</v>
      </c>
      <c r="D296" t="s">
        <v>16</v>
      </c>
      <c r="E296" t="s">
        <v>25</v>
      </c>
      <c r="F296" t="s">
        <v>43</v>
      </c>
      <c r="G296" t="s">
        <v>40</v>
      </c>
      <c r="H296" t="s">
        <v>44</v>
      </c>
      <c r="I296">
        <v>1199</v>
      </c>
      <c r="J296">
        <v>1241</v>
      </c>
      <c r="K296">
        <v>17</v>
      </c>
      <c r="L296">
        <f t="shared" si="22"/>
        <v>1224</v>
      </c>
      <c r="M296">
        <v>35.799999999999997</v>
      </c>
      <c r="N296">
        <v>7.6</v>
      </c>
      <c r="O296" s="8">
        <v>78.19</v>
      </c>
      <c r="P296" s="10">
        <f t="shared" si="20"/>
        <v>97033.79</v>
      </c>
      <c r="Q296" s="8">
        <f t="shared" si="23"/>
        <v>1329.23</v>
      </c>
      <c r="R296" t="s">
        <v>29</v>
      </c>
      <c r="S296">
        <f t="shared" si="24"/>
        <v>1241</v>
      </c>
    </row>
    <row r="297" spans="1:19" x14ac:dyDescent="0.3">
      <c r="A297" t="s">
        <v>494</v>
      </c>
      <c r="B297" s="13">
        <v>45784</v>
      </c>
      <c r="C297" s="25">
        <f t="shared" si="21"/>
        <v>45778</v>
      </c>
      <c r="D297" t="s">
        <v>24</v>
      </c>
      <c r="E297" t="s">
        <v>36</v>
      </c>
      <c r="F297" t="s">
        <v>43</v>
      </c>
      <c r="G297" t="s">
        <v>40</v>
      </c>
      <c r="H297" t="s">
        <v>69</v>
      </c>
      <c r="I297">
        <v>746</v>
      </c>
      <c r="J297">
        <v>633</v>
      </c>
      <c r="K297">
        <v>11</v>
      </c>
      <c r="L297">
        <f t="shared" si="22"/>
        <v>622</v>
      </c>
      <c r="M297">
        <v>75.400000000000006</v>
      </c>
      <c r="N297">
        <v>8.4</v>
      </c>
      <c r="O297" s="8">
        <v>78.31</v>
      </c>
      <c r="P297" s="10">
        <f t="shared" si="20"/>
        <v>49570.23</v>
      </c>
      <c r="Q297" s="8">
        <f t="shared" si="23"/>
        <v>861.41000000000008</v>
      </c>
      <c r="R297" t="s">
        <v>29</v>
      </c>
      <c r="S297">
        <f t="shared" si="24"/>
        <v>633</v>
      </c>
    </row>
    <row r="298" spans="1:19" x14ac:dyDescent="0.3">
      <c r="A298" t="s">
        <v>464</v>
      </c>
      <c r="B298" s="13">
        <v>45673</v>
      </c>
      <c r="C298" s="25">
        <f t="shared" si="21"/>
        <v>45658</v>
      </c>
      <c r="D298" t="s">
        <v>16</v>
      </c>
      <c r="E298" t="s">
        <v>17</v>
      </c>
      <c r="F298" t="s">
        <v>43</v>
      </c>
      <c r="G298" t="s">
        <v>19</v>
      </c>
      <c r="H298" t="s">
        <v>72</v>
      </c>
      <c r="I298">
        <v>947</v>
      </c>
      <c r="J298">
        <v>808</v>
      </c>
      <c r="K298">
        <v>20</v>
      </c>
      <c r="L298">
        <f t="shared" si="22"/>
        <v>788</v>
      </c>
      <c r="M298">
        <v>37.9</v>
      </c>
      <c r="N298">
        <v>6.3</v>
      </c>
      <c r="O298" s="8">
        <v>78.33</v>
      </c>
      <c r="P298" s="10">
        <f t="shared" si="20"/>
        <v>63290.64</v>
      </c>
      <c r="Q298" s="8">
        <f t="shared" si="23"/>
        <v>1566.6</v>
      </c>
      <c r="R298" t="s">
        <v>21</v>
      </c>
      <c r="S298">
        <f t="shared" si="24"/>
        <v>808</v>
      </c>
    </row>
    <row r="299" spans="1:19" x14ac:dyDescent="0.3">
      <c r="A299" t="s">
        <v>362</v>
      </c>
      <c r="B299" s="13">
        <v>45713</v>
      </c>
      <c r="C299" s="25">
        <f t="shared" si="21"/>
        <v>45689</v>
      </c>
      <c r="D299" t="s">
        <v>32</v>
      </c>
      <c r="E299" t="s">
        <v>25</v>
      </c>
      <c r="F299" t="s">
        <v>33</v>
      </c>
      <c r="G299" t="s">
        <v>19</v>
      </c>
      <c r="H299" t="s">
        <v>20</v>
      </c>
      <c r="I299">
        <v>1795</v>
      </c>
      <c r="J299">
        <v>1697</v>
      </c>
      <c r="K299">
        <v>30</v>
      </c>
      <c r="L299">
        <f t="shared" si="22"/>
        <v>1667</v>
      </c>
      <c r="M299">
        <v>40.6</v>
      </c>
      <c r="N299">
        <v>8.1999999999999993</v>
      </c>
      <c r="O299" s="8">
        <v>78.400000000000006</v>
      </c>
      <c r="P299" s="10">
        <f t="shared" si="20"/>
        <v>133044.80000000002</v>
      </c>
      <c r="Q299" s="8">
        <f t="shared" si="23"/>
        <v>2352</v>
      </c>
      <c r="R299" t="s">
        <v>29</v>
      </c>
      <c r="S299">
        <f t="shared" si="24"/>
        <v>1697</v>
      </c>
    </row>
    <row r="300" spans="1:19" x14ac:dyDescent="0.3">
      <c r="A300" t="s">
        <v>746</v>
      </c>
      <c r="B300" s="13">
        <v>46008</v>
      </c>
      <c r="C300" s="25">
        <f t="shared" si="21"/>
        <v>45992</v>
      </c>
      <c r="D300" t="s">
        <v>32</v>
      </c>
      <c r="E300" t="s">
        <v>59</v>
      </c>
      <c r="F300" t="s">
        <v>43</v>
      </c>
      <c r="G300" t="s">
        <v>40</v>
      </c>
      <c r="H300" t="s">
        <v>37</v>
      </c>
      <c r="I300">
        <v>1591</v>
      </c>
      <c r="J300">
        <v>1617</v>
      </c>
      <c r="K300">
        <v>40</v>
      </c>
      <c r="L300">
        <f t="shared" si="22"/>
        <v>1577</v>
      </c>
      <c r="M300">
        <v>54.4</v>
      </c>
      <c r="N300">
        <v>6.2</v>
      </c>
      <c r="O300" s="8">
        <v>78.59</v>
      </c>
      <c r="P300" s="10">
        <f t="shared" si="20"/>
        <v>127080.03</v>
      </c>
      <c r="Q300" s="8">
        <f t="shared" si="23"/>
        <v>3143.6000000000004</v>
      </c>
      <c r="R300" t="s">
        <v>21</v>
      </c>
      <c r="S300">
        <f t="shared" si="24"/>
        <v>1617</v>
      </c>
    </row>
    <row r="301" spans="1:19" x14ac:dyDescent="0.3">
      <c r="A301" t="s">
        <v>372</v>
      </c>
      <c r="B301" s="13">
        <v>45745</v>
      </c>
      <c r="C301" s="25">
        <f t="shared" si="21"/>
        <v>45717</v>
      </c>
      <c r="D301" t="s">
        <v>16</v>
      </c>
      <c r="E301" t="s">
        <v>62</v>
      </c>
      <c r="F301" t="s">
        <v>33</v>
      </c>
      <c r="G301" t="s">
        <v>19</v>
      </c>
      <c r="H301" t="s">
        <v>72</v>
      </c>
      <c r="I301">
        <v>1128</v>
      </c>
      <c r="J301">
        <v>1013</v>
      </c>
      <c r="K301">
        <v>25</v>
      </c>
      <c r="L301">
        <f t="shared" si="22"/>
        <v>988</v>
      </c>
      <c r="M301">
        <v>31.7</v>
      </c>
      <c r="N301">
        <v>6.2</v>
      </c>
      <c r="O301" s="8">
        <v>79.099999999999994</v>
      </c>
      <c r="P301" s="10">
        <f t="shared" si="20"/>
        <v>80128.299999999988</v>
      </c>
      <c r="Q301" s="8">
        <f t="shared" si="23"/>
        <v>1977.4999999999998</v>
      </c>
      <c r="R301" t="s">
        <v>21</v>
      </c>
      <c r="S301">
        <f t="shared" si="24"/>
        <v>1013</v>
      </c>
    </row>
    <row r="302" spans="1:19" x14ac:dyDescent="0.3">
      <c r="A302" t="s">
        <v>748</v>
      </c>
      <c r="B302" s="13">
        <v>45840</v>
      </c>
      <c r="C302" s="25">
        <f t="shared" si="21"/>
        <v>45839</v>
      </c>
      <c r="D302" t="s">
        <v>24</v>
      </c>
      <c r="E302" t="s">
        <v>62</v>
      </c>
      <c r="F302" t="s">
        <v>49</v>
      </c>
      <c r="G302" t="s">
        <v>19</v>
      </c>
      <c r="H302" t="s">
        <v>20</v>
      </c>
      <c r="I302">
        <v>1733</v>
      </c>
      <c r="J302">
        <v>1438</v>
      </c>
      <c r="K302">
        <v>36</v>
      </c>
      <c r="L302">
        <f t="shared" si="22"/>
        <v>1402</v>
      </c>
      <c r="M302">
        <v>27.1</v>
      </c>
      <c r="N302">
        <v>8</v>
      </c>
      <c r="O302" s="8">
        <v>79.400000000000006</v>
      </c>
      <c r="P302" s="10">
        <f t="shared" si="20"/>
        <v>114177.20000000001</v>
      </c>
      <c r="Q302" s="8">
        <f t="shared" si="23"/>
        <v>2858.4</v>
      </c>
      <c r="R302" t="s">
        <v>21</v>
      </c>
      <c r="S302">
        <f t="shared" si="24"/>
        <v>1438</v>
      </c>
    </row>
    <row r="303" spans="1:19" x14ac:dyDescent="0.3">
      <c r="A303" t="s">
        <v>621</v>
      </c>
      <c r="B303" s="13">
        <v>45931</v>
      </c>
      <c r="C303" s="25">
        <f t="shared" si="21"/>
        <v>45931</v>
      </c>
      <c r="D303" t="s">
        <v>32</v>
      </c>
      <c r="E303" t="s">
        <v>25</v>
      </c>
      <c r="F303" t="s">
        <v>43</v>
      </c>
      <c r="G303" t="s">
        <v>27</v>
      </c>
      <c r="H303" t="s">
        <v>75</v>
      </c>
      <c r="I303">
        <v>1596</v>
      </c>
      <c r="J303">
        <v>1445</v>
      </c>
      <c r="K303">
        <v>22</v>
      </c>
      <c r="L303">
        <f t="shared" si="22"/>
        <v>1423</v>
      </c>
      <c r="M303">
        <v>86.4</v>
      </c>
      <c r="N303">
        <v>6.6</v>
      </c>
      <c r="O303" s="8">
        <v>80.430000000000007</v>
      </c>
      <c r="P303" s="10">
        <f t="shared" si="20"/>
        <v>116221.35</v>
      </c>
      <c r="Q303" s="8">
        <f t="shared" si="23"/>
        <v>1769.46</v>
      </c>
      <c r="R303" t="s">
        <v>29</v>
      </c>
      <c r="S303">
        <f t="shared" si="24"/>
        <v>1445</v>
      </c>
    </row>
    <row r="304" spans="1:19" x14ac:dyDescent="0.3">
      <c r="A304" t="s">
        <v>612</v>
      </c>
      <c r="B304" s="13">
        <v>45674</v>
      </c>
      <c r="C304" s="25">
        <f t="shared" si="21"/>
        <v>45658</v>
      </c>
      <c r="D304" t="s">
        <v>24</v>
      </c>
      <c r="E304" t="s">
        <v>36</v>
      </c>
      <c r="F304" t="s">
        <v>33</v>
      </c>
      <c r="G304" t="s">
        <v>27</v>
      </c>
      <c r="H304" t="s">
        <v>75</v>
      </c>
      <c r="I304">
        <v>1152</v>
      </c>
      <c r="J304">
        <v>906</v>
      </c>
      <c r="K304">
        <v>28</v>
      </c>
      <c r="L304">
        <f t="shared" si="22"/>
        <v>878</v>
      </c>
      <c r="M304">
        <v>47.5</v>
      </c>
      <c r="N304">
        <v>8</v>
      </c>
      <c r="O304" s="8">
        <v>80.59</v>
      </c>
      <c r="P304" s="10">
        <f t="shared" si="20"/>
        <v>73014.540000000008</v>
      </c>
      <c r="Q304" s="8">
        <f t="shared" si="23"/>
        <v>2256.52</v>
      </c>
      <c r="R304" t="s">
        <v>21</v>
      </c>
      <c r="S304">
        <f t="shared" si="24"/>
        <v>906</v>
      </c>
    </row>
    <row r="305" spans="1:19" x14ac:dyDescent="0.3">
      <c r="A305" t="s">
        <v>102</v>
      </c>
      <c r="B305" s="13">
        <v>45740</v>
      </c>
      <c r="C305" s="25">
        <f t="shared" si="21"/>
        <v>45717</v>
      </c>
      <c r="D305" t="s">
        <v>32</v>
      </c>
      <c r="E305" t="s">
        <v>62</v>
      </c>
      <c r="F305" t="s">
        <v>33</v>
      </c>
      <c r="G305" t="s">
        <v>19</v>
      </c>
      <c r="H305" t="s">
        <v>28</v>
      </c>
      <c r="I305">
        <v>1174</v>
      </c>
      <c r="J305">
        <v>1120</v>
      </c>
      <c r="K305">
        <v>14</v>
      </c>
      <c r="L305">
        <f t="shared" si="22"/>
        <v>1106</v>
      </c>
      <c r="M305">
        <v>27.9</v>
      </c>
      <c r="N305">
        <v>8.1</v>
      </c>
      <c r="O305" s="8">
        <v>80.760000000000005</v>
      </c>
      <c r="P305" s="10">
        <f t="shared" si="20"/>
        <v>90451.200000000012</v>
      </c>
      <c r="Q305" s="8">
        <f t="shared" si="23"/>
        <v>1130.6400000000001</v>
      </c>
      <c r="R305" t="s">
        <v>29</v>
      </c>
      <c r="S305">
        <f t="shared" si="24"/>
        <v>1120</v>
      </c>
    </row>
    <row r="306" spans="1:19" x14ac:dyDescent="0.3">
      <c r="A306" t="s">
        <v>322</v>
      </c>
      <c r="B306" s="13">
        <v>45899</v>
      </c>
      <c r="C306" s="25">
        <f t="shared" si="21"/>
        <v>45870</v>
      </c>
      <c r="D306" t="s">
        <v>32</v>
      </c>
      <c r="E306" t="s">
        <v>25</v>
      </c>
      <c r="F306" t="s">
        <v>26</v>
      </c>
      <c r="G306" t="s">
        <v>27</v>
      </c>
      <c r="H306" t="s">
        <v>44</v>
      </c>
      <c r="I306">
        <v>757</v>
      </c>
      <c r="J306">
        <v>849</v>
      </c>
      <c r="K306">
        <v>22</v>
      </c>
      <c r="L306">
        <f t="shared" si="22"/>
        <v>827</v>
      </c>
      <c r="M306">
        <v>43</v>
      </c>
      <c r="N306">
        <v>8.1</v>
      </c>
      <c r="O306" s="8">
        <v>81.05</v>
      </c>
      <c r="P306" s="10">
        <f t="shared" si="20"/>
        <v>68811.45</v>
      </c>
      <c r="Q306" s="8">
        <f t="shared" si="23"/>
        <v>1783.1</v>
      </c>
      <c r="R306" t="s">
        <v>21</v>
      </c>
      <c r="S306">
        <f t="shared" si="24"/>
        <v>849</v>
      </c>
    </row>
    <row r="307" spans="1:19" x14ac:dyDescent="0.3">
      <c r="A307" t="s">
        <v>308</v>
      </c>
      <c r="B307" s="13">
        <v>45743</v>
      </c>
      <c r="C307" s="25">
        <f t="shared" si="21"/>
        <v>45717</v>
      </c>
      <c r="D307" t="s">
        <v>24</v>
      </c>
      <c r="E307" t="s">
        <v>17</v>
      </c>
      <c r="F307" t="s">
        <v>49</v>
      </c>
      <c r="G307" t="s">
        <v>27</v>
      </c>
      <c r="H307" t="s">
        <v>37</v>
      </c>
      <c r="I307">
        <v>1530</v>
      </c>
      <c r="J307">
        <v>1380</v>
      </c>
      <c r="K307">
        <v>11</v>
      </c>
      <c r="L307">
        <f t="shared" si="22"/>
        <v>1369</v>
      </c>
      <c r="M307">
        <v>49.6</v>
      </c>
      <c r="N307">
        <v>8.4</v>
      </c>
      <c r="O307" s="8">
        <v>81.33</v>
      </c>
      <c r="P307" s="10">
        <f t="shared" si="20"/>
        <v>112235.4</v>
      </c>
      <c r="Q307" s="8">
        <f t="shared" si="23"/>
        <v>894.63</v>
      </c>
      <c r="R307" t="s">
        <v>29</v>
      </c>
      <c r="S307">
        <f t="shared" si="24"/>
        <v>1380</v>
      </c>
    </row>
    <row r="308" spans="1:19" x14ac:dyDescent="0.3">
      <c r="A308" t="s">
        <v>123</v>
      </c>
      <c r="B308" s="13">
        <v>45913</v>
      </c>
      <c r="C308" s="25">
        <f t="shared" si="21"/>
        <v>45901</v>
      </c>
      <c r="D308" t="s">
        <v>24</v>
      </c>
      <c r="E308" t="s">
        <v>62</v>
      </c>
      <c r="F308" t="s">
        <v>49</v>
      </c>
      <c r="G308" t="s">
        <v>19</v>
      </c>
      <c r="H308" t="s">
        <v>44</v>
      </c>
      <c r="I308">
        <v>1458</v>
      </c>
      <c r="J308">
        <v>1386</v>
      </c>
      <c r="K308">
        <v>41</v>
      </c>
      <c r="L308">
        <f t="shared" si="22"/>
        <v>1345</v>
      </c>
      <c r="M308">
        <v>24.8</v>
      </c>
      <c r="N308">
        <v>6.9</v>
      </c>
      <c r="O308" s="8">
        <v>81.349999999999994</v>
      </c>
      <c r="P308" s="10">
        <f t="shared" si="20"/>
        <v>112751.09999999999</v>
      </c>
      <c r="Q308" s="8">
        <f t="shared" si="23"/>
        <v>3335.35</v>
      </c>
      <c r="R308" t="s">
        <v>21</v>
      </c>
      <c r="S308">
        <f t="shared" si="24"/>
        <v>1386</v>
      </c>
    </row>
    <row r="309" spans="1:19" x14ac:dyDescent="0.3">
      <c r="A309" t="s">
        <v>910</v>
      </c>
      <c r="B309" s="13">
        <v>45695</v>
      </c>
      <c r="C309" s="25">
        <f t="shared" si="21"/>
        <v>45689</v>
      </c>
      <c r="D309" t="s">
        <v>32</v>
      </c>
      <c r="E309" t="s">
        <v>25</v>
      </c>
      <c r="F309" t="s">
        <v>43</v>
      </c>
      <c r="G309" t="s">
        <v>27</v>
      </c>
      <c r="H309" t="s">
        <v>20</v>
      </c>
      <c r="I309">
        <v>1425</v>
      </c>
      <c r="J309">
        <v>1392</v>
      </c>
      <c r="K309">
        <v>41</v>
      </c>
      <c r="L309">
        <f t="shared" si="22"/>
        <v>1351</v>
      </c>
      <c r="M309">
        <v>29.3</v>
      </c>
      <c r="N309">
        <v>7.9</v>
      </c>
      <c r="O309" s="8">
        <v>81.540000000000006</v>
      </c>
      <c r="P309" s="10">
        <f t="shared" si="20"/>
        <v>113503.68000000001</v>
      </c>
      <c r="Q309" s="8">
        <f t="shared" si="23"/>
        <v>3343.1400000000003</v>
      </c>
      <c r="R309" t="s">
        <v>21</v>
      </c>
      <c r="S309">
        <f t="shared" si="24"/>
        <v>1392</v>
      </c>
    </row>
    <row r="310" spans="1:19" x14ac:dyDescent="0.3">
      <c r="A310" t="s">
        <v>809</v>
      </c>
      <c r="B310" s="13">
        <v>45895</v>
      </c>
      <c r="C310" s="25">
        <f t="shared" si="21"/>
        <v>45870</v>
      </c>
      <c r="D310" t="s">
        <v>24</v>
      </c>
      <c r="E310" t="s">
        <v>25</v>
      </c>
      <c r="F310" t="s">
        <v>26</v>
      </c>
      <c r="G310" t="s">
        <v>40</v>
      </c>
      <c r="H310" t="s">
        <v>69</v>
      </c>
      <c r="I310">
        <v>1585</v>
      </c>
      <c r="J310">
        <v>1501</v>
      </c>
      <c r="K310">
        <v>18</v>
      </c>
      <c r="L310">
        <f t="shared" si="22"/>
        <v>1483</v>
      </c>
      <c r="M310">
        <v>42.7</v>
      </c>
      <c r="N310">
        <v>6.3</v>
      </c>
      <c r="O310" s="8">
        <v>81.650000000000006</v>
      </c>
      <c r="P310" s="10">
        <f t="shared" si="20"/>
        <v>122556.65000000001</v>
      </c>
      <c r="Q310" s="8">
        <f t="shared" si="23"/>
        <v>1469.7</v>
      </c>
      <c r="R310" t="s">
        <v>29</v>
      </c>
      <c r="S310">
        <f t="shared" si="24"/>
        <v>1501</v>
      </c>
    </row>
    <row r="311" spans="1:19" x14ac:dyDescent="0.3">
      <c r="A311" t="s">
        <v>495</v>
      </c>
      <c r="B311" s="13">
        <v>45881</v>
      </c>
      <c r="C311" s="25">
        <f t="shared" si="21"/>
        <v>45870</v>
      </c>
      <c r="D311" t="s">
        <v>24</v>
      </c>
      <c r="E311" t="s">
        <v>62</v>
      </c>
      <c r="F311" t="s">
        <v>33</v>
      </c>
      <c r="G311" t="s">
        <v>19</v>
      </c>
      <c r="H311" t="s">
        <v>28</v>
      </c>
      <c r="I311">
        <v>720</v>
      </c>
      <c r="J311">
        <v>702</v>
      </c>
      <c r="K311">
        <v>11</v>
      </c>
      <c r="L311">
        <f t="shared" si="22"/>
        <v>691</v>
      </c>
      <c r="M311">
        <v>31.5</v>
      </c>
      <c r="N311">
        <v>8.3000000000000007</v>
      </c>
      <c r="O311" s="8">
        <v>81.81</v>
      </c>
      <c r="P311" s="10">
        <f t="shared" si="20"/>
        <v>57430.62</v>
      </c>
      <c r="Q311" s="8">
        <f t="shared" si="23"/>
        <v>899.91000000000008</v>
      </c>
      <c r="R311" t="s">
        <v>29</v>
      </c>
      <c r="S311">
        <f t="shared" si="24"/>
        <v>702</v>
      </c>
    </row>
    <row r="312" spans="1:19" x14ac:dyDescent="0.3">
      <c r="A312" t="s">
        <v>516</v>
      </c>
      <c r="B312" s="13">
        <v>45819</v>
      </c>
      <c r="C312" s="25">
        <f t="shared" si="21"/>
        <v>45809</v>
      </c>
      <c r="D312" t="s">
        <v>16</v>
      </c>
      <c r="E312" t="s">
        <v>59</v>
      </c>
      <c r="F312" t="s">
        <v>18</v>
      </c>
      <c r="G312" t="s">
        <v>27</v>
      </c>
      <c r="H312" t="s">
        <v>75</v>
      </c>
      <c r="I312">
        <v>1648</v>
      </c>
      <c r="J312">
        <v>1709</v>
      </c>
      <c r="K312">
        <v>27</v>
      </c>
      <c r="L312">
        <f t="shared" si="22"/>
        <v>1682</v>
      </c>
      <c r="M312">
        <v>49.4</v>
      </c>
      <c r="N312">
        <v>6.6</v>
      </c>
      <c r="O312" s="8">
        <v>81.84</v>
      </c>
      <c r="P312" s="10">
        <f t="shared" si="20"/>
        <v>139864.56</v>
      </c>
      <c r="Q312" s="8">
        <f t="shared" si="23"/>
        <v>2209.6800000000003</v>
      </c>
      <c r="R312" t="s">
        <v>29</v>
      </c>
      <c r="S312">
        <f t="shared" si="24"/>
        <v>1709</v>
      </c>
    </row>
    <row r="313" spans="1:19" x14ac:dyDescent="0.3">
      <c r="A313" t="s">
        <v>80</v>
      </c>
      <c r="B313" s="13">
        <v>45840</v>
      </c>
      <c r="C313" s="25">
        <f t="shared" si="21"/>
        <v>45839</v>
      </c>
      <c r="D313" t="s">
        <v>32</v>
      </c>
      <c r="E313" t="s">
        <v>59</v>
      </c>
      <c r="F313" t="s">
        <v>26</v>
      </c>
      <c r="G313" t="s">
        <v>19</v>
      </c>
      <c r="H313" t="s">
        <v>82</v>
      </c>
      <c r="I313">
        <v>832</v>
      </c>
      <c r="J313">
        <v>889</v>
      </c>
      <c r="K313">
        <v>8</v>
      </c>
      <c r="L313">
        <f t="shared" si="22"/>
        <v>881</v>
      </c>
      <c r="M313">
        <v>82.1</v>
      </c>
      <c r="N313">
        <v>6.3</v>
      </c>
      <c r="O313" s="8">
        <v>82.08</v>
      </c>
      <c r="P313" s="10">
        <f t="shared" si="20"/>
        <v>72969.119999999995</v>
      </c>
      <c r="Q313" s="8">
        <f t="shared" si="23"/>
        <v>656.64</v>
      </c>
      <c r="R313" t="s">
        <v>29</v>
      </c>
      <c r="S313">
        <f t="shared" si="24"/>
        <v>889</v>
      </c>
    </row>
    <row r="314" spans="1:19" x14ac:dyDescent="0.3">
      <c r="A314" t="s">
        <v>793</v>
      </c>
      <c r="B314" s="13">
        <v>45879</v>
      </c>
      <c r="C314" s="25">
        <f t="shared" si="21"/>
        <v>45870</v>
      </c>
      <c r="D314" t="s">
        <v>32</v>
      </c>
      <c r="E314" t="s">
        <v>17</v>
      </c>
      <c r="F314" t="s">
        <v>18</v>
      </c>
      <c r="G314" t="s">
        <v>27</v>
      </c>
      <c r="H314" t="s">
        <v>28</v>
      </c>
      <c r="I314">
        <v>1755</v>
      </c>
      <c r="J314">
        <v>1702</v>
      </c>
      <c r="K314">
        <v>11</v>
      </c>
      <c r="L314">
        <f t="shared" si="22"/>
        <v>1691</v>
      </c>
      <c r="M314">
        <v>25.3</v>
      </c>
      <c r="N314">
        <v>7</v>
      </c>
      <c r="O314" s="8">
        <v>82.26</v>
      </c>
      <c r="P314" s="10">
        <f t="shared" si="20"/>
        <v>140006.52000000002</v>
      </c>
      <c r="Q314" s="8">
        <f t="shared" si="23"/>
        <v>904.86</v>
      </c>
      <c r="R314" t="s">
        <v>29</v>
      </c>
      <c r="S314">
        <f t="shared" si="24"/>
        <v>1702</v>
      </c>
    </row>
    <row r="315" spans="1:19" x14ac:dyDescent="0.3">
      <c r="A315" t="s">
        <v>596</v>
      </c>
      <c r="B315" s="13">
        <v>45889</v>
      </c>
      <c r="C315" s="25">
        <f t="shared" si="21"/>
        <v>45870</v>
      </c>
      <c r="D315" t="s">
        <v>16</v>
      </c>
      <c r="E315" t="s">
        <v>36</v>
      </c>
      <c r="F315" t="s">
        <v>26</v>
      </c>
      <c r="G315" t="s">
        <v>19</v>
      </c>
      <c r="H315" t="s">
        <v>82</v>
      </c>
      <c r="I315">
        <v>738</v>
      </c>
      <c r="J315">
        <v>643</v>
      </c>
      <c r="K315">
        <v>2</v>
      </c>
      <c r="L315">
        <f t="shared" si="22"/>
        <v>641</v>
      </c>
      <c r="M315">
        <v>38.4</v>
      </c>
      <c r="N315">
        <v>7.3</v>
      </c>
      <c r="O315" s="8">
        <v>82.41</v>
      </c>
      <c r="P315" s="10">
        <f t="shared" si="20"/>
        <v>52989.63</v>
      </c>
      <c r="Q315" s="8">
        <f t="shared" si="23"/>
        <v>164.82</v>
      </c>
      <c r="R315" t="s">
        <v>29</v>
      </c>
      <c r="S315">
        <f t="shared" si="24"/>
        <v>643</v>
      </c>
    </row>
    <row r="316" spans="1:19" x14ac:dyDescent="0.3">
      <c r="A316" t="s">
        <v>170</v>
      </c>
      <c r="B316" s="13">
        <v>45793</v>
      </c>
      <c r="C316" s="25">
        <f t="shared" si="21"/>
        <v>45778</v>
      </c>
      <c r="D316" t="s">
        <v>16</v>
      </c>
      <c r="E316" t="s">
        <v>62</v>
      </c>
      <c r="F316" t="s">
        <v>49</v>
      </c>
      <c r="G316" t="s">
        <v>27</v>
      </c>
      <c r="H316" t="s">
        <v>82</v>
      </c>
      <c r="I316">
        <v>822</v>
      </c>
      <c r="J316">
        <v>842</v>
      </c>
      <c r="K316">
        <v>25</v>
      </c>
      <c r="L316">
        <f t="shared" si="22"/>
        <v>817</v>
      </c>
      <c r="M316">
        <v>31.9</v>
      </c>
      <c r="N316">
        <v>6</v>
      </c>
      <c r="O316" s="8">
        <v>82.54</v>
      </c>
      <c r="P316" s="10">
        <f t="shared" si="20"/>
        <v>69498.680000000008</v>
      </c>
      <c r="Q316" s="8">
        <f t="shared" si="23"/>
        <v>2063.5</v>
      </c>
      <c r="R316" t="s">
        <v>21</v>
      </c>
      <c r="S316">
        <f t="shared" si="24"/>
        <v>842</v>
      </c>
    </row>
    <row r="317" spans="1:19" x14ac:dyDescent="0.3">
      <c r="A317" t="s">
        <v>91</v>
      </c>
      <c r="B317" s="13">
        <v>45893</v>
      </c>
      <c r="C317" s="25">
        <f t="shared" si="21"/>
        <v>45870</v>
      </c>
      <c r="D317" t="s">
        <v>32</v>
      </c>
      <c r="E317" t="s">
        <v>36</v>
      </c>
      <c r="F317" t="s">
        <v>33</v>
      </c>
      <c r="G317" t="s">
        <v>40</v>
      </c>
      <c r="H317" t="s">
        <v>37</v>
      </c>
      <c r="I317">
        <v>1204</v>
      </c>
      <c r="J317">
        <v>978</v>
      </c>
      <c r="K317">
        <v>32</v>
      </c>
      <c r="L317">
        <f t="shared" si="22"/>
        <v>946</v>
      </c>
      <c r="M317">
        <v>69.900000000000006</v>
      </c>
      <c r="N317">
        <v>6.4</v>
      </c>
      <c r="O317" s="8">
        <v>82.56</v>
      </c>
      <c r="P317" s="10">
        <f t="shared" si="20"/>
        <v>80743.680000000008</v>
      </c>
      <c r="Q317" s="8">
        <f t="shared" si="23"/>
        <v>2641.92</v>
      </c>
      <c r="R317" t="s">
        <v>21</v>
      </c>
      <c r="S317">
        <f t="shared" si="24"/>
        <v>978</v>
      </c>
    </row>
    <row r="318" spans="1:19" x14ac:dyDescent="0.3">
      <c r="A318" t="s">
        <v>938</v>
      </c>
      <c r="B318" s="13">
        <v>45892</v>
      </c>
      <c r="C318" s="25">
        <f t="shared" si="21"/>
        <v>45870</v>
      </c>
      <c r="D318" t="s">
        <v>16</v>
      </c>
      <c r="E318" t="s">
        <v>36</v>
      </c>
      <c r="F318" t="s">
        <v>33</v>
      </c>
      <c r="G318" t="s">
        <v>19</v>
      </c>
      <c r="H318" t="s">
        <v>72</v>
      </c>
      <c r="I318">
        <v>736</v>
      </c>
      <c r="J318">
        <v>691</v>
      </c>
      <c r="K318">
        <v>20</v>
      </c>
      <c r="L318">
        <f t="shared" si="22"/>
        <v>671</v>
      </c>
      <c r="M318">
        <v>40.5</v>
      </c>
      <c r="N318">
        <v>7.2</v>
      </c>
      <c r="O318" s="8">
        <v>82.62</v>
      </c>
      <c r="P318" s="10">
        <f t="shared" si="20"/>
        <v>57090.420000000006</v>
      </c>
      <c r="Q318" s="8">
        <f t="shared" si="23"/>
        <v>1652.4</v>
      </c>
      <c r="R318" t="s">
        <v>21</v>
      </c>
      <c r="S318">
        <f t="shared" si="24"/>
        <v>691</v>
      </c>
    </row>
    <row r="319" spans="1:19" x14ac:dyDescent="0.3">
      <c r="A319" t="s">
        <v>914</v>
      </c>
      <c r="B319" s="13">
        <v>45696</v>
      </c>
      <c r="C319" s="25">
        <f t="shared" si="21"/>
        <v>45689</v>
      </c>
      <c r="D319" t="s">
        <v>32</v>
      </c>
      <c r="E319" t="s">
        <v>62</v>
      </c>
      <c r="F319" t="s">
        <v>18</v>
      </c>
      <c r="G319" t="s">
        <v>19</v>
      </c>
      <c r="H319" t="s">
        <v>82</v>
      </c>
      <c r="I319">
        <v>1587</v>
      </c>
      <c r="J319">
        <v>1408</v>
      </c>
      <c r="K319">
        <v>32</v>
      </c>
      <c r="L319">
        <f t="shared" si="22"/>
        <v>1376</v>
      </c>
      <c r="M319">
        <v>36.799999999999997</v>
      </c>
      <c r="N319">
        <v>7.1</v>
      </c>
      <c r="O319" s="8">
        <v>82.81</v>
      </c>
      <c r="P319" s="10">
        <f t="shared" si="20"/>
        <v>116596.48000000001</v>
      </c>
      <c r="Q319" s="8">
        <f t="shared" si="23"/>
        <v>2649.92</v>
      </c>
      <c r="R319" t="s">
        <v>21</v>
      </c>
      <c r="S319">
        <f t="shared" si="24"/>
        <v>1408</v>
      </c>
    </row>
    <row r="320" spans="1:19" x14ac:dyDescent="0.3">
      <c r="A320" t="s">
        <v>870</v>
      </c>
      <c r="B320" s="13">
        <v>45846</v>
      </c>
      <c r="C320" s="25">
        <f t="shared" si="21"/>
        <v>45839</v>
      </c>
      <c r="D320" t="s">
        <v>16</v>
      </c>
      <c r="E320" t="s">
        <v>17</v>
      </c>
      <c r="F320" t="s">
        <v>18</v>
      </c>
      <c r="G320" t="s">
        <v>27</v>
      </c>
      <c r="H320" t="s">
        <v>37</v>
      </c>
      <c r="I320">
        <v>815</v>
      </c>
      <c r="J320">
        <v>747</v>
      </c>
      <c r="K320">
        <v>15</v>
      </c>
      <c r="L320">
        <f t="shared" si="22"/>
        <v>732</v>
      </c>
      <c r="M320">
        <v>16.399999999999999</v>
      </c>
      <c r="N320">
        <v>8</v>
      </c>
      <c r="O320" s="8">
        <v>82.94</v>
      </c>
      <c r="P320" s="10">
        <f t="shared" si="20"/>
        <v>61956.18</v>
      </c>
      <c r="Q320" s="8">
        <f t="shared" si="23"/>
        <v>1244.0999999999999</v>
      </c>
      <c r="R320" t="s">
        <v>21</v>
      </c>
      <c r="S320">
        <f t="shared" si="24"/>
        <v>747</v>
      </c>
    </row>
    <row r="321" spans="1:19" x14ac:dyDescent="0.3">
      <c r="A321" t="s">
        <v>843</v>
      </c>
      <c r="B321" s="13">
        <v>45995</v>
      </c>
      <c r="C321" s="25">
        <f t="shared" si="21"/>
        <v>45992</v>
      </c>
      <c r="D321" t="s">
        <v>16</v>
      </c>
      <c r="E321" t="s">
        <v>59</v>
      </c>
      <c r="F321" t="s">
        <v>49</v>
      </c>
      <c r="G321" t="s">
        <v>40</v>
      </c>
      <c r="H321" t="s">
        <v>20</v>
      </c>
      <c r="I321">
        <v>866</v>
      </c>
      <c r="J321">
        <v>713</v>
      </c>
      <c r="K321">
        <v>3</v>
      </c>
      <c r="L321">
        <f t="shared" si="22"/>
        <v>710</v>
      </c>
      <c r="M321">
        <v>118.6</v>
      </c>
      <c r="N321">
        <v>8</v>
      </c>
      <c r="O321" s="8">
        <v>83.09</v>
      </c>
      <c r="P321" s="10">
        <f t="shared" si="20"/>
        <v>59243.170000000006</v>
      </c>
      <c r="Q321" s="8">
        <f t="shared" si="23"/>
        <v>249.27</v>
      </c>
      <c r="R321" t="s">
        <v>29</v>
      </c>
      <c r="S321">
        <f t="shared" si="24"/>
        <v>713</v>
      </c>
    </row>
    <row r="322" spans="1:19" x14ac:dyDescent="0.3">
      <c r="A322" t="s">
        <v>487</v>
      </c>
      <c r="B322" s="13">
        <v>45995</v>
      </c>
      <c r="C322" s="25">
        <f t="shared" si="21"/>
        <v>45992</v>
      </c>
      <c r="D322" t="s">
        <v>24</v>
      </c>
      <c r="E322" t="s">
        <v>25</v>
      </c>
      <c r="F322" t="s">
        <v>43</v>
      </c>
      <c r="G322" t="s">
        <v>19</v>
      </c>
      <c r="H322" t="s">
        <v>69</v>
      </c>
      <c r="I322">
        <v>1111</v>
      </c>
      <c r="J322">
        <v>1004</v>
      </c>
      <c r="K322">
        <v>22</v>
      </c>
      <c r="L322">
        <f t="shared" si="22"/>
        <v>982</v>
      </c>
      <c r="M322">
        <v>33.1</v>
      </c>
      <c r="N322">
        <v>6.1</v>
      </c>
      <c r="O322" s="8">
        <v>83.42</v>
      </c>
      <c r="P322" s="10">
        <f t="shared" ref="P322:P385" si="25">J322*O322</f>
        <v>83753.680000000008</v>
      </c>
      <c r="Q322" s="8">
        <f t="shared" si="23"/>
        <v>1835.24</v>
      </c>
      <c r="R322" t="s">
        <v>21</v>
      </c>
      <c r="S322">
        <f t="shared" si="24"/>
        <v>1004</v>
      </c>
    </row>
    <row r="323" spans="1:19" x14ac:dyDescent="0.3">
      <c r="A323" t="s">
        <v>351</v>
      </c>
      <c r="B323" s="13">
        <v>45921</v>
      </c>
      <c r="C323" s="25">
        <f t="shared" ref="C323:C386" si="26">DATE(YEAR(B323), MONTH(B323), 1 )</f>
        <v>45901</v>
      </c>
      <c r="D323" t="s">
        <v>16</v>
      </c>
      <c r="E323" t="s">
        <v>17</v>
      </c>
      <c r="F323" t="s">
        <v>18</v>
      </c>
      <c r="G323" t="s">
        <v>27</v>
      </c>
      <c r="H323" t="s">
        <v>82</v>
      </c>
      <c r="I323">
        <v>1131</v>
      </c>
      <c r="J323">
        <v>1024</v>
      </c>
      <c r="K323">
        <v>35</v>
      </c>
      <c r="L323">
        <f t="shared" ref="L323:L386" si="27">J323 -K323</f>
        <v>989</v>
      </c>
      <c r="M323">
        <v>46.2</v>
      </c>
      <c r="N323">
        <v>6.5</v>
      </c>
      <c r="O323" s="8">
        <v>83.5</v>
      </c>
      <c r="P323" s="10">
        <f t="shared" si="25"/>
        <v>85504</v>
      </c>
      <c r="Q323" s="8">
        <f t="shared" ref="Q323:Q386" si="28">K323*O323</f>
        <v>2922.5</v>
      </c>
      <c r="R323" t="s">
        <v>21</v>
      </c>
      <c r="S323">
        <f t="shared" ref="S323:S386" si="29">L323  + K323</f>
        <v>1024</v>
      </c>
    </row>
    <row r="324" spans="1:19" x14ac:dyDescent="0.3">
      <c r="A324" t="s">
        <v>912</v>
      </c>
      <c r="B324" s="13">
        <v>45962</v>
      </c>
      <c r="C324" s="25">
        <f t="shared" si="26"/>
        <v>45962</v>
      </c>
      <c r="D324" t="s">
        <v>24</v>
      </c>
      <c r="E324" t="s">
        <v>59</v>
      </c>
      <c r="F324" t="s">
        <v>43</v>
      </c>
      <c r="G324" t="s">
        <v>40</v>
      </c>
      <c r="H324" t="s">
        <v>82</v>
      </c>
      <c r="I324">
        <v>1545</v>
      </c>
      <c r="J324">
        <v>1581</v>
      </c>
      <c r="K324">
        <v>55</v>
      </c>
      <c r="L324">
        <f t="shared" si="27"/>
        <v>1526</v>
      </c>
      <c r="M324">
        <v>28</v>
      </c>
      <c r="N324">
        <v>6.4</v>
      </c>
      <c r="O324" s="8">
        <v>83.88</v>
      </c>
      <c r="P324" s="10">
        <f t="shared" si="25"/>
        <v>132614.28</v>
      </c>
      <c r="Q324" s="8">
        <f t="shared" si="28"/>
        <v>4613.3999999999996</v>
      </c>
      <c r="R324" t="s">
        <v>21</v>
      </c>
      <c r="S324">
        <f t="shared" si="29"/>
        <v>1581</v>
      </c>
    </row>
    <row r="325" spans="1:19" x14ac:dyDescent="0.3">
      <c r="A325" t="s">
        <v>872</v>
      </c>
      <c r="B325" s="13">
        <v>45906</v>
      </c>
      <c r="C325" s="25">
        <f t="shared" si="26"/>
        <v>45901</v>
      </c>
      <c r="D325" t="s">
        <v>32</v>
      </c>
      <c r="E325" t="s">
        <v>25</v>
      </c>
      <c r="F325" t="s">
        <v>26</v>
      </c>
      <c r="G325" t="s">
        <v>19</v>
      </c>
      <c r="H325" t="s">
        <v>44</v>
      </c>
      <c r="I325">
        <v>1112</v>
      </c>
      <c r="J325">
        <v>1174</v>
      </c>
      <c r="K325">
        <v>18</v>
      </c>
      <c r="L325">
        <f t="shared" si="27"/>
        <v>1156</v>
      </c>
      <c r="M325">
        <v>77.5</v>
      </c>
      <c r="N325">
        <v>6.8</v>
      </c>
      <c r="O325" s="8">
        <v>83.88</v>
      </c>
      <c r="P325" s="10">
        <f t="shared" si="25"/>
        <v>98475.12</v>
      </c>
      <c r="Q325" s="8">
        <f t="shared" si="28"/>
        <v>1509.84</v>
      </c>
      <c r="R325" t="s">
        <v>29</v>
      </c>
      <c r="S325">
        <f t="shared" si="29"/>
        <v>1174</v>
      </c>
    </row>
    <row r="326" spans="1:19" x14ac:dyDescent="0.3">
      <c r="A326" t="s">
        <v>583</v>
      </c>
      <c r="B326" s="13">
        <v>45857</v>
      </c>
      <c r="C326" s="25">
        <f t="shared" si="26"/>
        <v>45839</v>
      </c>
      <c r="D326" t="s">
        <v>16</v>
      </c>
      <c r="E326" t="s">
        <v>17</v>
      </c>
      <c r="F326" t="s">
        <v>26</v>
      </c>
      <c r="G326" t="s">
        <v>40</v>
      </c>
      <c r="H326" t="s">
        <v>20</v>
      </c>
      <c r="I326">
        <v>1118</v>
      </c>
      <c r="J326">
        <v>989</v>
      </c>
      <c r="K326">
        <v>30</v>
      </c>
      <c r="L326">
        <f t="shared" si="27"/>
        <v>959</v>
      </c>
      <c r="M326">
        <v>18.2</v>
      </c>
      <c r="N326">
        <v>7.8</v>
      </c>
      <c r="O326" s="8">
        <v>84.01</v>
      </c>
      <c r="P326" s="10">
        <f t="shared" si="25"/>
        <v>83085.89</v>
      </c>
      <c r="Q326" s="8">
        <f t="shared" si="28"/>
        <v>2520.3000000000002</v>
      </c>
      <c r="R326" t="s">
        <v>21</v>
      </c>
      <c r="S326">
        <f t="shared" si="29"/>
        <v>989</v>
      </c>
    </row>
    <row r="327" spans="1:19" x14ac:dyDescent="0.3">
      <c r="A327" t="s">
        <v>477</v>
      </c>
      <c r="B327" s="13">
        <v>45721</v>
      </c>
      <c r="C327" s="25">
        <f t="shared" si="26"/>
        <v>45717</v>
      </c>
      <c r="D327" t="s">
        <v>16</v>
      </c>
      <c r="E327" t="s">
        <v>36</v>
      </c>
      <c r="F327" t="s">
        <v>49</v>
      </c>
      <c r="G327" t="s">
        <v>40</v>
      </c>
      <c r="H327" t="s">
        <v>37</v>
      </c>
      <c r="I327">
        <v>1041</v>
      </c>
      <c r="J327">
        <v>1207</v>
      </c>
      <c r="K327">
        <v>16</v>
      </c>
      <c r="L327">
        <f t="shared" si="27"/>
        <v>1191</v>
      </c>
      <c r="M327">
        <v>33.799999999999997</v>
      </c>
      <c r="N327">
        <v>8.1</v>
      </c>
      <c r="O327" s="8">
        <v>84.05</v>
      </c>
      <c r="P327" s="10">
        <f t="shared" si="25"/>
        <v>101448.34999999999</v>
      </c>
      <c r="Q327" s="8">
        <f t="shared" si="28"/>
        <v>1344.8</v>
      </c>
      <c r="R327" t="s">
        <v>29</v>
      </c>
      <c r="S327">
        <f t="shared" si="29"/>
        <v>1207</v>
      </c>
    </row>
    <row r="328" spans="1:19" x14ac:dyDescent="0.3">
      <c r="A328" t="s">
        <v>198</v>
      </c>
      <c r="B328" s="13">
        <v>45716</v>
      </c>
      <c r="C328" s="25">
        <f t="shared" si="26"/>
        <v>45689</v>
      </c>
      <c r="D328" t="s">
        <v>16</v>
      </c>
      <c r="E328" t="s">
        <v>25</v>
      </c>
      <c r="F328" t="s">
        <v>49</v>
      </c>
      <c r="G328" t="s">
        <v>40</v>
      </c>
      <c r="H328" t="s">
        <v>37</v>
      </c>
      <c r="I328">
        <v>994</v>
      </c>
      <c r="J328">
        <v>830</v>
      </c>
      <c r="K328">
        <v>2</v>
      </c>
      <c r="L328">
        <f t="shared" si="27"/>
        <v>828</v>
      </c>
      <c r="M328">
        <v>24.5</v>
      </c>
      <c r="N328">
        <v>8</v>
      </c>
      <c r="O328" s="8">
        <v>84.07</v>
      </c>
      <c r="P328" s="10">
        <f t="shared" si="25"/>
        <v>69778.099999999991</v>
      </c>
      <c r="Q328" s="8">
        <f t="shared" si="28"/>
        <v>168.14</v>
      </c>
      <c r="R328" t="s">
        <v>29</v>
      </c>
      <c r="S328">
        <f t="shared" si="29"/>
        <v>830</v>
      </c>
    </row>
    <row r="329" spans="1:19" x14ac:dyDescent="0.3">
      <c r="A329" t="s">
        <v>760</v>
      </c>
      <c r="B329" s="13">
        <v>45709</v>
      </c>
      <c r="C329" s="25">
        <f t="shared" si="26"/>
        <v>45689</v>
      </c>
      <c r="D329" t="s">
        <v>32</v>
      </c>
      <c r="E329" t="s">
        <v>59</v>
      </c>
      <c r="F329" t="s">
        <v>26</v>
      </c>
      <c r="G329" t="s">
        <v>19</v>
      </c>
      <c r="H329" t="s">
        <v>75</v>
      </c>
      <c r="I329">
        <v>1365</v>
      </c>
      <c r="J329">
        <v>1259</v>
      </c>
      <c r="K329">
        <v>18</v>
      </c>
      <c r="L329">
        <f t="shared" si="27"/>
        <v>1241</v>
      </c>
      <c r="M329">
        <v>42.3</v>
      </c>
      <c r="N329">
        <v>6.9</v>
      </c>
      <c r="O329" s="8">
        <v>84.63</v>
      </c>
      <c r="P329" s="10">
        <f t="shared" si="25"/>
        <v>106549.17</v>
      </c>
      <c r="Q329" s="8">
        <f t="shared" si="28"/>
        <v>1523.34</v>
      </c>
      <c r="R329" t="s">
        <v>29</v>
      </c>
      <c r="S329">
        <f t="shared" si="29"/>
        <v>1259</v>
      </c>
    </row>
    <row r="330" spans="1:19" x14ac:dyDescent="0.3">
      <c r="A330" t="s">
        <v>664</v>
      </c>
      <c r="B330" s="13">
        <v>45713</v>
      </c>
      <c r="C330" s="25">
        <f t="shared" si="26"/>
        <v>45689</v>
      </c>
      <c r="D330" t="s">
        <v>24</v>
      </c>
      <c r="E330" t="s">
        <v>62</v>
      </c>
      <c r="F330" t="s">
        <v>26</v>
      </c>
      <c r="G330" t="s">
        <v>19</v>
      </c>
      <c r="H330" t="s">
        <v>72</v>
      </c>
      <c r="I330">
        <v>1114</v>
      </c>
      <c r="J330">
        <v>1011</v>
      </c>
      <c r="K330">
        <v>17</v>
      </c>
      <c r="L330">
        <f t="shared" si="27"/>
        <v>994</v>
      </c>
      <c r="M330">
        <v>71.400000000000006</v>
      </c>
      <c r="N330">
        <v>7</v>
      </c>
      <c r="O330" s="8">
        <v>84.71</v>
      </c>
      <c r="P330" s="10">
        <f t="shared" si="25"/>
        <v>85641.81</v>
      </c>
      <c r="Q330" s="8">
        <f t="shared" si="28"/>
        <v>1440.07</v>
      </c>
      <c r="R330" t="s">
        <v>29</v>
      </c>
      <c r="S330">
        <f t="shared" si="29"/>
        <v>1011</v>
      </c>
    </row>
    <row r="331" spans="1:19" x14ac:dyDescent="0.3">
      <c r="A331" t="s">
        <v>447</v>
      </c>
      <c r="B331" s="13">
        <v>45770</v>
      </c>
      <c r="C331" s="25">
        <f t="shared" si="26"/>
        <v>45748</v>
      </c>
      <c r="D331" t="s">
        <v>24</v>
      </c>
      <c r="E331" t="s">
        <v>25</v>
      </c>
      <c r="F331" t="s">
        <v>49</v>
      </c>
      <c r="G331" t="s">
        <v>40</v>
      </c>
      <c r="H331" t="s">
        <v>72</v>
      </c>
      <c r="I331">
        <v>1498</v>
      </c>
      <c r="J331">
        <v>1437</v>
      </c>
      <c r="K331">
        <v>49</v>
      </c>
      <c r="L331">
        <f t="shared" si="27"/>
        <v>1388</v>
      </c>
      <c r="M331">
        <v>37</v>
      </c>
      <c r="N331">
        <v>8.5</v>
      </c>
      <c r="O331" s="8">
        <v>84.9</v>
      </c>
      <c r="P331" s="10">
        <f t="shared" si="25"/>
        <v>122001.3</v>
      </c>
      <c r="Q331" s="8">
        <f t="shared" si="28"/>
        <v>4160.1000000000004</v>
      </c>
      <c r="R331" t="s">
        <v>21</v>
      </c>
      <c r="S331">
        <f t="shared" si="29"/>
        <v>1437</v>
      </c>
    </row>
    <row r="332" spans="1:19" x14ac:dyDescent="0.3">
      <c r="A332" t="s">
        <v>437</v>
      </c>
      <c r="B332" s="13">
        <v>45665</v>
      </c>
      <c r="C332" s="25">
        <f t="shared" si="26"/>
        <v>45658</v>
      </c>
      <c r="D332" t="s">
        <v>32</v>
      </c>
      <c r="E332" t="s">
        <v>17</v>
      </c>
      <c r="F332" t="s">
        <v>18</v>
      </c>
      <c r="G332" t="s">
        <v>27</v>
      </c>
      <c r="H332" t="s">
        <v>75</v>
      </c>
      <c r="I332">
        <v>740</v>
      </c>
      <c r="J332">
        <v>614</v>
      </c>
      <c r="K332">
        <v>20</v>
      </c>
      <c r="L332">
        <f t="shared" si="27"/>
        <v>594</v>
      </c>
      <c r="M332">
        <v>102.4</v>
      </c>
      <c r="N332">
        <v>7.2</v>
      </c>
      <c r="O332" s="8">
        <v>85.14</v>
      </c>
      <c r="P332" s="10">
        <f t="shared" si="25"/>
        <v>52275.96</v>
      </c>
      <c r="Q332" s="8">
        <f t="shared" si="28"/>
        <v>1702.8</v>
      </c>
      <c r="R332" t="s">
        <v>21</v>
      </c>
      <c r="S332">
        <f t="shared" si="29"/>
        <v>614</v>
      </c>
    </row>
    <row r="333" spans="1:19" x14ac:dyDescent="0.3">
      <c r="A333" t="s">
        <v>638</v>
      </c>
      <c r="B333" s="13">
        <v>45780</v>
      </c>
      <c r="C333" s="25">
        <f t="shared" si="26"/>
        <v>45778</v>
      </c>
      <c r="D333" t="s">
        <v>32</v>
      </c>
      <c r="E333" t="s">
        <v>17</v>
      </c>
      <c r="F333" t="s">
        <v>43</v>
      </c>
      <c r="G333" t="s">
        <v>19</v>
      </c>
      <c r="H333" t="s">
        <v>69</v>
      </c>
      <c r="I333">
        <v>1479</v>
      </c>
      <c r="J333">
        <v>1522</v>
      </c>
      <c r="K333">
        <v>26</v>
      </c>
      <c r="L333">
        <f t="shared" si="27"/>
        <v>1496</v>
      </c>
      <c r="M333">
        <v>87.6</v>
      </c>
      <c r="N333">
        <v>6.5</v>
      </c>
      <c r="O333" s="8">
        <v>85.26</v>
      </c>
      <c r="P333" s="10">
        <f t="shared" si="25"/>
        <v>129765.72</v>
      </c>
      <c r="Q333" s="8">
        <f t="shared" si="28"/>
        <v>2216.7600000000002</v>
      </c>
      <c r="R333" t="s">
        <v>29</v>
      </c>
      <c r="S333">
        <f t="shared" si="29"/>
        <v>1522</v>
      </c>
    </row>
    <row r="334" spans="1:19" x14ac:dyDescent="0.3">
      <c r="A334" t="s">
        <v>869</v>
      </c>
      <c r="B334" s="13">
        <v>45873</v>
      </c>
      <c r="C334" s="25">
        <f t="shared" si="26"/>
        <v>45870</v>
      </c>
      <c r="D334" t="s">
        <v>24</v>
      </c>
      <c r="E334" t="s">
        <v>36</v>
      </c>
      <c r="F334" t="s">
        <v>26</v>
      </c>
      <c r="G334" t="s">
        <v>40</v>
      </c>
      <c r="H334" t="s">
        <v>82</v>
      </c>
      <c r="I334">
        <v>1430</v>
      </c>
      <c r="J334">
        <v>1358</v>
      </c>
      <c r="K334">
        <v>39</v>
      </c>
      <c r="L334">
        <f t="shared" si="27"/>
        <v>1319</v>
      </c>
      <c r="M334">
        <v>44.3</v>
      </c>
      <c r="N334">
        <v>7.8</v>
      </c>
      <c r="O334" s="8">
        <v>85.35</v>
      </c>
      <c r="P334" s="10">
        <f t="shared" si="25"/>
        <v>115905.29999999999</v>
      </c>
      <c r="Q334" s="8">
        <f t="shared" si="28"/>
        <v>3328.6499999999996</v>
      </c>
      <c r="R334" t="s">
        <v>21</v>
      </c>
      <c r="S334">
        <f t="shared" si="29"/>
        <v>1358</v>
      </c>
    </row>
    <row r="335" spans="1:19" x14ac:dyDescent="0.3">
      <c r="A335" t="s">
        <v>535</v>
      </c>
      <c r="B335" s="13">
        <v>45968</v>
      </c>
      <c r="C335" s="25">
        <f t="shared" si="26"/>
        <v>45962</v>
      </c>
      <c r="D335" t="s">
        <v>24</v>
      </c>
      <c r="E335" t="s">
        <v>62</v>
      </c>
      <c r="F335" t="s">
        <v>43</v>
      </c>
      <c r="G335" t="s">
        <v>19</v>
      </c>
      <c r="H335" t="s">
        <v>44</v>
      </c>
      <c r="I335">
        <v>1431</v>
      </c>
      <c r="J335">
        <v>1108</v>
      </c>
      <c r="K335">
        <v>17</v>
      </c>
      <c r="L335">
        <f t="shared" si="27"/>
        <v>1091</v>
      </c>
      <c r="M335">
        <v>27.7</v>
      </c>
      <c r="N335">
        <v>6.9</v>
      </c>
      <c r="O335" s="8">
        <v>85.81</v>
      </c>
      <c r="P335" s="10">
        <f t="shared" si="25"/>
        <v>95077.48</v>
      </c>
      <c r="Q335" s="8">
        <f t="shared" si="28"/>
        <v>1458.77</v>
      </c>
      <c r="R335" t="s">
        <v>29</v>
      </c>
      <c r="S335">
        <f t="shared" si="29"/>
        <v>1108</v>
      </c>
    </row>
    <row r="336" spans="1:19" x14ac:dyDescent="0.3">
      <c r="A336" t="s">
        <v>686</v>
      </c>
      <c r="B336" s="13">
        <v>45840</v>
      </c>
      <c r="C336" s="25">
        <f t="shared" si="26"/>
        <v>45839</v>
      </c>
      <c r="D336" t="s">
        <v>24</v>
      </c>
      <c r="E336" t="s">
        <v>36</v>
      </c>
      <c r="F336" t="s">
        <v>26</v>
      </c>
      <c r="G336" t="s">
        <v>27</v>
      </c>
      <c r="H336" t="s">
        <v>72</v>
      </c>
      <c r="I336">
        <v>1705</v>
      </c>
      <c r="J336">
        <v>1523</v>
      </c>
      <c r="K336">
        <v>33</v>
      </c>
      <c r="L336">
        <f t="shared" si="27"/>
        <v>1490</v>
      </c>
      <c r="M336">
        <v>17.600000000000001</v>
      </c>
      <c r="N336">
        <v>6.6</v>
      </c>
      <c r="O336" s="8">
        <v>86.95</v>
      </c>
      <c r="P336" s="10">
        <f t="shared" si="25"/>
        <v>132424.85</v>
      </c>
      <c r="Q336" s="8">
        <f t="shared" si="28"/>
        <v>2869.35</v>
      </c>
      <c r="R336" t="s">
        <v>21</v>
      </c>
      <c r="S336">
        <f t="shared" si="29"/>
        <v>1523</v>
      </c>
    </row>
    <row r="337" spans="1:19" x14ac:dyDescent="0.3">
      <c r="A337" t="s">
        <v>792</v>
      </c>
      <c r="B337" s="13">
        <v>45937</v>
      </c>
      <c r="C337" s="25">
        <f t="shared" si="26"/>
        <v>45931</v>
      </c>
      <c r="D337" t="s">
        <v>24</v>
      </c>
      <c r="E337" t="s">
        <v>59</v>
      </c>
      <c r="F337" t="s">
        <v>18</v>
      </c>
      <c r="G337" t="s">
        <v>27</v>
      </c>
      <c r="H337" t="s">
        <v>28</v>
      </c>
      <c r="I337">
        <v>1271</v>
      </c>
      <c r="J337">
        <v>1320</v>
      </c>
      <c r="K337">
        <v>29</v>
      </c>
      <c r="L337">
        <f t="shared" si="27"/>
        <v>1291</v>
      </c>
      <c r="M337">
        <v>24</v>
      </c>
      <c r="N337">
        <v>6.4</v>
      </c>
      <c r="O337" s="8">
        <v>87.01</v>
      </c>
      <c r="P337" s="10">
        <f t="shared" si="25"/>
        <v>114853.20000000001</v>
      </c>
      <c r="Q337" s="8">
        <f t="shared" si="28"/>
        <v>2523.29</v>
      </c>
      <c r="R337" t="s">
        <v>21</v>
      </c>
      <c r="S337">
        <f t="shared" si="29"/>
        <v>1320</v>
      </c>
    </row>
    <row r="338" spans="1:19" x14ac:dyDescent="0.3">
      <c r="A338" t="s">
        <v>436</v>
      </c>
      <c r="B338" s="13">
        <v>45970</v>
      </c>
      <c r="C338" s="25">
        <f t="shared" si="26"/>
        <v>45962</v>
      </c>
      <c r="D338" t="s">
        <v>24</v>
      </c>
      <c r="E338" t="s">
        <v>17</v>
      </c>
      <c r="F338" t="s">
        <v>18</v>
      </c>
      <c r="G338" t="s">
        <v>27</v>
      </c>
      <c r="H338" t="s">
        <v>44</v>
      </c>
      <c r="I338">
        <v>1463</v>
      </c>
      <c r="J338">
        <v>1527</v>
      </c>
      <c r="K338">
        <v>16</v>
      </c>
      <c r="L338">
        <f t="shared" si="27"/>
        <v>1511</v>
      </c>
      <c r="M338">
        <v>13.5</v>
      </c>
      <c r="N338">
        <v>8.1</v>
      </c>
      <c r="O338" s="8">
        <v>87.32</v>
      </c>
      <c r="P338" s="10">
        <f t="shared" si="25"/>
        <v>133337.63999999998</v>
      </c>
      <c r="Q338" s="8">
        <f t="shared" si="28"/>
        <v>1397.12</v>
      </c>
      <c r="R338" t="s">
        <v>29</v>
      </c>
      <c r="S338">
        <f t="shared" si="29"/>
        <v>1527</v>
      </c>
    </row>
    <row r="339" spans="1:19" x14ac:dyDescent="0.3">
      <c r="A339" t="s">
        <v>894</v>
      </c>
      <c r="B339" s="13">
        <v>45749</v>
      </c>
      <c r="C339" s="25">
        <f t="shared" si="26"/>
        <v>45748</v>
      </c>
      <c r="D339" t="s">
        <v>24</v>
      </c>
      <c r="E339" t="s">
        <v>59</v>
      </c>
      <c r="F339" t="s">
        <v>33</v>
      </c>
      <c r="G339" t="s">
        <v>27</v>
      </c>
      <c r="H339" t="s">
        <v>75</v>
      </c>
      <c r="I339">
        <v>912</v>
      </c>
      <c r="J339">
        <v>984</v>
      </c>
      <c r="K339">
        <v>14</v>
      </c>
      <c r="L339">
        <f t="shared" si="27"/>
        <v>970</v>
      </c>
      <c r="M339">
        <v>46.5</v>
      </c>
      <c r="N339">
        <v>7.6</v>
      </c>
      <c r="O339" s="8">
        <v>87.36</v>
      </c>
      <c r="P339" s="10">
        <f t="shared" si="25"/>
        <v>85962.240000000005</v>
      </c>
      <c r="Q339" s="8">
        <f t="shared" si="28"/>
        <v>1223.04</v>
      </c>
      <c r="R339" t="s">
        <v>29</v>
      </c>
      <c r="S339">
        <f t="shared" si="29"/>
        <v>984</v>
      </c>
    </row>
    <row r="340" spans="1:19" x14ac:dyDescent="0.3">
      <c r="A340" t="s">
        <v>451</v>
      </c>
      <c r="B340" s="13">
        <v>45709</v>
      </c>
      <c r="C340" s="25">
        <f t="shared" si="26"/>
        <v>45689</v>
      </c>
      <c r="D340" t="s">
        <v>24</v>
      </c>
      <c r="E340" t="s">
        <v>59</v>
      </c>
      <c r="F340" t="s">
        <v>18</v>
      </c>
      <c r="G340" t="s">
        <v>40</v>
      </c>
      <c r="H340" t="s">
        <v>37</v>
      </c>
      <c r="I340">
        <v>965</v>
      </c>
      <c r="J340">
        <v>841</v>
      </c>
      <c r="K340">
        <v>9</v>
      </c>
      <c r="L340">
        <f t="shared" si="27"/>
        <v>832</v>
      </c>
      <c r="M340">
        <v>26.6</v>
      </c>
      <c r="N340">
        <v>6.8</v>
      </c>
      <c r="O340" s="8">
        <v>87.5</v>
      </c>
      <c r="P340" s="10">
        <f t="shared" si="25"/>
        <v>73587.5</v>
      </c>
      <c r="Q340" s="8">
        <f t="shared" si="28"/>
        <v>787.5</v>
      </c>
      <c r="R340" t="s">
        <v>29</v>
      </c>
      <c r="S340">
        <f t="shared" si="29"/>
        <v>841</v>
      </c>
    </row>
    <row r="341" spans="1:19" x14ac:dyDescent="0.3">
      <c r="A341" t="s">
        <v>99</v>
      </c>
      <c r="B341" s="13">
        <v>45819</v>
      </c>
      <c r="C341" s="25">
        <f t="shared" si="26"/>
        <v>45809</v>
      </c>
      <c r="D341" t="s">
        <v>16</v>
      </c>
      <c r="E341" t="s">
        <v>17</v>
      </c>
      <c r="F341" t="s">
        <v>33</v>
      </c>
      <c r="G341" t="s">
        <v>27</v>
      </c>
      <c r="H341" t="s">
        <v>20</v>
      </c>
      <c r="I341">
        <v>1049</v>
      </c>
      <c r="J341">
        <v>964</v>
      </c>
      <c r="K341">
        <v>12</v>
      </c>
      <c r="L341">
        <f t="shared" si="27"/>
        <v>952</v>
      </c>
      <c r="M341">
        <v>25.3</v>
      </c>
      <c r="N341">
        <v>8</v>
      </c>
      <c r="O341" s="8">
        <v>87.74</v>
      </c>
      <c r="P341" s="10">
        <f t="shared" si="25"/>
        <v>84581.36</v>
      </c>
      <c r="Q341" s="8">
        <f t="shared" si="28"/>
        <v>1052.8799999999999</v>
      </c>
      <c r="R341" t="s">
        <v>29</v>
      </c>
      <c r="S341">
        <f t="shared" si="29"/>
        <v>964</v>
      </c>
    </row>
    <row r="342" spans="1:19" x14ac:dyDescent="0.3">
      <c r="A342" t="s">
        <v>468</v>
      </c>
      <c r="B342" s="13">
        <v>45726</v>
      </c>
      <c r="C342" s="25">
        <f t="shared" si="26"/>
        <v>45717</v>
      </c>
      <c r="D342" t="s">
        <v>24</v>
      </c>
      <c r="E342" t="s">
        <v>36</v>
      </c>
      <c r="F342" t="s">
        <v>26</v>
      </c>
      <c r="G342" t="s">
        <v>19</v>
      </c>
      <c r="H342" t="s">
        <v>37</v>
      </c>
      <c r="I342">
        <v>1270</v>
      </c>
      <c r="J342">
        <v>1223</v>
      </c>
      <c r="K342">
        <v>39</v>
      </c>
      <c r="L342">
        <f t="shared" si="27"/>
        <v>1184</v>
      </c>
      <c r="M342">
        <v>36.4</v>
      </c>
      <c r="N342">
        <v>8.4</v>
      </c>
      <c r="O342" s="8">
        <v>87.89</v>
      </c>
      <c r="P342" s="10">
        <f t="shared" si="25"/>
        <v>107489.47</v>
      </c>
      <c r="Q342" s="8">
        <f t="shared" si="28"/>
        <v>3427.71</v>
      </c>
      <c r="R342" t="s">
        <v>21</v>
      </c>
      <c r="S342">
        <f t="shared" si="29"/>
        <v>1223</v>
      </c>
    </row>
    <row r="343" spans="1:19" x14ac:dyDescent="0.3">
      <c r="A343" t="s">
        <v>271</v>
      </c>
      <c r="B343" s="13">
        <v>45864</v>
      </c>
      <c r="C343" s="25">
        <f t="shared" si="26"/>
        <v>45839</v>
      </c>
      <c r="D343" t="s">
        <v>16</v>
      </c>
      <c r="E343" t="s">
        <v>17</v>
      </c>
      <c r="F343" t="s">
        <v>26</v>
      </c>
      <c r="G343" t="s">
        <v>40</v>
      </c>
      <c r="H343" t="s">
        <v>72</v>
      </c>
      <c r="I343">
        <v>1727</v>
      </c>
      <c r="J343">
        <v>1587</v>
      </c>
      <c r="K343">
        <v>13</v>
      </c>
      <c r="L343">
        <f t="shared" si="27"/>
        <v>1574</v>
      </c>
      <c r="M343">
        <v>7.5</v>
      </c>
      <c r="N343">
        <v>7.1</v>
      </c>
      <c r="O343" s="8">
        <v>88.13</v>
      </c>
      <c r="P343" s="10">
        <f t="shared" si="25"/>
        <v>139862.31</v>
      </c>
      <c r="Q343" s="8">
        <f t="shared" si="28"/>
        <v>1145.69</v>
      </c>
      <c r="R343" t="s">
        <v>29</v>
      </c>
      <c r="S343">
        <f t="shared" si="29"/>
        <v>1587</v>
      </c>
    </row>
    <row r="344" spans="1:19" x14ac:dyDescent="0.3">
      <c r="A344" t="s">
        <v>568</v>
      </c>
      <c r="B344" s="13">
        <v>45938</v>
      </c>
      <c r="C344" s="25">
        <f t="shared" si="26"/>
        <v>45931</v>
      </c>
      <c r="D344" t="s">
        <v>24</v>
      </c>
      <c r="E344" t="s">
        <v>25</v>
      </c>
      <c r="F344" t="s">
        <v>49</v>
      </c>
      <c r="G344" t="s">
        <v>27</v>
      </c>
      <c r="H344" t="s">
        <v>44</v>
      </c>
      <c r="I344">
        <v>749</v>
      </c>
      <c r="J344">
        <v>779</v>
      </c>
      <c r="K344">
        <v>7</v>
      </c>
      <c r="L344">
        <f t="shared" si="27"/>
        <v>772</v>
      </c>
      <c r="M344">
        <v>12.7</v>
      </c>
      <c r="N344">
        <v>6.3</v>
      </c>
      <c r="O344" s="8">
        <v>88.52</v>
      </c>
      <c r="P344" s="10">
        <f t="shared" si="25"/>
        <v>68957.08</v>
      </c>
      <c r="Q344" s="8">
        <f t="shared" si="28"/>
        <v>619.64</v>
      </c>
      <c r="R344" t="s">
        <v>29</v>
      </c>
      <c r="S344">
        <f t="shared" si="29"/>
        <v>779</v>
      </c>
    </row>
    <row r="345" spans="1:19" x14ac:dyDescent="0.3">
      <c r="A345" t="s">
        <v>569</v>
      </c>
      <c r="B345" s="13">
        <v>45775</v>
      </c>
      <c r="C345" s="25">
        <f t="shared" si="26"/>
        <v>45748</v>
      </c>
      <c r="D345" t="s">
        <v>16</v>
      </c>
      <c r="E345" t="s">
        <v>62</v>
      </c>
      <c r="F345" t="s">
        <v>18</v>
      </c>
      <c r="G345" t="s">
        <v>40</v>
      </c>
      <c r="H345" t="s">
        <v>44</v>
      </c>
      <c r="I345">
        <v>1373</v>
      </c>
      <c r="J345">
        <v>1403</v>
      </c>
      <c r="K345">
        <v>40</v>
      </c>
      <c r="L345">
        <f t="shared" si="27"/>
        <v>1363</v>
      </c>
      <c r="M345">
        <v>31.3</v>
      </c>
      <c r="N345">
        <v>6.6</v>
      </c>
      <c r="O345" s="8">
        <v>88.6</v>
      </c>
      <c r="P345" s="10">
        <f t="shared" si="25"/>
        <v>124305.79999999999</v>
      </c>
      <c r="Q345" s="8">
        <f t="shared" si="28"/>
        <v>3544</v>
      </c>
      <c r="R345" t="s">
        <v>21</v>
      </c>
      <c r="S345">
        <f t="shared" si="29"/>
        <v>1403</v>
      </c>
    </row>
    <row r="346" spans="1:19" x14ac:dyDescent="0.3">
      <c r="A346" t="s">
        <v>112</v>
      </c>
      <c r="B346" s="13">
        <v>45971</v>
      </c>
      <c r="C346" s="25">
        <f t="shared" si="26"/>
        <v>45962</v>
      </c>
      <c r="D346" t="s">
        <v>24</v>
      </c>
      <c r="E346" t="s">
        <v>59</v>
      </c>
      <c r="F346" t="s">
        <v>26</v>
      </c>
      <c r="G346" t="s">
        <v>27</v>
      </c>
      <c r="H346" t="s">
        <v>82</v>
      </c>
      <c r="I346">
        <v>1443</v>
      </c>
      <c r="J346">
        <v>1435</v>
      </c>
      <c r="K346">
        <v>42</v>
      </c>
      <c r="L346">
        <f t="shared" si="27"/>
        <v>1393</v>
      </c>
      <c r="M346">
        <v>53.5</v>
      </c>
      <c r="N346">
        <v>8.5</v>
      </c>
      <c r="O346" s="8">
        <v>88.61</v>
      </c>
      <c r="P346" s="10">
        <f t="shared" si="25"/>
        <v>127155.35</v>
      </c>
      <c r="Q346" s="8">
        <f t="shared" si="28"/>
        <v>3721.62</v>
      </c>
      <c r="R346" t="s">
        <v>21</v>
      </c>
      <c r="S346">
        <f t="shared" si="29"/>
        <v>1435</v>
      </c>
    </row>
    <row r="347" spans="1:19" x14ac:dyDescent="0.3">
      <c r="A347" t="s">
        <v>541</v>
      </c>
      <c r="B347" s="13">
        <v>45790</v>
      </c>
      <c r="C347" s="25">
        <f t="shared" si="26"/>
        <v>45778</v>
      </c>
      <c r="D347" t="s">
        <v>32</v>
      </c>
      <c r="E347" t="s">
        <v>62</v>
      </c>
      <c r="F347" t="s">
        <v>33</v>
      </c>
      <c r="G347" t="s">
        <v>40</v>
      </c>
      <c r="H347" t="s">
        <v>28</v>
      </c>
      <c r="I347">
        <v>1358</v>
      </c>
      <c r="J347">
        <v>1199</v>
      </c>
      <c r="K347">
        <v>36</v>
      </c>
      <c r="L347">
        <f t="shared" si="27"/>
        <v>1163</v>
      </c>
      <c r="M347">
        <v>34.6</v>
      </c>
      <c r="N347">
        <v>6.1</v>
      </c>
      <c r="O347" s="8">
        <v>88.64</v>
      </c>
      <c r="P347" s="10">
        <f t="shared" si="25"/>
        <v>106279.36</v>
      </c>
      <c r="Q347" s="8">
        <f t="shared" si="28"/>
        <v>3191.04</v>
      </c>
      <c r="R347" t="s">
        <v>21</v>
      </c>
      <c r="S347">
        <f t="shared" si="29"/>
        <v>1199</v>
      </c>
    </row>
    <row r="348" spans="1:19" x14ac:dyDescent="0.3">
      <c r="A348" t="s">
        <v>382</v>
      </c>
      <c r="B348" s="13">
        <v>45783</v>
      </c>
      <c r="C348" s="25">
        <f t="shared" si="26"/>
        <v>45778</v>
      </c>
      <c r="D348" t="s">
        <v>16</v>
      </c>
      <c r="E348" t="s">
        <v>59</v>
      </c>
      <c r="F348" t="s">
        <v>43</v>
      </c>
      <c r="G348" t="s">
        <v>40</v>
      </c>
      <c r="H348" t="s">
        <v>82</v>
      </c>
      <c r="I348">
        <v>876</v>
      </c>
      <c r="J348">
        <v>861</v>
      </c>
      <c r="K348">
        <v>28</v>
      </c>
      <c r="L348">
        <f t="shared" si="27"/>
        <v>833</v>
      </c>
      <c r="M348">
        <v>29.6</v>
      </c>
      <c r="N348">
        <v>6.9</v>
      </c>
      <c r="O348" s="8">
        <v>88.74</v>
      </c>
      <c r="P348" s="10">
        <f t="shared" si="25"/>
        <v>76405.14</v>
      </c>
      <c r="Q348" s="8">
        <f t="shared" si="28"/>
        <v>2484.7199999999998</v>
      </c>
      <c r="R348" t="s">
        <v>21</v>
      </c>
      <c r="S348">
        <f t="shared" si="29"/>
        <v>861</v>
      </c>
    </row>
    <row r="349" spans="1:19" x14ac:dyDescent="0.3">
      <c r="A349" t="s">
        <v>763</v>
      </c>
      <c r="B349" s="13">
        <v>45660</v>
      </c>
      <c r="C349" s="25">
        <f t="shared" si="26"/>
        <v>45658</v>
      </c>
      <c r="D349" t="s">
        <v>32</v>
      </c>
      <c r="E349" t="s">
        <v>36</v>
      </c>
      <c r="F349" t="s">
        <v>49</v>
      </c>
      <c r="G349" t="s">
        <v>27</v>
      </c>
      <c r="H349" t="s">
        <v>69</v>
      </c>
      <c r="I349">
        <v>1680</v>
      </c>
      <c r="J349">
        <v>1290</v>
      </c>
      <c r="K349">
        <v>24</v>
      </c>
      <c r="L349">
        <f t="shared" si="27"/>
        <v>1266</v>
      </c>
      <c r="M349">
        <v>10.5</v>
      </c>
      <c r="N349">
        <v>6.9</v>
      </c>
      <c r="O349" s="8">
        <v>89.2</v>
      </c>
      <c r="P349" s="10">
        <f t="shared" si="25"/>
        <v>115068</v>
      </c>
      <c r="Q349" s="8">
        <f t="shared" si="28"/>
        <v>2140.8000000000002</v>
      </c>
      <c r="R349" t="s">
        <v>29</v>
      </c>
      <c r="S349">
        <f t="shared" si="29"/>
        <v>1290</v>
      </c>
    </row>
    <row r="350" spans="1:19" x14ac:dyDescent="0.3">
      <c r="A350" t="s">
        <v>159</v>
      </c>
      <c r="B350" s="13">
        <v>45929</v>
      </c>
      <c r="C350" s="25">
        <f t="shared" si="26"/>
        <v>45901</v>
      </c>
      <c r="D350" t="s">
        <v>16</v>
      </c>
      <c r="E350" t="s">
        <v>62</v>
      </c>
      <c r="F350" t="s">
        <v>33</v>
      </c>
      <c r="G350" t="s">
        <v>27</v>
      </c>
      <c r="H350" t="s">
        <v>72</v>
      </c>
      <c r="I350">
        <v>1058</v>
      </c>
      <c r="J350">
        <v>876</v>
      </c>
      <c r="K350">
        <v>27</v>
      </c>
      <c r="L350">
        <f t="shared" si="27"/>
        <v>849</v>
      </c>
      <c r="M350">
        <v>60.1</v>
      </c>
      <c r="N350">
        <v>6.7</v>
      </c>
      <c r="O350" s="8">
        <v>89.31</v>
      </c>
      <c r="P350" s="10">
        <f t="shared" si="25"/>
        <v>78235.56</v>
      </c>
      <c r="Q350" s="8">
        <f t="shared" si="28"/>
        <v>2411.37</v>
      </c>
      <c r="R350" t="s">
        <v>21</v>
      </c>
      <c r="S350">
        <f t="shared" si="29"/>
        <v>876</v>
      </c>
    </row>
    <row r="351" spans="1:19" x14ac:dyDescent="0.3">
      <c r="A351" t="s">
        <v>317</v>
      </c>
      <c r="B351" s="13">
        <v>45992</v>
      </c>
      <c r="C351" s="25">
        <f t="shared" si="26"/>
        <v>45992</v>
      </c>
      <c r="D351" t="s">
        <v>24</v>
      </c>
      <c r="E351" t="s">
        <v>36</v>
      </c>
      <c r="F351" t="s">
        <v>43</v>
      </c>
      <c r="G351" t="s">
        <v>40</v>
      </c>
      <c r="H351" t="s">
        <v>75</v>
      </c>
      <c r="I351">
        <v>777</v>
      </c>
      <c r="J351">
        <v>881</v>
      </c>
      <c r="K351">
        <v>13</v>
      </c>
      <c r="L351">
        <f t="shared" si="27"/>
        <v>868</v>
      </c>
      <c r="M351">
        <v>21</v>
      </c>
      <c r="N351">
        <v>6.5</v>
      </c>
      <c r="O351" s="8">
        <v>89.46</v>
      </c>
      <c r="P351" s="10">
        <f t="shared" si="25"/>
        <v>78814.259999999995</v>
      </c>
      <c r="Q351" s="8">
        <f t="shared" si="28"/>
        <v>1162.98</v>
      </c>
      <c r="R351" t="s">
        <v>29</v>
      </c>
      <c r="S351">
        <f t="shared" si="29"/>
        <v>881</v>
      </c>
    </row>
    <row r="352" spans="1:19" x14ac:dyDescent="0.3">
      <c r="A352" t="s">
        <v>414</v>
      </c>
      <c r="B352" s="13">
        <v>45693</v>
      </c>
      <c r="C352" s="25">
        <f t="shared" si="26"/>
        <v>45689</v>
      </c>
      <c r="D352" t="s">
        <v>24</v>
      </c>
      <c r="E352" t="s">
        <v>62</v>
      </c>
      <c r="F352" t="s">
        <v>26</v>
      </c>
      <c r="G352" t="s">
        <v>27</v>
      </c>
      <c r="H352" t="s">
        <v>44</v>
      </c>
      <c r="I352">
        <v>1121</v>
      </c>
      <c r="J352">
        <v>1117</v>
      </c>
      <c r="K352">
        <v>11</v>
      </c>
      <c r="L352">
        <f t="shared" si="27"/>
        <v>1106</v>
      </c>
      <c r="M352">
        <v>16.5</v>
      </c>
      <c r="N352">
        <v>7.8</v>
      </c>
      <c r="O352" s="8">
        <v>89.57</v>
      </c>
      <c r="P352" s="10">
        <f t="shared" si="25"/>
        <v>100049.68999999999</v>
      </c>
      <c r="Q352" s="8">
        <f t="shared" si="28"/>
        <v>985.27</v>
      </c>
      <c r="R352" t="s">
        <v>29</v>
      </c>
      <c r="S352">
        <f t="shared" si="29"/>
        <v>1117</v>
      </c>
    </row>
    <row r="353" spans="1:19" x14ac:dyDescent="0.3">
      <c r="A353" t="s">
        <v>519</v>
      </c>
      <c r="B353" s="13">
        <v>45866</v>
      </c>
      <c r="C353" s="25">
        <f t="shared" si="26"/>
        <v>45839</v>
      </c>
      <c r="D353" t="s">
        <v>32</v>
      </c>
      <c r="E353" t="s">
        <v>17</v>
      </c>
      <c r="F353" t="s">
        <v>49</v>
      </c>
      <c r="G353" t="s">
        <v>27</v>
      </c>
      <c r="H353" t="s">
        <v>28</v>
      </c>
      <c r="I353">
        <v>1767</v>
      </c>
      <c r="J353">
        <v>1752</v>
      </c>
      <c r="K353">
        <v>57</v>
      </c>
      <c r="L353">
        <f t="shared" si="27"/>
        <v>1695</v>
      </c>
      <c r="M353">
        <v>78.8</v>
      </c>
      <c r="N353">
        <v>6.3</v>
      </c>
      <c r="O353" s="8">
        <v>89.61</v>
      </c>
      <c r="P353" s="10">
        <f t="shared" si="25"/>
        <v>156996.72</v>
      </c>
      <c r="Q353" s="8">
        <f t="shared" si="28"/>
        <v>5107.7699999999995</v>
      </c>
      <c r="R353" t="s">
        <v>21</v>
      </c>
      <c r="S353">
        <f t="shared" si="29"/>
        <v>1752</v>
      </c>
    </row>
    <row r="354" spans="1:19" x14ac:dyDescent="0.3">
      <c r="A354" t="s">
        <v>47</v>
      </c>
      <c r="B354" s="13">
        <v>45912</v>
      </c>
      <c r="C354" s="25">
        <f t="shared" si="26"/>
        <v>45901</v>
      </c>
      <c r="D354" t="s">
        <v>16</v>
      </c>
      <c r="E354" t="s">
        <v>25</v>
      </c>
      <c r="F354" t="s">
        <v>49</v>
      </c>
      <c r="G354" t="s">
        <v>40</v>
      </c>
      <c r="H354" t="s">
        <v>28</v>
      </c>
      <c r="I354">
        <v>851</v>
      </c>
      <c r="J354">
        <v>819</v>
      </c>
      <c r="K354">
        <v>18</v>
      </c>
      <c r="L354">
        <f t="shared" si="27"/>
        <v>801</v>
      </c>
      <c r="M354">
        <v>9.5</v>
      </c>
      <c r="N354">
        <v>6.4</v>
      </c>
      <c r="O354" s="8">
        <v>89.75</v>
      </c>
      <c r="P354" s="10">
        <f t="shared" si="25"/>
        <v>73505.25</v>
      </c>
      <c r="Q354" s="8">
        <f t="shared" si="28"/>
        <v>1615.5</v>
      </c>
      <c r="R354" t="s">
        <v>21</v>
      </c>
      <c r="S354">
        <f t="shared" si="29"/>
        <v>819</v>
      </c>
    </row>
    <row r="355" spans="1:19" x14ac:dyDescent="0.3">
      <c r="A355" t="s">
        <v>324</v>
      </c>
      <c r="B355" s="13">
        <v>45704</v>
      </c>
      <c r="C355" s="25">
        <f t="shared" si="26"/>
        <v>45689</v>
      </c>
      <c r="D355" t="s">
        <v>16</v>
      </c>
      <c r="E355" t="s">
        <v>62</v>
      </c>
      <c r="F355" t="s">
        <v>26</v>
      </c>
      <c r="G355" t="s">
        <v>40</v>
      </c>
      <c r="H355" t="str">
        <f>"Not Found"</f>
        <v>Not Found</v>
      </c>
      <c r="I355">
        <v>923</v>
      </c>
      <c r="J355">
        <v>891</v>
      </c>
      <c r="K355">
        <v>27</v>
      </c>
      <c r="L355">
        <f t="shared" si="27"/>
        <v>864</v>
      </c>
      <c r="M355">
        <v>39.4</v>
      </c>
      <c r="N355">
        <v>6.9</v>
      </c>
      <c r="O355" s="8">
        <v>89.76</v>
      </c>
      <c r="P355" s="10">
        <f t="shared" si="25"/>
        <v>79976.160000000003</v>
      </c>
      <c r="Q355" s="8">
        <f t="shared" si="28"/>
        <v>2423.52</v>
      </c>
      <c r="R355" t="s">
        <v>21</v>
      </c>
      <c r="S355">
        <f t="shared" si="29"/>
        <v>891</v>
      </c>
    </row>
    <row r="356" spans="1:19" x14ac:dyDescent="0.3">
      <c r="A356" t="s">
        <v>891</v>
      </c>
      <c r="B356" s="13">
        <v>45982</v>
      </c>
      <c r="C356" s="25">
        <f t="shared" si="26"/>
        <v>45962</v>
      </c>
      <c r="D356" t="s">
        <v>16</v>
      </c>
      <c r="E356" t="s">
        <v>25</v>
      </c>
      <c r="F356" t="s">
        <v>18</v>
      </c>
      <c r="G356" t="s">
        <v>40</v>
      </c>
      <c r="H356" t="s">
        <v>28</v>
      </c>
      <c r="I356">
        <v>1149</v>
      </c>
      <c r="J356">
        <v>1028</v>
      </c>
      <c r="K356">
        <v>33</v>
      </c>
      <c r="L356">
        <f t="shared" si="27"/>
        <v>995</v>
      </c>
      <c r="M356">
        <v>38.5</v>
      </c>
      <c r="N356">
        <v>6.1</v>
      </c>
      <c r="O356" s="8">
        <v>89.77</v>
      </c>
      <c r="P356" s="10">
        <f t="shared" si="25"/>
        <v>92283.56</v>
      </c>
      <c r="Q356" s="8">
        <f t="shared" si="28"/>
        <v>2962.41</v>
      </c>
      <c r="R356" t="s">
        <v>21</v>
      </c>
      <c r="S356">
        <f t="shared" si="29"/>
        <v>1028</v>
      </c>
    </row>
    <row r="357" spans="1:19" x14ac:dyDescent="0.3">
      <c r="A357" t="s">
        <v>97</v>
      </c>
      <c r="B357" s="13">
        <v>45857</v>
      </c>
      <c r="C357" s="25">
        <f t="shared" si="26"/>
        <v>45839</v>
      </c>
      <c r="D357" t="s">
        <v>24</v>
      </c>
      <c r="E357" t="s">
        <v>17</v>
      </c>
      <c r="F357" t="s">
        <v>18</v>
      </c>
      <c r="G357" t="s">
        <v>27</v>
      </c>
      <c r="H357" t="s">
        <v>44</v>
      </c>
      <c r="I357">
        <v>1362</v>
      </c>
      <c r="J357">
        <v>1245</v>
      </c>
      <c r="K357">
        <v>12</v>
      </c>
      <c r="L357">
        <f t="shared" si="27"/>
        <v>1233</v>
      </c>
      <c r="M357">
        <v>25.1</v>
      </c>
      <c r="N357">
        <v>7.4</v>
      </c>
      <c r="O357" s="8">
        <v>89.85</v>
      </c>
      <c r="P357" s="10">
        <f t="shared" si="25"/>
        <v>111863.25</v>
      </c>
      <c r="Q357" s="8">
        <f t="shared" si="28"/>
        <v>1078.1999999999998</v>
      </c>
      <c r="R357" t="s">
        <v>29</v>
      </c>
      <c r="S357">
        <f t="shared" si="29"/>
        <v>1245</v>
      </c>
    </row>
    <row r="358" spans="1:19" x14ac:dyDescent="0.3">
      <c r="A358" t="s">
        <v>196</v>
      </c>
      <c r="B358" s="13">
        <v>45817</v>
      </c>
      <c r="C358" s="25">
        <f t="shared" si="26"/>
        <v>45809</v>
      </c>
      <c r="D358" t="s">
        <v>24</v>
      </c>
      <c r="E358" t="s">
        <v>17</v>
      </c>
      <c r="F358" t="s">
        <v>26</v>
      </c>
      <c r="G358" t="s">
        <v>40</v>
      </c>
      <c r="H358" t="s">
        <v>20</v>
      </c>
      <c r="I358">
        <v>1430</v>
      </c>
      <c r="J358">
        <v>1251</v>
      </c>
      <c r="K358">
        <v>30</v>
      </c>
      <c r="L358">
        <f t="shared" si="27"/>
        <v>1221</v>
      </c>
      <c r="M358">
        <v>11.1</v>
      </c>
      <c r="N358">
        <v>7.8</v>
      </c>
      <c r="O358" s="8">
        <v>90</v>
      </c>
      <c r="P358" s="10">
        <f t="shared" si="25"/>
        <v>112590</v>
      </c>
      <c r="Q358" s="8">
        <f t="shared" si="28"/>
        <v>2700</v>
      </c>
      <c r="R358" t="s">
        <v>21</v>
      </c>
      <c r="S358">
        <f t="shared" si="29"/>
        <v>1251</v>
      </c>
    </row>
    <row r="359" spans="1:19" x14ac:dyDescent="0.3">
      <c r="A359" t="s">
        <v>341</v>
      </c>
      <c r="B359" s="13">
        <v>45718</v>
      </c>
      <c r="C359" s="25">
        <f t="shared" si="26"/>
        <v>45717</v>
      </c>
      <c r="D359" t="s">
        <v>32</v>
      </c>
      <c r="E359" t="s">
        <v>62</v>
      </c>
      <c r="F359" t="s">
        <v>33</v>
      </c>
      <c r="G359" t="s">
        <v>40</v>
      </c>
      <c r="H359" t="s">
        <v>82</v>
      </c>
      <c r="I359">
        <v>1477</v>
      </c>
      <c r="J359">
        <v>1524</v>
      </c>
      <c r="K359">
        <v>30</v>
      </c>
      <c r="L359">
        <f t="shared" si="27"/>
        <v>1494</v>
      </c>
      <c r="M359">
        <v>114.8</v>
      </c>
      <c r="N359">
        <v>8.3000000000000007</v>
      </c>
      <c r="O359" s="8">
        <v>90.07</v>
      </c>
      <c r="P359" s="10">
        <f t="shared" si="25"/>
        <v>137266.68</v>
      </c>
      <c r="Q359" s="8">
        <f t="shared" si="28"/>
        <v>2702.1</v>
      </c>
      <c r="R359" t="s">
        <v>29</v>
      </c>
      <c r="S359">
        <f t="shared" si="29"/>
        <v>1524</v>
      </c>
    </row>
    <row r="360" spans="1:19" x14ac:dyDescent="0.3">
      <c r="A360" t="s">
        <v>431</v>
      </c>
      <c r="B360" s="13">
        <v>45857</v>
      </c>
      <c r="C360" s="25">
        <f t="shared" si="26"/>
        <v>45839</v>
      </c>
      <c r="D360" t="s">
        <v>16</v>
      </c>
      <c r="E360" t="s">
        <v>36</v>
      </c>
      <c r="F360" t="s">
        <v>49</v>
      </c>
      <c r="G360" t="s">
        <v>40</v>
      </c>
      <c r="H360" t="s">
        <v>20</v>
      </c>
      <c r="I360">
        <v>1670</v>
      </c>
      <c r="J360">
        <v>1521</v>
      </c>
      <c r="K360">
        <v>48</v>
      </c>
      <c r="L360">
        <f t="shared" si="27"/>
        <v>1473</v>
      </c>
      <c r="M360">
        <v>62.4</v>
      </c>
      <c r="N360">
        <v>6.7</v>
      </c>
      <c r="O360" s="8">
        <v>90.24</v>
      </c>
      <c r="P360" s="10">
        <f t="shared" si="25"/>
        <v>137255.03999999998</v>
      </c>
      <c r="Q360" s="8">
        <f t="shared" si="28"/>
        <v>4331.5199999999995</v>
      </c>
      <c r="R360" t="s">
        <v>21</v>
      </c>
      <c r="S360">
        <f t="shared" si="29"/>
        <v>1521</v>
      </c>
    </row>
    <row r="361" spans="1:19" x14ac:dyDescent="0.3">
      <c r="A361" t="s">
        <v>442</v>
      </c>
      <c r="B361" s="13">
        <v>45920</v>
      </c>
      <c r="C361" s="25">
        <f t="shared" si="26"/>
        <v>45901</v>
      </c>
      <c r="D361" t="s">
        <v>32</v>
      </c>
      <c r="E361" t="s">
        <v>17</v>
      </c>
      <c r="F361" t="s">
        <v>43</v>
      </c>
      <c r="G361" t="s">
        <v>19</v>
      </c>
      <c r="H361" t="s">
        <v>69</v>
      </c>
      <c r="I361">
        <v>1243</v>
      </c>
      <c r="J361">
        <v>1192</v>
      </c>
      <c r="K361">
        <v>31</v>
      </c>
      <c r="L361">
        <f t="shared" si="27"/>
        <v>1161</v>
      </c>
      <c r="M361">
        <v>40.1</v>
      </c>
      <c r="N361">
        <v>6.1</v>
      </c>
      <c r="O361" s="8">
        <v>90.39</v>
      </c>
      <c r="P361" s="10">
        <f t="shared" si="25"/>
        <v>107744.88</v>
      </c>
      <c r="Q361" s="8">
        <f t="shared" si="28"/>
        <v>2802.09</v>
      </c>
      <c r="R361" t="s">
        <v>21</v>
      </c>
      <c r="S361">
        <f t="shared" si="29"/>
        <v>1192</v>
      </c>
    </row>
    <row r="362" spans="1:19" x14ac:dyDescent="0.3">
      <c r="A362" t="s">
        <v>578</v>
      </c>
      <c r="B362" s="13">
        <v>45744</v>
      </c>
      <c r="C362" s="25">
        <f t="shared" si="26"/>
        <v>45717</v>
      </c>
      <c r="D362" t="s">
        <v>16</v>
      </c>
      <c r="E362" t="s">
        <v>36</v>
      </c>
      <c r="F362" t="s">
        <v>43</v>
      </c>
      <c r="G362" t="s">
        <v>27</v>
      </c>
      <c r="H362" t="s">
        <v>28</v>
      </c>
      <c r="I362">
        <v>1439</v>
      </c>
      <c r="J362">
        <v>1099</v>
      </c>
      <c r="K362">
        <v>22</v>
      </c>
      <c r="L362">
        <f t="shared" si="27"/>
        <v>1077</v>
      </c>
      <c r="M362">
        <v>55</v>
      </c>
      <c r="N362">
        <v>7.2</v>
      </c>
      <c r="O362" s="8">
        <v>90.59</v>
      </c>
      <c r="P362" s="10">
        <f t="shared" si="25"/>
        <v>99558.41</v>
      </c>
      <c r="Q362" s="8">
        <f t="shared" si="28"/>
        <v>1992.98</v>
      </c>
      <c r="R362" t="s">
        <v>21</v>
      </c>
      <c r="S362">
        <f t="shared" si="29"/>
        <v>1099</v>
      </c>
    </row>
    <row r="363" spans="1:19" x14ac:dyDescent="0.3">
      <c r="A363" t="s">
        <v>501</v>
      </c>
      <c r="B363" s="13">
        <v>45713</v>
      </c>
      <c r="C363" s="25">
        <f t="shared" si="26"/>
        <v>45689</v>
      </c>
      <c r="D363" t="s">
        <v>24</v>
      </c>
      <c r="E363" t="s">
        <v>17</v>
      </c>
      <c r="F363" t="s">
        <v>49</v>
      </c>
      <c r="G363" t="s">
        <v>40</v>
      </c>
      <c r="H363" t="s">
        <v>44</v>
      </c>
      <c r="I363">
        <v>1257</v>
      </c>
      <c r="J363">
        <v>1289</v>
      </c>
      <c r="K363">
        <v>18</v>
      </c>
      <c r="L363">
        <f t="shared" si="27"/>
        <v>1271</v>
      </c>
      <c r="M363">
        <v>115</v>
      </c>
      <c r="N363">
        <v>8.1</v>
      </c>
      <c r="O363" s="8">
        <v>90.64</v>
      </c>
      <c r="P363" s="10">
        <f t="shared" si="25"/>
        <v>116834.96</v>
      </c>
      <c r="Q363" s="8">
        <f t="shared" si="28"/>
        <v>1631.52</v>
      </c>
      <c r="R363" t="s">
        <v>29</v>
      </c>
      <c r="S363">
        <f t="shared" si="29"/>
        <v>1289</v>
      </c>
    </row>
    <row r="364" spans="1:19" x14ac:dyDescent="0.3">
      <c r="A364" t="s">
        <v>551</v>
      </c>
      <c r="B364" s="13">
        <v>45773</v>
      </c>
      <c r="C364" s="25">
        <f t="shared" si="26"/>
        <v>45748</v>
      </c>
      <c r="D364" t="s">
        <v>16</v>
      </c>
      <c r="E364" t="s">
        <v>36</v>
      </c>
      <c r="F364" t="s">
        <v>26</v>
      </c>
      <c r="G364" t="s">
        <v>19</v>
      </c>
      <c r="H364" t="s">
        <v>28</v>
      </c>
      <c r="I364">
        <v>729</v>
      </c>
      <c r="J364">
        <v>766</v>
      </c>
      <c r="K364">
        <v>7</v>
      </c>
      <c r="L364">
        <f t="shared" si="27"/>
        <v>759</v>
      </c>
      <c r="M364">
        <v>35.799999999999997</v>
      </c>
      <c r="N364">
        <v>6.5</v>
      </c>
      <c r="O364" s="8">
        <v>90.85</v>
      </c>
      <c r="P364" s="10">
        <f t="shared" si="25"/>
        <v>69591.099999999991</v>
      </c>
      <c r="Q364" s="8">
        <f t="shared" si="28"/>
        <v>635.94999999999993</v>
      </c>
      <c r="R364" t="s">
        <v>29</v>
      </c>
      <c r="S364">
        <f t="shared" si="29"/>
        <v>766</v>
      </c>
    </row>
    <row r="365" spans="1:19" x14ac:dyDescent="0.3">
      <c r="A365" t="s">
        <v>150</v>
      </c>
      <c r="B365" s="13">
        <v>45857</v>
      </c>
      <c r="C365" s="25">
        <f t="shared" si="26"/>
        <v>45839</v>
      </c>
      <c r="D365" t="s">
        <v>24</v>
      </c>
      <c r="E365" t="s">
        <v>36</v>
      </c>
      <c r="F365" t="s">
        <v>33</v>
      </c>
      <c r="G365" t="s">
        <v>19</v>
      </c>
      <c r="H365" t="s">
        <v>72</v>
      </c>
      <c r="I365">
        <v>1195</v>
      </c>
      <c r="J365">
        <v>1230</v>
      </c>
      <c r="K365">
        <v>19</v>
      </c>
      <c r="L365">
        <f t="shared" si="27"/>
        <v>1211</v>
      </c>
      <c r="M365">
        <v>123.7</v>
      </c>
      <c r="N365">
        <v>6.3</v>
      </c>
      <c r="O365" s="8">
        <v>91.01</v>
      </c>
      <c r="P365" s="10">
        <f t="shared" si="25"/>
        <v>111942.3</v>
      </c>
      <c r="Q365" s="8">
        <f t="shared" si="28"/>
        <v>1729.19</v>
      </c>
      <c r="R365" t="s">
        <v>29</v>
      </c>
      <c r="S365">
        <f t="shared" si="29"/>
        <v>1230</v>
      </c>
    </row>
    <row r="366" spans="1:19" x14ac:dyDescent="0.3">
      <c r="A366" t="s">
        <v>836</v>
      </c>
      <c r="B366" s="13">
        <v>45711</v>
      </c>
      <c r="C366" s="25">
        <f t="shared" si="26"/>
        <v>45689</v>
      </c>
      <c r="D366" t="s">
        <v>32</v>
      </c>
      <c r="E366" t="s">
        <v>36</v>
      </c>
      <c r="F366" t="s">
        <v>43</v>
      </c>
      <c r="G366" t="s">
        <v>27</v>
      </c>
      <c r="H366" t="s">
        <v>72</v>
      </c>
      <c r="I366">
        <v>1266</v>
      </c>
      <c r="J366">
        <v>1426</v>
      </c>
      <c r="K366">
        <v>45</v>
      </c>
      <c r="L366">
        <f t="shared" si="27"/>
        <v>1381</v>
      </c>
      <c r="M366">
        <v>29.9</v>
      </c>
      <c r="N366">
        <v>7.4</v>
      </c>
      <c r="O366" s="8">
        <v>91.55</v>
      </c>
      <c r="P366" s="10">
        <f t="shared" si="25"/>
        <v>130550.3</v>
      </c>
      <c r="Q366" s="8">
        <f t="shared" si="28"/>
        <v>4119.75</v>
      </c>
      <c r="R366" t="s">
        <v>21</v>
      </c>
      <c r="S366">
        <f t="shared" si="29"/>
        <v>1426</v>
      </c>
    </row>
    <row r="367" spans="1:19" x14ac:dyDescent="0.3">
      <c r="A367" t="s">
        <v>651</v>
      </c>
      <c r="B367" s="13">
        <v>45753</v>
      </c>
      <c r="C367" s="25">
        <f t="shared" si="26"/>
        <v>45748</v>
      </c>
      <c r="D367" t="s">
        <v>16</v>
      </c>
      <c r="E367" t="s">
        <v>36</v>
      </c>
      <c r="F367" t="s">
        <v>18</v>
      </c>
      <c r="G367" t="s">
        <v>27</v>
      </c>
      <c r="H367" t="s">
        <v>69</v>
      </c>
      <c r="I367">
        <v>1086</v>
      </c>
      <c r="J367">
        <v>1242</v>
      </c>
      <c r="K367">
        <v>43</v>
      </c>
      <c r="L367">
        <f t="shared" si="27"/>
        <v>1199</v>
      </c>
      <c r="M367">
        <v>8.9</v>
      </c>
      <c r="N367">
        <v>8.1</v>
      </c>
      <c r="O367" s="8">
        <v>91.62</v>
      </c>
      <c r="P367" s="10">
        <f t="shared" si="25"/>
        <v>113792.04000000001</v>
      </c>
      <c r="Q367" s="8">
        <f t="shared" si="28"/>
        <v>3939.6600000000003</v>
      </c>
      <c r="R367" t="s">
        <v>21</v>
      </c>
      <c r="S367">
        <f t="shared" si="29"/>
        <v>1242</v>
      </c>
    </row>
    <row r="368" spans="1:19" x14ac:dyDescent="0.3">
      <c r="A368" t="s">
        <v>424</v>
      </c>
      <c r="B368" s="13">
        <v>45921</v>
      </c>
      <c r="C368" s="25">
        <f t="shared" si="26"/>
        <v>45901</v>
      </c>
      <c r="D368" t="s">
        <v>32</v>
      </c>
      <c r="E368" t="s">
        <v>62</v>
      </c>
      <c r="F368" t="s">
        <v>26</v>
      </c>
      <c r="G368" t="s">
        <v>19</v>
      </c>
      <c r="H368" t="s">
        <v>20</v>
      </c>
      <c r="I368">
        <v>906</v>
      </c>
      <c r="J368">
        <v>809</v>
      </c>
      <c r="K368">
        <v>5</v>
      </c>
      <c r="L368">
        <f t="shared" si="27"/>
        <v>804</v>
      </c>
      <c r="M368">
        <v>115.4</v>
      </c>
      <c r="N368">
        <v>8.1</v>
      </c>
      <c r="O368" s="8">
        <v>91.69</v>
      </c>
      <c r="P368" s="10">
        <f t="shared" si="25"/>
        <v>74177.209999999992</v>
      </c>
      <c r="Q368" s="8">
        <f t="shared" si="28"/>
        <v>458.45</v>
      </c>
      <c r="R368" t="s">
        <v>29</v>
      </c>
      <c r="S368">
        <f t="shared" si="29"/>
        <v>809</v>
      </c>
    </row>
    <row r="369" spans="1:19" x14ac:dyDescent="0.3">
      <c r="A369" t="s">
        <v>222</v>
      </c>
      <c r="B369" s="13">
        <v>45763</v>
      </c>
      <c r="C369" s="25">
        <f t="shared" si="26"/>
        <v>45748</v>
      </c>
      <c r="D369" t="s">
        <v>24</v>
      </c>
      <c r="E369" t="s">
        <v>59</v>
      </c>
      <c r="F369" t="s">
        <v>49</v>
      </c>
      <c r="G369" t="s">
        <v>19</v>
      </c>
      <c r="H369" t="s">
        <v>75</v>
      </c>
      <c r="I369">
        <v>779</v>
      </c>
      <c r="J369">
        <v>704</v>
      </c>
      <c r="K369">
        <v>5</v>
      </c>
      <c r="L369">
        <f t="shared" si="27"/>
        <v>699</v>
      </c>
      <c r="M369">
        <v>22.6</v>
      </c>
      <c r="N369">
        <v>8.1</v>
      </c>
      <c r="O369" s="8">
        <v>92.2</v>
      </c>
      <c r="P369" s="10">
        <f t="shared" si="25"/>
        <v>64908.800000000003</v>
      </c>
      <c r="Q369" s="8">
        <f t="shared" si="28"/>
        <v>461</v>
      </c>
      <c r="R369" t="s">
        <v>29</v>
      </c>
      <c r="S369">
        <f t="shared" si="29"/>
        <v>704</v>
      </c>
    </row>
    <row r="370" spans="1:19" x14ac:dyDescent="0.3">
      <c r="A370" t="s">
        <v>764</v>
      </c>
      <c r="B370" s="13">
        <v>46010</v>
      </c>
      <c r="C370" s="25">
        <f t="shared" si="26"/>
        <v>45992</v>
      </c>
      <c r="D370" t="s">
        <v>24</v>
      </c>
      <c r="E370" t="s">
        <v>62</v>
      </c>
      <c r="F370" t="s">
        <v>26</v>
      </c>
      <c r="G370" t="s">
        <v>40</v>
      </c>
      <c r="H370" t="s">
        <v>20</v>
      </c>
      <c r="I370">
        <v>736</v>
      </c>
      <c r="J370">
        <v>834</v>
      </c>
      <c r="K370">
        <v>10</v>
      </c>
      <c r="L370">
        <f t="shared" si="27"/>
        <v>824</v>
      </c>
      <c r="M370">
        <v>57.4</v>
      </c>
      <c r="N370">
        <v>6.9</v>
      </c>
      <c r="O370" s="8">
        <v>92.31</v>
      </c>
      <c r="P370" s="10">
        <f t="shared" si="25"/>
        <v>76986.540000000008</v>
      </c>
      <c r="Q370" s="8">
        <f t="shared" si="28"/>
        <v>923.1</v>
      </c>
      <c r="R370" t="s">
        <v>29</v>
      </c>
      <c r="S370">
        <f t="shared" si="29"/>
        <v>834</v>
      </c>
    </row>
    <row r="371" spans="1:19" x14ac:dyDescent="0.3">
      <c r="A371" t="s">
        <v>574</v>
      </c>
      <c r="B371" s="13">
        <v>46013</v>
      </c>
      <c r="C371" s="25">
        <f t="shared" si="26"/>
        <v>45992</v>
      </c>
      <c r="D371" t="s">
        <v>32</v>
      </c>
      <c r="E371" t="s">
        <v>36</v>
      </c>
      <c r="F371" t="s">
        <v>49</v>
      </c>
      <c r="G371" t="s">
        <v>19</v>
      </c>
      <c r="H371" t="s">
        <v>72</v>
      </c>
      <c r="I371">
        <v>816</v>
      </c>
      <c r="J371">
        <v>726</v>
      </c>
      <c r="K371">
        <v>21</v>
      </c>
      <c r="L371">
        <f t="shared" si="27"/>
        <v>705</v>
      </c>
      <c r="M371">
        <v>33.4</v>
      </c>
      <c r="N371">
        <v>7.8</v>
      </c>
      <c r="O371" s="8">
        <v>92.44</v>
      </c>
      <c r="P371" s="10">
        <f t="shared" si="25"/>
        <v>67111.44</v>
      </c>
      <c r="Q371" s="8">
        <f t="shared" si="28"/>
        <v>1941.24</v>
      </c>
      <c r="R371" t="s">
        <v>21</v>
      </c>
      <c r="S371">
        <f t="shared" si="29"/>
        <v>726</v>
      </c>
    </row>
    <row r="372" spans="1:19" x14ac:dyDescent="0.3">
      <c r="A372" t="s">
        <v>95</v>
      </c>
      <c r="B372" s="13">
        <v>45958</v>
      </c>
      <c r="C372" s="25">
        <f t="shared" si="26"/>
        <v>45931</v>
      </c>
      <c r="D372" t="s">
        <v>32</v>
      </c>
      <c r="E372" t="s">
        <v>62</v>
      </c>
      <c r="F372" t="s">
        <v>18</v>
      </c>
      <c r="G372" t="s">
        <v>19</v>
      </c>
      <c r="H372" t="s">
        <v>69</v>
      </c>
      <c r="I372">
        <v>1144</v>
      </c>
      <c r="J372">
        <v>1136</v>
      </c>
      <c r="K372">
        <v>18</v>
      </c>
      <c r="L372">
        <f t="shared" si="27"/>
        <v>1118</v>
      </c>
      <c r="M372">
        <v>31.6</v>
      </c>
      <c r="N372">
        <v>6.5</v>
      </c>
      <c r="O372" s="8">
        <v>92.71</v>
      </c>
      <c r="P372" s="10">
        <f t="shared" si="25"/>
        <v>105318.56</v>
      </c>
      <c r="Q372" s="8">
        <f t="shared" si="28"/>
        <v>1668.78</v>
      </c>
      <c r="R372" t="s">
        <v>29</v>
      </c>
      <c r="S372">
        <f t="shared" si="29"/>
        <v>1136</v>
      </c>
    </row>
    <row r="373" spans="1:19" x14ac:dyDescent="0.3">
      <c r="A373" t="s">
        <v>146</v>
      </c>
      <c r="B373" s="13">
        <v>45839</v>
      </c>
      <c r="C373" s="25">
        <f t="shared" si="26"/>
        <v>45839</v>
      </c>
      <c r="D373" t="s">
        <v>24</v>
      </c>
      <c r="E373" t="s">
        <v>36</v>
      </c>
      <c r="F373" t="s">
        <v>43</v>
      </c>
      <c r="G373" t="s">
        <v>27</v>
      </c>
      <c r="H373" t="s">
        <v>69</v>
      </c>
      <c r="I373">
        <v>1372</v>
      </c>
      <c r="J373">
        <v>1174</v>
      </c>
      <c r="K373">
        <v>35</v>
      </c>
      <c r="L373">
        <f t="shared" si="27"/>
        <v>1139</v>
      </c>
      <c r="M373">
        <v>1.2</v>
      </c>
      <c r="N373">
        <v>6.7</v>
      </c>
      <c r="O373" s="8">
        <v>92.97</v>
      </c>
      <c r="P373" s="10">
        <f t="shared" si="25"/>
        <v>109146.78</v>
      </c>
      <c r="Q373" s="8">
        <f t="shared" si="28"/>
        <v>3253.95</v>
      </c>
      <c r="R373" t="s">
        <v>21</v>
      </c>
      <c r="S373">
        <f t="shared" si="29"/>
        <v>1174</v>
      </c>
    </row>
    <row r="374" spans="1:19" x14ac:dyDescent="0.3">
      <c r="A374" t="s">
        <v>795</v>
      </c>
      <c r="B374" s="13">
        <v>45974</v>
      </c>
      <c r="C374" s="25">
        <f t="shared" si="26"/>
        <v>45962</v>
      </c>
      <c r="D374" t="s">
        <v>32</v>
      </c>
      <c r="E374" t="s">
        <v>59</v>
      </c>
      <c r="F374" t="s">
        <v>49</v>
      </c>
      <c r="G374" t="s">
        <v>19</v>
      </c>
      <c r="H374" t="s">
        <v>75</v>
      </c>
      <c r="I374">
        <v>1175</v>
      </c>
      <c r="J374">
        <v>942</v>
      </c>
      <c r="K374">
        <v>26</v>
      </c>
      <c r="L374">
        <f t="shared" si="27"/>
        <v>916</v>
      </c>
      <c r="M374">
        <v>54.9</v>
      </c>
      <c r="N374">
        <v>6.6</v>
      </c>
      <c r="O374" s="8">
        <v>93.21</v>
      </c>
      <c r="P374" s="10">
        <f t="shared" si="25"/>
        <v>87803.819999999992</v>
      </c>
      <c r="Q374" s="8">
        <f t="shared" si="28"/>
        <v>2423.46</v>
      </c>
      <c r="R374" t="s">
        <v>21</v>
      </c>
      <c r="S374">
        <f t="shared" si="29"/>
        <v>942</v>
      </c>
    </row>
    <row r="375" spans="1:19" x14ac:dyDescent="0.3">
      <c r="A375" t="s">
        <v>881</v>
      </c>
      <c r="B375" s="13">
        <v>45842</v>
      </c>
      <c r="C375" s="25">
        <f t="shared" si="26"/>
        <v>45839</v>
      </c>
      <c r="D375" t="s">
        <v>16</v>
      </c>
      <c r="E375" t="s">
        <v>17</v>
      </c>
      <c r="F375" t="s">
        <v>49</v>
      </c>
      <c r="G375" t="s">
        <v>40</v>
      </c>
      <c r="H375" t="s">
        <v>69</v>
      </c>
      <c r="I375">
        <v>1369</v>
      </c>
      <c r="J375">
        <v>1368</v>
      </c>
      <c r="K375">
        <v>35</v>
      </c>
      <c r="L375">
        <f t="shared" si="27"/>
        <v>1333</v>
      </c>
      <c r="M375">
        <v>9.5</v>
      </c>
      <c r="N375">
        <v>6.2</v>
      </c>
      <c r="O375" s="8">
        <v>93.35</v>
      </c>
      <c r="P375" s="10">
        <f t="shared" si="25"/>
        <v>127702.79999999999</v>
      </c>
      <c r="Q375" s="8">
        <f t="shared" si="28"/>
        <v>3267.25</v>
      </c>
      <c r="R375" t="s">
        <v>21</v>
      </c>
      <c r="S375">
        <f t="shared" si="29"/>
        <v>1368</v>
      </c>
    </row>
    <row r="376" spans="1:19" x14ac:dyDescent="0.3">
      <c r="A376" t="s">
        <v>187</v>
      </c>
      <c r="B376" s="13">
        <v>45778</v>
      </c>
      <c r="C376" s="25">
        <f t="shared" si="26"/>
        <v>45778</v>
      </c>
      <c r="D376" t="s">
        <v>16</v>
      </c>
      <c r="E376" t="s">
        <v>17</v>
      </c>
      <c r="F376" t="s">
        <v>33</v>
      </c>
      <c r="G376" t="s">
        <v>27</v>
      </c>
      <c r="H376" t="s">
        <v>44</v>
      </c>
      <c r="I376">
        <v>1473</v>
      </c>
      <c r="J376">
        <v>1225</v>
      </c>
      <c r="K376">
        <v>16</v>
      </c>
      <c r="L376">
        <f t="shared" si="27"/>
        <v>1209</v>
      </c>
      <c r="M376">
        <v>101</v>
      </c>
      <c r="N376">
        <v>8.1999999999999993</v>
      </c>
      <c r="O376" s="8">
        <v>93.42</v>
      </c>
      <c r="P376" s="10">
        <f t="shared" si="25"/>
        <v>114439.5</v>
      </c>
      <c r="Q376" s="8">
        <f t="shared" si="28"/>
        <v>1494.72</v>
      </c>
      <c r="R376" t="s">
        <v>29</v>
      </c>
      <c r="S376">
        <f t="shared" si="29"/>
        <v>1225</v>
      </c>
    </row>
    <row r="377" spans="1:19" x14ac:dyDescent="0.3">
      <c r="A377" t="s">
        <v>548</v>
      </c>
      <c r="B377" s="13">
        <v>45709</v>
      </c>
      <c r="C377" s="25">
        <f t="shared" si="26"/>
        <v>45689</v>
      </c>
      <c r="D377" t="s">
        <v>16</v>
      </c>
      <c r="E377" t="s">
        <v>36</v>
      </c>
      <c r="F377" t="s">
        <v>26</v>
      </c>
      <c r="G377" t="s">
        <v>27</v>
      </c>
      <c r="H377" t="s">
        <v>28</v>
      </c>
      <c r="I377">
        <v>1502</v>
      </c>
      <c r="J377">
        <v>1084</v>
      </c>
      <c r="K377">
        <v>21</v>
      </c>
      <c r="L377">
        <f t="shared" si="27"/>
        <v>1063</v>
      </c>
      <c r="M377" t="str">
        <f xml:space="preserve"> ""</f>
        <v/>
      </c>
      <c r="N377">
        <v>7.1</v>
      </c>
      <c r="O377" s="8">
        <v>93.97</v>
      </c>
      <c r="P377" s="10">
        <f t="shared" si="25"/>
        <v>101863.48</v>
      </c>
      <c r="Q377" s="8">
        <f t="shared" si="28"/>
        <v>1973.37</v>
      </c>
      <c r="R377" t="s">
        <v>29</v>
      </c>
      <c r="S377">
        <f t="shared" si="29"/>
        <v>1084</v>
      </c>
    </row>
    <row r="378" spans="1:19" x14ac:dyDescent="0.3">
      <c r="A378" t="s">
        <v>127</v>
      </c>
      <c r="B378" s="13">
        <v>45682</v>
      </c>
      <c r="C378" s="25">
        <f t="shared" si="26"/>
        <v>45658</v>
      </c>
      <c r="D378" t="s">
        <v>16</v>
      </c>
      <c r="E378" t="s">
        <v>25</v>
      </c>
      <c r="F378" t="s">
        <v>43</v>
      </c>
      <c r="G378" t="s">
        <v>19</v>
      </c>
      <c r="H378" t="s">
        <v>75</v>
      </c>
      <c r="I378">
        <v>709</v>
      </c>
      <c r="J378">
        <v>733</v>
      </c>
      <c r="K378">
        <v>12</v>
      </c>
      <c r="L378">
        <f t="shared" si="27"/>
        <v>721</v>
      </c>
      <c r="M378">
        <v>28.2</v>
      </c>
      <c r="N378">
        <v>6.8</v>
      </c>
      <c r="O378" s="8">
        <v>94.01</v>
      </c>
      <c r="P378" s="10">
        <f t="shared" si="25"/>
        <v>68909.33</v>
      </c>
      <c r="Q378" s="8">
        <f t="shared" si="28"/>
        <v>1128.1200000000001</v>
      </c>
      <c r="R378" t="s">
        <v>29</v>
      </c>
      <c r="S378">
        <f t="shared" si="29"/>
        <v>733</v>
      </c>
    </row>
    <row r="379" spans="1:19" x14ac:dyDescent="0.3">
      <c r="A379" t="s">
        <v>50</v>
      </c>
      <c r="B379" s="13">
        <v>45731</v>
      </c>
      <c r="C379" s="25">
        <f t="shared" si="26"/>
        <v>45717</v>
      </c>
      <c r="D379" t="s">
        <v>32</v>
      </c>
      <c r="E379" t="s">
        <v>36</v>
      </c>
      <c r="F379" t="s">
        <v>49</v>
      </c>
      <c r="G379" t="s">
        <v>40</v>
      </c>
      <c r="H379" t="s">
        <v>37</v>
      </c>
      <c r="I379">
        <v>708</v>
      </c>
      <c r="J379">
        <v>517</v>
      </c>
      <c r="K379">
        <v>14</v>
      </c>
      <c r="L379">
        <f t="shared" si="27"/>
        <v>503</v>
      </c>
      <c r="M379">
        <v>41.1</v>
      </c>
      <c r="N379">
        <v>7.2</v>
      </c>
      <c r="O379" s="8">
        <v>94.15</v>
      </c>
      <c r="P379" s="10">
        <f t="shared" si="25"/>
        <v>48675.55</v>
      </c>
      <c r="Q379" s="8">
        <f t="shared" si="28"/>
        <v>1318.1000000000001</v>
      </c>
      <c r="R379" t="s">
        <v>21</v>
      </c>
      <c r="S379">
        <f t="shared" si="29"/>
        <v>517</v>
      </c>
    </row>
    <row r="380" spans="1:19" x14ac:dyDescent="0.3">
      <c r="A380" t="s">
        <v>489</v>
      </c>
      <c r="B380" s="13">
        <v>46019</v>
      </c>
      <c r="C380" s="25">
        <f t="shared" si="26"/>
        <v>45992</v>
      </c>
      <c r="D380" t="s">
        <v>32</v>
      </c>
      <c r="E380" t="s">
        <v>25</v>
      </c>
      <c r="F380" t="s">
        <v>43</v>
      </c>
      <c r="G380" t="s">
        <v>40</v>
      </c>
      <c r="H380" t="s">
        <v>69</v>
      </c>
      <c r="I380">
        <v>1532</v>
      </c>
      <c r="J380">
        <v>1347</v>
      </c>
      <c r="K380">
        <v>44</v>
      </c>
      <c r="L380">
        <f t="shared" si="27"/>
        <v>1303</v>
      </c>
      <c r="M380">
        <v>7.9</v>
      </c>
      <c r="N380">
        <v>6.1</v>
      </c>
      <c r="O380" s="8">
        <v>94.37</v>
      </c>
      <c r="P380" s="10">
        <f t="shared" si="25"/>
        <v>127116.39</v>
      </c>
      <c r="Q380" s="8">
        <f t="shared" si="28"/>
        <v>4152.2800000000007</v>
      </c>
      <c r="R380" t="s">
        <v>21</v>
      </c>
      <c r="S380">
        <f t="shared" si="29"/>
        <v>1347</v>
      </c>
    </row>
    <row r="381" spans="1:19" x14ac:dyDescent="0.3">
      <c r="A381" t="s">
        <v>209</v>
      </c>
      <c r="B381" s="13">
        <v>45938</v>
      </c>
      <c r="C381" s="25">
        <f t="shared" si="26"/>
        <v>45931</v>
      </c>
      <c r="D381" t="s">
        <v>16</v>
      </c>
      <c r="E381" t="s">
        <v>36</v>
      </c>
      <c r="F381" t="s">
        <v>18</v>
      </c>
      <c r="G381" t="s">
        <v>40</v>
      </c>
      <c r="H381" t="s">
        <v>72</v>
      </c>
      <c r="I381">
        <v>1725</v>
      </c>
      <c r="J381">
        <v>1678</v>
      </c>
      <c r="K381">
        <v>36</v>
      </c>
      <c r="L381">
        <f t="shared" si="27"/>
        <v>1642</v>
      </c>
      <c r="M381">
        <v>43</v>
      </c>
      <c r="N381">
        <v>7</v>
      </c>
      <c r="O381" s="8">
        <v>94.43</v>
      </c>
      <c r="P381" s="10">
        <f t="shared" si="25"/>
        <v>158453.54</v>
      </c>
      <c r="Q381" s="8">
        <f t="shared" si="28"/>
        <v>3399.4800000000005</v>
      </c>
      <c r="R381" t="s">
        <v>21</v>
      </c>
      <c r="S381">
        <f t="shared" si="29"/>
        <v>1678</v>
      </c>
    </row>
    <row r="382" spans="1:19" x14ac:dyDescent="0.3">
      <c r="A382" t="s">
        <v>181</v>
      </c>
      <c r="B382" s="13">
        <v>45705</v>
      </c>
      <c r="C382" s="25">
        <f t="shared" si="26"/>
        <v>45689</v>
      </c>
      <c r="D382" t="s">
        <v>16</v>
      </c>
      <c r="E382" t="s">
        <v>25</v>
      </c>
      <c r="F382" t="s">
        <v>49</v>
      </c>
      <c r="G382" t="s">
        <v>40</v>
      </c>
      <c r="H382" t="s">
        <v>44</v>
      </c>
      <c r="I382">
        <v>1326</v>
      </c>
      <c r="J382">
        <v>1223</v>
      </c>
      <c r="K382">
        <v>39</v>
      </c>
      <c r="L382">
        <f t="shared" si="27"/>
        <v>1184</v>
      </c>
      <c r="M382">
        <v>13.8</v>
      </c>
      <c r="N382">
        <v>7.1</v>
      </c>
      <c r="O382" s="8">
        <v>94.63</v>
      </c>
      <c r="P382" s="10">
        <f t="shared" si="25"/>
        <v>115732.48999999999</v>
      </c>
      <c r="Q382" s="8">
        <f t="shared" si="28"/>
        <v>3690.5699999999997</v>
      </c>
      <c r="R382" t="s">
        <v>21</v>
      </c>
      <c r="S382">
        <f t="shared" si="29"/>
        <v>1223</v>
      </c>
    </row>
    <row r="383" spans="1:19" x14ac:dyDescent="0.3">
      <c r="A383" t="s">
        <v>76</v>
      </c>
      <c r="B383" s="13">
        <v>45964</v>
      </c>
      <c r="C383" s="25">
        <f t="shared" si="26"/>
        <v>45962</v>
      </c>
      <c r="D383" t="s">
        <v>16</v>
      </c>
      <c r="E383" t="s">
        <v>59</v>
      </c>
      <c r="F383" t="s">
        <v>49</v>
      </c>
      <c r="G383" t="s">
        <v>27</v>
      </c>
      <c r="H383" t="s">
        <v>72</v>
      </c>
      <c r="I383">
        <v>1589</v>
      </c>
      <c r="J383">
        <v>1462</v>
      </c>
      <c r="K383">
        <v>4</v>
      </c>
      <c r="L383">
        <f t="shared" si="27"/>
        <v>1458</v>
      </c>
      <c r="M383">
        <v>48.2</v>
      </c>
      <c r="N383">
        <v>6.1</v>
      </c>
      <c r="O383" s="8">
        <v>94.95</v>
      </c>
      <c r="P383" s="10">
        <f t="shared" si="25"/>
        <v>138816.9</v>
      </c>
      <c r="Q383" s="8">
        <f t="shared" si="28"/>
        <v>379.8</v>
      </c>
      <c r="R383" t="s">
        <v>29</v>
      </c>
      <c r="S383">
        <f t="shared" si="29"/>
        <v>1462</v>
      </c>
    </row>
    <row r="384" spans="1:19" x14ac:dyDescent="0.3">
      <c r="A384" t="s">
        <v>413</v>
      </c>
      <c r="B384" s="13">
        <v>45686</v>
      </c>
      <c r="C384" s="25">
        <f t="shared" si="26"/>
        <v>45658</v>
      </c>
      <c r="D384" t="s">
        <v>32</v>
      </c>
      <c r="E384" t="s">
        <v>17</v>
      </c>
      <c r="F384" t="s">
        <v>49</v>
      </c>
      <c r="G384" t="s">
        <v>40</v>
      </c>
      <c r="H384" t="s">
        <v>44</v>
      </c>
      <c r="I384">
        <v>1361</v>
      </c>
      <c r="J384">
        <v>1089</v>
      </c>
      <c r="K384">
        <v>30</v>
      </c>
      <c r="L384">
        <f t="shared" si="27"/>
        <v>1059</v>
      </c>
      <c r="M384">
        <v>36</v>
      </c>
      <c r="N384">
        <v>6.8</v>
      </c>
      <c r="O384" s="8">
        <v>95.01</v>
      </c>
      <c r="P384" s="10">
        <f t="shared" si="25"/>
        <v>103465.89</v>
      </c>
      <c r="Q384" s="8">
        <f t="shared" si="28"/>
        <v>2850.3</v>
      </c>
      <c r="R384" t="s">
        <v>21</v>
      </c>
      <c r="S384">
        <f t="shared" si="29"/>
        <v>1089</v>
      </c>
    </row>
    <row r="385" spans="1:19" x14ac:dyDescent="0.3">
      <c r="A385" t="s">
        <v>457</v>
      </c>
      <c r="B385" s="13">
        <v>45887</v>
      </c>
      <c r="C385" s="25">
        <f t="shared" si="26"/>
        <v>45870</v>
      </c>
      <c r="D385" t="s">
        <v>32</v>
      </c>
      <c r="E385" t="s">
        <v>25</v>
      </c>
      <c r="F385" t="s">
        <v>49</v>
      </c>
      <c r="G385" t="s">
        <v>19</v>
      </c>
      <c r="H385" t="s">
        <v>20</v>
      </c>
      <c r="I385">
        <v>1456</v>
      </c>
      <c r="J385">
        <v>1466</v>
      </c>
      <c r="K385">
        <v>44</v>
      </c>
      <c r="L385">
        <f t="shared" si="27"/>
        <v>1422</v>
      </c>
      <c r="M385">
        <v>17.100000000000001</v>
      </c>
      <c r="N385">
        <v>6.4</v>
      </c>
      <c r="O385" s="8">
        <v>95.03</v>
      </c>
      <c r="P385" s="10">
        <f t="shared" si="25"/>
        <v>139313.98000000001</v>
      </c>
      <c r="Q385" s="8">
        <f t="shared" si="28"/>
        <v>4181.32</v>
      </c>
      <c r="R385" t="s">
        <v>21</v>
      </c>
      <c r="S385">
        <f t="shared" si="29"/>
        <v>1466</v>
      </c>
    </row>
    <row r="386" spans="1:19" x14ac:dyDescent="0.3">
      <c r="A386" t="s">
        <v>709</v>
      </c>
      <c r="B386" s="13">
        <v>45937</v>
      </c>
      <c r="C386" s="25">
        <f t="shared" si="26"/>
        <v>45931</v>
      </c>
      <c r="D386" t="s">
        <v>32</v>
      </c>
      <c r="E386" t="s">
        <v>62</v>
      </c>
      <c r="F386" t="s">
        <v>18</v>
      </c>
      <c r="G386" t="s">
        <v>27</v>
      </c>
      <c r="H386" t="s">
        <v>69</v>
      </c>
      <c r="I386">
        <v>1284</v>
      </c>
      <c r="J386">
        <v>1320</v>
      </c>
      <c r="K386">
        <v>42</v>
      </c>
      <c r="L386">
        <f t="shared" si="27"/>
        <v>1278</v>
      </c>
      <c r="M386">
        <v>118.1</v>
      </c>
      <c r="N386">
        <v>6.8</v>
      </c>
      <c r="O386" s="8">
        <v>95.59</v>
      </c>
      <c r="P386" s="10">
        <f t="shared" ref="P386:P449" si="30">J386*O386</f>
        <v>126178.8</v>
      </c>
      <c r="Q386" s="8">
        <f t="shared" si="28"/>
        <v>4014.78</v>
      </c>
      <c r="R386" t="s">
        <v>21</v>
      </c>
      <c r="S386">
        <f t="shared" si="29"/>
        <v>1320</v>
      </c>
    </row>
    <row r="387" spans="1:19" x14ac:dyDescent="0.3">
      <c r="A387" t="s">
        <v>349</v>
      </c>
      <c r="B387" s="13">
        <v>45939</v>
      </c>
      <c r="C387" s="25">
        <f t="shared" ref="C387:C450" si="31">DATE(YEAR(B387), MONTH(B387), 1 )</f>
        <v>45931</v>
      </c>
      <c r="D387" t="s">
        <v>32</v>
      </c>
      <c r="E387" t="s">
        <v>36</v>
      </c>
      <c r="F387" t="s">
        <v>43</v>
      </c>
      <c r="G387" t="s">
        <v>40</v>
      </c>
      <c r="H387" t="s">
        <v>82</v>
      </c>
      <c r="I387">
        <v>914</v>
      </c>
      <c r="J387">
        <v>991</v>
      </c>
      <c r="K387">
        <v>17</v>
      </c>
      <c r="L387">
        <f t="shared" ref="L387:L450" si="32">J387 -K387</f>
        <v>974</v>
      </c>
      <c r="M387">
        <v>11.1</v>
      </c>
      <c r="N387">
        <v>8.3000000000000007</v>
      </c>
      <c r="O387" s="8">
        <v>95.75</v>
      </c>
      <c r="P387" s="10">
        <f t="shared" si="30"/>
        <v>94888.25</v>
      </c>
      <c r="Q387" s="8">
        <f t="shared" ref="Q387:Q450" si="33">K387*O387</f>
        <v>1627.75</v>
      </c>
      <c r="R387" t="s">
        <v>29</v>
      </c>
      <c r="S387">
        <f t="shared" ref="S387:S450" si="34">L387  + K387</f>
        <v>991</v>
      </c>
    </row>
    <row r="388" spans="1:19" x14ac:dyDescent="0.3">
      <c r="A388" t="s">
        <v>376</v>
      </c>
      <c r="B388" s="13">
        <v>45879</v>
      </c>
      <c r="C388" s="25">
        <f t="shared" si="31"/>
        <v>45870</v>
      </c>
      <c r="D388" t="s">
        <v>16</v>
      </c>
      <c r="E388" t="s">
        <v>17</v>
      </c>
      <c r="F388" t="s">
        <v>18</v>
      </c>
      <c r="G388" t="s">
        <v>27</v>
      </c>
      <c r="H388" t="s">
        <v>44</v>
      </c>
      <c r="I388">
        <v>1293</v>
      </c>
      <c r="J388">
        <v>1148</v>
      </c>
      <c r="K388">
        <v>35</v>
      </c>
      <c r="L388">
        <f t="shared" si="32"/>
        <v>1113</v>
      </c>
      <c r="M388">
        <v>81.400000000000006</v>
      </c>
      <c r="N388">
        <v>8.5</v>
      </c>
      <c r="O388" s="8">
        <v>95.92</v>
      </c>
      <c r="P388" s="10">
        <f t="shared" si="30"/>
        <v>110116.16</v>
      </c>
      <c r="Q388" s="8">
        <f t="shared" si="33"/>
        <v>3357.2000000000003</v>
      </c>
      <c r="R388" t="s">
        <v>21</v>
      </c>
      <c r="S388">
        <f t="shared" si="34"/>
        <v>1148</v>
      </c>
    </row>
    <row r="389" spans="1:19" x14ac:dyDescent="0.3">
      <c r="A389" t="s">
        <v>610</v>
      </c>
      <c r="B389" s="13">
        <v>45852</v>
      </c>
      <c r="C389" s="25">
        <f t="shared" si="31"/>
        <v>45839</v>
      </c>
      <c r="D389" t="s">
        <v>16</v>
      </c>
      <c r="E389" t="s">
        <v>17</v>
      </c>
      <c r="F389" t="s">
        <v>18</v>
      </c>
      <c r="G389" t="s">
        <v>19</v>
      </c>
      <c r="H389" t="s">
        <v>44</v>
      </c>
      <c r="I389">
        <v>1180</v>
      </c>
      <c r="J389">
        <v>1094</v>
      </c>
      <c r="K389">
        <v>4</v>
      </c>
      <c r="L389">
        <f t="shared" si="32"/>
        <v>1090</v>
      </c>
      <c r="M389">
        <v>58.1</v>
      </c>
      <c r="N389">
        <v>6.4</v>
      </c>
      <c r="O389" s="8">
        <v>96</v>
      </c>
      <c r="P389" s="10">
        <f t="shared" si="30"/>
        <v>105024</v>
      </c>
      <c r="Q389" s="8">
        <f t="shared" si="33"/>
        <v>384</v>
      </c>
      <c r="R389" t="s">
        <v>29</v>
      </c>
      <c r="S389">
        <f t="shared" si="34"/>
        <v>1094</v>
      </c>
    </row>
    <row r="390" spans="1:19" x14ac:dyDescent="0.3">
      <c r="A390" t="s">
        <v>483</v>
      </c>
      <c r="B390" s="13">
        <v>45720</v>
      </c>
      <c r="C390" s="25">
        <f t="shared" si="31"/>
        <v>45717</v>
      </c>
      <c r="D390" t="s">
        <v>24</v>
      </c>
      <c r="E390" t="s">
        <v>36</v>
      </c>
      <c r="F390" t="s">
        <v>49</v>
      </c>
      <c r="G390" t="s">
        <v>19</v>
      </c>
      <c r="H390" t="s">
        <v>69</v>
      </c>
      <c r="I390">
        <v>1238</v>
      </c>
      <c r="J390">
        <v>1135</v>
      </c>
      <c r="K390">
        <v>13</v>
      </c>
      <c r="L390">
        <f t="shared" si="32"/>
        <v>1122</v>
      </c>
      <c r="M390">
        <v>58.5</v>
      </c>
      <c r="N390">
        <v>6.1</v>
      </c>
      <c r="O390" s="8">
        <v>96.03</v>
      </c>
      <c r="P390" s="10">
        <f t="shared" si="30"/>
        <v>108994.05</v>
      </c>
      <c r="Q390" s="8">
        <f t="shared" si="33"/>
        <v>1248.3900000000001</v>
      </c>
      <c r="R390" t="s">
        <v>29</v>
      </c>
      <c r="S390">
        <f t="shared" si="34"/>
        <v>1135</v>
      </c>
    </row>
    <row r="391" spans="1:19" x14ac:dyDescent="0.3">
      <c r="A391" t="s">
        <v>826</v>
      </c>
      <c r="B391" s="13">
        <v>46008</v>
      </c>
      <c r="C391" s="25">
        <f t="shared" si="31"/>
        <v>45992</v>
      </c>
      <c r="D391" t="s">
        <v>32</v>
      </c>
      <c r="E391" t="s">
        <v>25</v>
      </c>
      <c r="F391" t="s">
        <v>43</v>
      </c>
      <c r="G391" t="s">
        <v>27</v>
      </c>
      <c r="H391" t="s">
        <v>20</v>
      </c>
      <c r="I391">
        <v>1790</v>
      </c>
      <c r="J391">
        <v>1400</v>
      </c>
      <c r="K391">
        <v>19</v>
      </c>
      <c r="L391">
        <f t="shared" si="32"/>
        <v>1381</v>
      </c>
      <c r="M391">
        <v>85.6</v>
      </c>
      <c r="N391">
        <v>8.4</v>
      </c>
      <c r="O391" s="8">
        <v>96.12</v>
      </c>
      <c r="P391" s="10">
        <f t="shared" si="30"/>
        <v>134568</v>
      </c>
      <c r="Q391" s="8">
        <f t="shared" si="33"/>
        <v>1826.2800000000002</v>
      </c>
      <c r="R391" t="s">
        <v>29</v>
      </c>
      <c r="S391">
        <f t="shared" si="34"/>
        <v>1400</v>
      </c>
    </row>
    <row r="392" spans="1:19" x14ac:dyDescent="0.3">
      <c r="A392" t="s">
        <v>220</v>
      </c>
      <c r="B392" s="13">
        <v>45985</v>
      </c>
      <c r="C392" s="25">
        <f t="shared" si="31"/>
        <v>45962</v>
      </c>
      <c r="D392" t="s">
        <v>32</v>
      </c>
      <c r="E392" t="s">
        <v>62</v>
      </c>
      <c r="F392" t="s">
        <v>33</v>
      </c>
      <c r="G392" t="s">
        <v>40</v>
      </c>
      <c r="H392" t="s">
        <v>75</v>
      </c>
      <c r="I392">
        <v>1348</v>
      </c>
      <c r="J392">
        <v>1333</v>
      </c>
      <c r="K392">
        <v>8</v>
      </c>
      <c r="L392">
        <f t="shared" si="32"/>
        <v>1325</v>
      </c>
      <c r="M392">
        <v>78.099999999999994</v>
      </c>
      <c r="N392">
        <v>8.1</v>
      </c>
      <c r="O392" s="8">
        <v>96.33</v>
      </c>
      <c r="P392" s="10">
        <f t="shared" si="30"/>
        <v>128407.89</v>
      </c>
      <c r="Q392" s="8">
        <f t="shared" si="33"/>
        <v>770.64</v>
      </c>
      <c r="R392" t="s">
        <v>29</v>
      </c>
      <c r="S392">
        <f t="shared" si="34"/>
        <v>1333</v>
      </c>
    </row>
    <row r="393" spans="1:19" x14ac:dyDescent="0.3">
      <c r="A393" t="s">
        <v>905</v>
      </c>
      <c r="B393" s="13">
        <v>45794</v>
      </c>
      <c r="C393" s="25">
        <f t="shared" si="31"/>
        <v>45778</v>
      </c>
      <c r="D393" t="s">
        <v>24</v>
      </c>
      <c r="E393" t="s">
        <v>36</v>
      </c>
      <c r="F393" t="s">
        <v>43</v>
      </c>
      <c r="G393" t="s">
        <v>19</v>
      </c>
      <c r="H393" t="s">
        <v>82</v>
      </c>
      <c r="I393">
        <v>1147</v>
      </c>
      <c r="J393">
        <v>1238</v>
      </c>
      <c r="K393">
        <v>40</v>
      </c>
      <c r="L393">
        <f t="shared" si="32"/>
        <v>1198</v>
      </c>
      <c r="M393">
        <v>13.6</v>
      </c>
      <c r="N393">
        <v>7.3</v>
      </c>
      <c r="O393" s="8">
        <v>96.36</v>
      </c>
      <c r="P393" s="10">
        <f t="shared" si="30"/>
        <v>119293.68</v>
      </c>
      <c r="Q393" s="8">
        <f t="shared" si="33"/>
        <v>3854.4</v>
      </c>
      <c r="R393" t="s">
        <v>21</v>
      </c>
      <c r="S393">
        <f t="shared" si="34"/>
        <v>1238</v>
      </c>
    </row>
    <row r="394" spans="1:19" x14ac:dyDescent="0.3">
      <c r="A394" t="s">
        <v>404</v>
      </c>
      <c r="B394" s="13">
        <v>45942</v>
      </c>
      <c r="C394" s="25">
        <f t="shared" si="31"/>
        <v>45931</v>
      </c>
      <c r="D394" t="s">
        <v>32</v>
      </c>
      <c r="E394" t="s">
        <v>59</v>
      </c>
      <c r="F394" t="s">
        <v>26</v>
      </c>
      <c r="G394" t="s">
        <v>19</v>
      </c>
      <c r="H394" t="s">
        <v>69</v>
      </c>
      <c r="I394">
        <v>738</v>
      </c>
      <c r="J394">
        <v>535</v>
      </c>
      <c r="K394">
        <v>16</v>
      </c>
      <c r="L394">
        <f t="shared" si="32"/>
        <v>519</v>
      </c>
      <c r="M394">
        <v>95.9</v>
      </c>
      <c r="N394">
        <v>6.8</v>
      </c>
      <c r="O394" s="8">
        <v>96.6</v>
      </c>
      <c r="P394" s="10">
        <f t="shared" si="30"/>
        <v>51681</v>
      </c>
      <c r="Q394" s="8">
        <f t="shared" si="33"/>
        <v>1545.6</v>
      </c>
      <c r="R394" t="s">
        <v>21</v>
      </c>
      <c r="S394">
        <f t="shared" si="34"/>
        <v>535</v>
      </c>
    </row>
    <row r="395" spans="1:19" x14ac:dyDescent="0.3">
      <c r="A395" t="s">
        <v>268</v>
      </c>
      <c r="B395" s="13">
        <v>45829</v>
      </c>
      <c r="C395" s="25">
        <f t="shared" si="31"/>
        <v>45809</v>
      </c>
      <c r="D395" t="s">
        <v>24</v>
      </c>
      <c r="E395" t="s">
        <v>36</v>
      </c>
      <c r="F395" t="s">
        <v>43</v>
      </c>
      <c r="G395" t="s">
        <v>27</v>
      </c>
      <c r="H395" t="s">
        <v>37</v>
      </c>
      <c r="I395">
        <v>708</v>
      </c>
      <c r="J395">
        <v>663</v>
      </c>
      <c r="K395">
        <v>5</v>
      </c>
      <c r="L395">
        <f t="shared" si="32"/>
        <v>658</v>
      </c>
      <c r="M395">
        <v>5.7</v>
      </c>
      <c r="N395">
        <v>7.1</v>
      </c>
      <c r="O395" s="8">
        <v>96.7</v>
      </c>
      <c r="P395" s="10">
        <f t="shared" si="30"/>
        <v>64112.1</v>
      </c>
      <c r="Q395" s="8">
        <f t="shared" si="33"/>
        <v>483.5</v>
      </c>
      <c r="R395" t="s">
        <v>29</v>
      </c>
      <c r="S395">
        <f t="shared" si="34"/>
        <v>663</v>
      </c>
    </row>
    <row r="396" spans="1:19" x14ac:dyDescent="0.3">
      <c r="A396" t="s">
        <v>774</v>
      </c>
      <c r="B396" s="13">
        <v>45828</v>
      </c>
      <c r="C396" s="25">
        <f t="shared" si="31"/>
        <v>45809</v>
      </c>
      <c r="D396" t="s">
        <v>24</v>
      </c>
      <c r="E396" t="s">
        <v>17</v>
      </c>
      <c r="F396" t="s">
        <v>49</v>
      </c>
      <c r="G396" t="s">
        <v>27</v>
      </c>
      <c r="H396" t="s">
        <v>20</v>
      </c>
      <c r="I396">
        <v>1666</v>
      </c>
      <c r="J396">
        <v>1608</v>
      </c>
      <c r="K396">
        <v>20</v>
      </c>
      <c r="L396">
        <f t="shared" si="32"/>
        <v>1588</v>
      </c>
      <c r="M396">
        <v>25.3</v>
      </c>
      <c r="N396">
        <v>6.6</v>
      </c>
      <c r="O396" s="8">
        <v>96.74</v>
      </c>
      <c r="P396" s="10">
        <f t="shared" si="30"/>
        <v>155557.91999999998</v>
      </c>
      <c r="Q396" s="8">
        <f t="shared" si="33"/>
        <v>1934.8</v>
      </c>
      <c r="R396" t="s">
        <v>29</v>
      </c>
      <c r="S396">
        <f t="shared" si="34"/>
        <v>1608</v>
      </c>
    </row>
    <row r="397" spans="1:19" x14ac:dyDescent="0.3">
      <c r="A397" t="s">
        <v>129</v>
      </c>
      <c r="B397" s="13">
        <v>46012</v>
      </c>
      <c r="C397" s="25">
        <f t="shared" si="31"/>
        <v>45992</v>
      </c>
      <c r="D397" t="s">
        <v>32</v>
      </c>
      <c r="E397" t="s">
        <v>62</v>
      </c>
      <c r="F397" t="s">
        <v>49</v>
      </c>
      <c r="G397" t="s">
        <v>40</v>
      </c>
      <c r="H397" t="s">
        <v>37</v>
      </c>
      <c r="I397">
        <v>1073</v>
      </c>
      <c r="J397">
        <v>1022</v>
      </c>
      <c r="K397">
        <v>23</v>
      </c>
      <c r="L397">
        <f t="shared" si="32"/>
        <v>999</v>
      </c>
      <c r="M397">
        <v>39.799999999999997</v>
      </c>
      <c r="N397">
        <v>8.5</v>
      </c>
      <c r="O397" s="8">
        <v>96.79</v>
      </c>
      <c r="P397" s="10">
        <f t="shared" si="30"/>
        <v>98919.38</v>
      </c>
      <c r="Q397" s="8">
        <f t="shared" si="33"/>
        <v>2226.17</v>
      </c>
      <c r="R397" t="s">
        <v>21</v>
      </c>
      <c r="S397">
        <f t="shared" si="34"/>
        <v>1022</v>
      </c>
    </row>
    <row r="398" spans="1:19" x14ac:dyDescent="0.3">
      <c r="A398" t="s">
        <v>854</v>
      </c>
      <c r="B398" s="13">
        <v>45824</v>
      </c>
      <c r="C398" s="25">
        <f t="shared" si="31"/>
        <v>45809</v>
      </c>
      <c r="D398" t="s">
        <v>16</v>
      </c>
      <c r="E398" t="s">
        <v>36</v>
      </c>
      <c r="F398" t="s">
        <v>18</v>
      </c>
      <c r="G398" t="s">
        <v>27</v>
      </c>
      <c r="H398" t="s">
        <v>82</v>
      </c>
      <c r="I398">
        <v>1104</v>
      </c>
      <c r="J398">
        <v>1007</v>
      </c>
      <c r="K398">
        <v>23</v>
      </c>
      <c r="L398">
        <f t="shared" si="32"/>
        <v>984</v>
      </c>
      <c r="M398">
        <v>5.8</v>
      </c>
      <c r="N398">
        <v>7.2</v>
      </c>
      <c r="O398" s="8">
        <v>96.86</v>
      </c>
      <c r="P398" s="10">
        <f t="shared" si="30"/>
        <v>97538.02</v>
      </c>
      <c r="Q398" s="8">
        <f t="shared" si="33"/>
        <v>2227.7800000000002</v>
      </c>
      <c r="R398" t="s">
        <v>21</v>
      </c>
      <c r="S398">
        <f t="shared" si="34"/>
        <v>1007</v>
      </c>
    </row>
    <row r="399" spans="1:19" x14ac:dyDescent="0.3">
      <c r="A399" t="s">
        <v>647</v>
      </c>
      <c r="B399" s="13">
        <v>45930</v>
      </c>
      <c r="C399" s="25">
        <f t="shared" si="31"/>
        <v>45901</v>
      </c>
      <c r="D399" t="s">
        <v>32</v>
      </c>
      <c r="E399" t="s">
        <v>17</v>
      </c>
      <c r="F399" t="s">
        <v>33</v>
      </c>
      <c r="G399" t="s">
        <v>27</v>
      </c>
      <c r="H399" t="s">
        <v>37</v>
      </c>
      <c r="I399">
        <v>878</v>
      </c>
      <c r="J399">
        <v>848</v>
      </c>
      <c r="K399">
        <v>5</v>
      </c>
      <c r="L399">
        <f t="shared" si="32"/>
        <v>843</v>
      </c>
      <c r="M399">
        <v>35.4</v>
      </c>
      <c r="N399">
        <v>6.3</v>
      </c>
      <c r="O399" s="8">
        <v>99</v>
      </c>
      <c r="P399" s="10">
        <f t="shared" si="30"/>
        <v>83952</v>
      </c>
      <c r="Q399" s="8">
        <f t="shared" si="33"/>
        <v>495</v>
      </c>
      <c r="R399" t="s">
        <v>29</v>
      </c>
      <c r="S399">
        <f t="shared" si="34"/>
        <v>848</v>
      </c>
    </row>
    <row r="400" spans="1:19" x14ac:dyDescent="0.3">
      <c r="A400" t="s">
        <v>832</v>
      </c>
      <c r="B400" s="13">
        <v>45874</v>
      </c>
      <c r="C400" s="25">
        <f t="shared" si="31"/>
        <v>45870</v>
      </c>
      <c r="D400" t="s">
        <v>24</v>
      </c>
      <c r="E400" t="s">
        <v>36</v>
      </c>
      <c r="F400" t="s">
        <v>26</v>
      </c>
      <c r="G400" t="s">
        <v>27</v>
      </c>
      <c r="H400" t="s">
        <v>20</v>
      </c>
      <c r="I400">
        <v>1183</v>
      </c>
      <c r="J400">
        <v>1280</v>
      </c>
      <c r="K400">
        <v>42</v>
      </c>
      <c r="L400">
        <f t="shared" si="32"/>
        <v>1238</v>
      </c>
      <c r="M400">
        <v>52.2</v>
      </c>
      <c r="N400">
        <v>7.2</v>
      </c>
      <c r="O400" s="8">
        <v>99.06</v>
      </c>
      <c r="P400" s="10">
        <f t="shared" si="30"/>
        <v>126796.8</v>
      </c>
      <c r="Q400" s="8">
        <f t="shared" si="33"/>
        <v>4160.5200000000004</v>
      </c>
      <c r="R400" t="s">
        <v>21</v>
      </c>
      <c r="S400">
        <f t="shared" si="34"/>
        <v>1280</v>
      </c>
    </row>
    <row r="401" spans="1:19" x14ac:dyDescent="0.3">
      <c r="A401" t="s">
        <v>420</v>
      </c>
      <c r="B401" s="13">
        <v>45824</v>
      </c>
      <c r="C401" s="25">
        <f t="shared" si="31"/>
        <v>45809</v>
      </c>
      <c r="D401" t="s">
        <v>32</v>
      </c>
      <c r="E401" t="s">
        <v>17</v>
      </c>
      <c r="F401" t="s">
        <v>18</v>
      </c>
      <c r="G401" t="s">
        <v>27</v>
      </c>
      <c r="H401" t="s">
        <v>44</v>
      </c>
      <c r="I401">
        <v>1284</v>
      </c>
      <c r="J401">
        <v>1250</v>
      </c>
      <c r="K401">
        <v>22</v>
      </c>
      <c r="L401">
        <f t="shared" si="32"/>
        <v>1228</v>
      </c>
      <c r="M401">
        <v>1.5</v>
      </c>
      <c r="N401">
        <v>7.1</v>
      </c>
      <c r="O401" s="8">
        <v>99.34</v>
      </c>
      <c r="P401" s="10">
        <f t="shared" si="30"/>
        <v>124175</v>
      </c>
      <c r="Q401" s="8">
        <f t="shared" si="33"/>
        <v>2185.48</v>
      </c>
      <c r="R401" t="s">
        <v>29</v>
      </c>
      <c r="S401">
        <f t="shared" si="34"/>
        <v>1250</v>
      </c>
    </row>
    <row r="402" spans="1:19" x14ac:dyDescent="0.3">
      <c r="A402" t="s">
        <v>394</v>
      </c>
      <c r="B402" s="13">
        <v>45913</v>
      </c>
      <c r="C402" s="25">
        <f t="shared" si="31"/>
        <v>45901</v>
      </c>
      <c r="D402" t="s">
        <v>24</v>
      </c>
      <c r="E402" t="s">
        <v>36</v>
      </c>
      <c r="F402" t="s">
        <v>49</v>
      </c>
      <c r="G402" t="s">
        <v>40</v>
      </c>
      <c r="H402" t="s">
        <v>69</v>
      </c>
      <c r="I402">
        <v>929</v>
      </c>
      <c r="J402">
        <v>979</v>
      </c>
      <c r="K402">
        <v>17</v>
      </c>
      <c r="L402">
        <f t="shared" si="32"/>
        <v>962</v>
      </c>
      <c r="M402">
        <v>12.5</v>
      </c>
      <c r="N402">
        <v>8.1999999999999993</v>
      </c>
      <c r="O402" s="8">
        <v>99.57</v>
      </c>
      <c r="P402" s="10">
        <f t="shared" si="30"/>
        <v>97479.03</v>
      </c>
      <c r="Q402" s="8">
        <f t="shared" si="33"/>
        <v>1692.6899999999998</v>
      </c>
      <c r="R402" t="s">
        <v>29</v>
      </c>
      <c r="S402">
        <f t="shared" si="34"/>
        <v>979</v>
      </c>
    </row>
    <row r="403" spans="1:19" x14ac:dyDescent="0.3">
      <c r="A403" t="s">
        <v>813</v>
      </c>
      <c r="B403" s="13">
        <v>45823</v>
      </c>
      <c r="C403" s="25">
        <f t="shared" si="31"/>
        <v>45809</v>
      </c>
      <c r="D403" t="s">
        <v>24</v>
      </c>
      <c r="E403" t="s">
        <v>36</v>
      </c>
      <c r="F403" t="s">
        <v>26</v>
      </c>
      <c r="G403" t="s">
        <v>19</v>
      </c>
      <c r="H403" t="s">
        <v>75</v>
      </c>
      <c r="I403">
        <v>1102</v>
      </c>
      <c r="J403">
        <v>968</v>
      </c>
      <c r="K403">
        <v>30</v>
      </c>
      <c r="L403">
        <f t="shared" si="32"/>
        <v>938</v>
      </c>
      <c r="M403">
        <v>37.200000000000003</v>
      </c>
      <c r="N403">
        <v>7.7</v>
      </c>
      <c r="O403" s="8">
        <v>99.63</v>
      </c>
      <c r="P403" s="10">
        <f t="shared" si="30"/>
        <v>96441.84</v>
      </c>
      <c r="Q403" s="8">
        <f t="shared" si="33"/>
        <v>2988.8999999999996</v>
      </c>
      <c r="R403" t="s">
        <v>21</v>
      </c>
      <c r="S403">
        <f t="shared" si="34"/>
        <v>968</v>
      </c>
    </row>
    <row r="404" spans="1:19" x14ac:dyDescent="0.3">
      <c r="A404" t="s">
        <v>659</v>
      </c>
      <c r="B404" s="13">
        <v>45702</v>
      </c>
      <c r="C404" s="25">
        <f t="shared" si="31"/>
        <v>45689</v>
      </c>
      <c r="D404" t="s">
        <v>24</v>
      </c>
      <c r="E404" t="s">
        <v>59</v>
      </c>
      <c r="F404" t="s">
        <v>18</v>
      </c>
      <c r="G404" t="s">
        <v>40</v>
      </c>
      <c r="H404" t="s">
        <v>75</v>
      </c>
      <c r="I404">
        <v>1752</v>
      </c>
      <c r="J404">
        <v>1988</v>
      </c>
      <c r="K404">
        <v>58</v>
      </c>
      <c r="L404">
        <f t="shared" si="32"/>
        <v>1930</v>
      </c>
      <c r="M404">
        <v>59.6</v>
      </c>
      <c r="N404">
        <v>7.7</v>
      </c>
      <c r="O404" s="8">
        <v>99.68</v>
      </c>
      <c r="P404" s="10">
        <f t="shared" si="30"/>
        <v>198163.84000000003</v>
      </c>
      <c r="Q404" s="8">
        <f t="shared" si="33"/>
        <v>5781.4400000000005</v>
      </c>
      <c r="R404" t="s">
        <v>21</v>
      </c>
      <c r="S404">
        <f t="shared" si="34"/>
        <v>1988</v>
      </c>
    </row>
    <row r="405" spans="1:19" x14ac:dyDescent="0.3">
      <c r="A405" t="s">
        <v>463</v>
      </c>
      <c r="B405" s="13">
        <v>45945</v>
      </c>
      <c r="C405" s="25">
        <f t="shared" si="31"/>
        <v>45931</v>
      </c>
      <c r="D405" t="s">
        <v>16</v>
      </c>
      <c r="E405" t="s">
        <v>17</v>
      </c>
      <c r="F405" t="s">
        <v>49</v>
      </c>
      <c r="G405" t="s">
        <v>19</v>
      </c>
      <c r="H405" t="s">
        <v>69</v>
      </c>
      <c r="I405">
        <v>1515</v>
      </c>
      <c r="J405">
        <v>1564</v>
      </c>
      <c r="K405">
        <v>5</v>
      </c>
      <c r="L405">
        <f t="shared" si="32"/>
        <v>1559</v>
      </c>
      <c r="M405">
        <v>86.9</v>
      </c>
      <c r="N405">
        <v>7.1</v>
      </c>
      <c r="O405" s="8">
        <v>99.79</v>
      </c>
      <c r="P405" s="10">
        <f t="shared" si="30"/>
        <v>156071.56</v>
      </c>
      <c r="Q405" s="8">
        <f t="shared" si="33"/>
        <v>498.95000000000005</v>
      </c>
      <c r="R405" t="s">
        <v>29</v>
      </c>
      <c r="S405">
        <f t="shared" si="34"/>
        <v>1564</v>
      </c>
    </row>
    <row r="406" spans="1:19" x14ac:dyDescent="0.3">
      <c r="A406" t="s">
        <v>789</v>
      </c>
      <c r="B406" s="13">
        <v>45779</v>
      </c>
      <c r="C406" s="25">
        <f t="shared" si="31"/>
        <v>45778</v>
      </c>
      <c r="D406" t="s">
        <v>24</v>
      </c>
      <c r="E406" t="s">
        <v>25</v>
      </c>
      <c r="F406" t="s">
        <v>43</v>
      </c>
      <c r="G406" t="s">
        <v>27</v>
      </c>
      <c r="H406" t="s">
        <v>69</v>
      </c>
      <c r="I406">
        <v>1523</v>
      </c>
      <c r="J406">
        <v>1479</v>
      </c>
      <c r="K406">
        <v>31</v>
      </c>
      <c r="L406">
        <f t="shared" si="32"/>
        <v>1448</v>
      </c>
      <c r="M406">
        <v>64.5</v>
      </c>
      <c r="N406">
        <v>6</v>
      </c>
      <c r="O406" s="8">
        <v>99.9</v>
      </c>
      <c r="P406" s="10">
        <f t="shared" si="30"/>
        <v>147752.1</v>
      </c>
      <c r="Q406" s="8">
        <f t="shared" si="33"/>
        <v>3096.9</v>
      </c>
      <c r="R406" t="s">
        <v>21</v>
      </c>
      <c r="S406">
        <f t="shared" si="34"/>
        <v>1479</v>
      </c>
    </row>
    <row r="407" spans="1:19" x14ac:dyDescent="0.3">
      <c r="A407" t="s">
        <v>295</v>
      </c>
      <c r="B407" s="13">
        <v>46016</v>
      </c>
      <c r="C407" s="25">
        <f t="shared" si="31"/>
        <v>45992</v>
      </c>
      <c r="D407" t="s">
        <v>24</v>
      </c>
      <c r="E407" t="s">
        <v>62</v>
      </c>
      <c r="F407" t="s">
        <v>49</v>
      </c>
      <c r="G407" t="s">
        <v>27</v>
      </c>
      <c r="H407" t="s">
        <v>44</v>
      </c>
      <c r="I407">
        <v>1195</v>
      </c>
      <c r="J407">
        <v>1051</v>
      </c>
      <c r="K407">
        <v>10</v>
      </c>
      <c r="L407">
        <f t="shared" si="32"/>
        <v>1041</v>
      </c>
      <c r="M407">
        <v>52.2</v>
      </c>
      <c r="N407">
        <v>8.1999999999999993</v>
      </c>
      <c r="O407" s="8">
        <v>100.08</v>
      </c>
      <c r="P407" s="10">
        <f t="shared" si="30"/>
        <v>105184.08</v>
      </c>
      <c r="Q407" s="8">
        <f t="shared" si="33"/>
        <v>1000.8</v>
      </c>
      <c r="R407" t="s">
        <v>29</v>
      </c>
      <c r="S407">
        <f t="shared" si="34"/>
        <v>1051</v>
      </c>
    </row>
    <row r="408" spans="1:19" x14ac:dyDescent="0.3">
      <c r="A408" t="s">
        <v>646</v>
      </c>
      <c r="B408" s="13">
        <v>45926</v>
      </c>
      <c r="C408" s="25">
        <f t="shared" si="31"/>
        <v>45901</v>
      </c>
      <c r="D408" t="s">
        <v>32</v>
      </c>
      <c r="E408" t="s">
        <v>25</v>
      </c>
      <c r="F408" t="s">
        <v>49</v>
      </c>
      <c r="G408" t="s">
        <v>27</v>
      </c>
      <c r="H408" t="s">
        <v>72</v>
      </c>
      <c r="I408">
        <v>1012</v>
      </c>
      <c r="J408">
        <v>960</v>
      </c>
      <c r="K408">
        <v>26</v>
      </c>
      <c r="L408">
        <f t="shared" si="32"/>
        <v>934</v>
      </c>
      <c r="M408">
        <v>30.9</v>
      </c>
      <c r="N408">
        <v>6.9</v>
      </c>
      <c r="O408" s="8">
        <v>100.37</v>
      </c>
      <c r="P408" s="10">
        <f t="shared" si="30"/>
        <v>96355.200000000012</v>
      </c>
      <c r="Q408" s="8">
        <f t="shared" si="33"/>
        <v>2609.62</v>
      </c>
      <c r="R408" t="s">
        <v>21</v>
      </c>
      <c r="S408">
        <f t="shared" si="34"/>
        <v>960</v>
      </c>
    </row>
    <row r="409" spans="1:19" x14ac:dyDescent="0.3">
      <c r="A409" t="s">
        <v>70</v>
      </c>
      <c r="B409" s="13">
        <v>45845</v>
      </c>
      <c r="C409" s="25">
        <f t="shared" si="31"/>
        <v>45839</v>
      </c>
      <c r="D409" t="s">
        <v>32</v>
      </c>
      <c r="E409" t="s">
        <v>36</v>
      </c>
      <c r="F409" t="s">
        <v>43</v>
      </c>
      <c r="G409" t="s">
        <v>19</v>
      </c>
      <c r="H409" t="s">
        <v>72</v>
      </c>
      <c r="I409">
        <v>748</v>
      </c>
      <c r="J409">
        <v>682</v>
      </c>
      <c r="K409">
        <v>23</v>
      </c>
      <c r="L409">
        <f t="shared" si="32"/>
        <v>659</v>
      </c>
      <c r="M409">
        <v>46.1</v>
      </c>
      <c r="N409">
        <v>7.7</v>
      </c>
      <c r="O409" s="8">
        <v>100.57</v>
      </c>
      <c r="P409" s="10">
        <f t="shared" si="30"/>
        <v>68588.739999999991</v>
      </c>
      <c r="Q409" s="8">
        <f t="shared" si="33"/>
        <v>2313.1099999999997</v>
      </c>
      <c r="R409" t="s">
        <v>21</v>
      </c>
      <c r="S409">
        <f t="shared" si="34"/>
        <v>682</v>
      </c>
    </row>
    <row r="410" spans="1:19" x14ac:dyDescent="0.3">
      <c r="A410" t="s">
        <v>34</v>
      </c>
      <c r="B410" s="13">
        <v>45818</v>
      </c>
      <c r="C410" s="25">
        <f t="shared" si="31"/>
        <v>45809</v>
      </c>
      <c r="D410" t="s">
        <v>16</v>
      </c>
      <c r="E410" t="s">
        <v>36</v>
      </c>
      <c r="F410" t="s">
        <v>26</v>
      </c>
      <c r="G410" t="s">
        <v>27</v>
      </c>
      <c r="H410" t="s">
        <v>37</v>
      </c>
      <c r="I410">
        <v>1104</v>
      </c>
      <c r="J410">
        <v>1124</v>
      </c>
      <c r="K410">
        <v>22</v>
      </c>
      <c r="L410">
        <f t="shared" si="32"/>
        <v>1102</v>
      </c>
      <c r="M410">
        <v>103.9</v>
      </c>
      <c r="N410">
        <v>8.1</v>
      </c>
      <c r="O410" s="8">
        <v>100.88</v>
      </c>
      <c r="P410" s="10">
        <f t="shared" si="30"/>
        <v>113389.12</v>
      </c>
      <c r="Q410" s="8">
        <f t="shared" si="33"/>
        <v>2219.3599999999997</v>
      </c>
      <c r="R410" t="s">
        <v>29</v>
      </c>
      <c r="S410">
        <f t="shared" si="34"/>
        <v>1124</v>
      </c>
    </row>
    <row r="411" spans="1:19" x14ac:dyDescent="0.3">
      <c r="A411" t="s">
        <v>608</v>
      </c>
      <c r="B411" s="13">
        <v>45723</v>
      </c>
      <c r="C411" s="25">
        <f t="shared" si="31"/>
        <v>45717</v>
      </c>
      <c r="D411" t="s">
        <v>16</v>
      </c>
      <c r="E411" t="s">
        <v>25</v>
      </c>
      <c r="F411" t="s">
        <v>26</v>
      </c>
      <c r="G411" t="s">
        <v>40</v>
      </c>
      <c r="H411" t="s">
        <v>69</v>
      </c>
      <c r="I411">
        <v>1654</v>
      </c>
      <c r="J411">
        <v>1498</v>
      </c>
      <c r="K411">
        <v>41</v>
      </c>
      <c r="L411">
        <f t="shared" si="32"/>
        <v>1457</v>
      </c>
      <c r="M411">
        <v>73.5</v>
      </c>
      <c r="N411">
        <v>8.1999999999999993</v>
      </c>
      <c r="O411" s="8">
        <v>100.88</v>
      </c>
      <c r="P411" s="10">
        <f t="shared" si="30"/>
        <v>151118.24</v>
      </c>
      <c r="Q411" s="8">
        <f t="shared" si="33"/>
        <v>4136.08</v>
      </c>
      <c r="R411" t="s">
        <v>21</v>
      </c>
      <c r="S411">
        <f t="shared" si="34"/>
        <v>1498</v>
      </c>
    </row>
    <row r="412" spans="1:19" x14ac:dyDescent="0.3">
      <c r="A412" t="s">
        <v>162</v>
      </c>
      <c r="B412" s="13">
        <v>46011</v>
      </c>
      <c r="C412" s="25">
        <f t="shared" si="31"/>
        <v>45992</v>
      </c>
      <c r="D412" t="s">
        <v>16</v>
      </c>
      <c r="E412" t="s">
        <v>17</v>
      </c>
      <c r="F412" t="s">
        <v>43</v>
      </c>
      <c r="G412" t="s">
        <v>40</v>
      </c>
      <c r="H412" t="s">
        <v>72</v>
      </c>
      <c r="I412">
        <v>1571</v>
      </c>
      <c r="J412">
        <v>1429</v>
      </c>
      <c r="K412">
        <v>29</v>
      </c>
      <c r="L412">
        <f t="shared" si="32"/>
        <v>1400</v>
      </c>
      <c r="M412">
        <v>22</v>
      </c>
      <c r="N412">
        <v>6.3</v>
      </c>
      <c r="O412" s="8">
        <v>100.92</v>
      </c>
      <c r="P412" s="10">
        <f t="shared" si="30"/>
        <v>144214.68</v>
      </c>
      <c r="Q412" s="8">
        <f t="shared" si="33"/>
        <v>2926.68</v>
      </c>
      <c r="R412" t="s">
        <v>21</v>
      </c>
      <c r="S412">
        <f t="shared" si="34"/>
        <v>1429</v>
      </c>
    </row>
    <row r="413" spans="1:19" x14ac:dyDescent="0.3">
      <c r="A413" t="s">
        <v>926</v>
      </c>
      <c r="B413" s="13">
        <v>45965</v>
      </c>
      <c r="C413" s="25">
        <f t="shared" si="31"/>
        <v>45962</v>
      </c>
      <c r="D413" t="s">
        <v>16</v>
      </c>
      <c r="E413" t="s">
        <v>25</v>
      </c>
      <c r="F413" t="s">
        <v>18</v>
      </c>
      <c r="G413" t="s">
        <v>40</v>
      </c>
      <c r="H413" t="s">
        <v>20</v>
      </c>
      <c r="I413">
        <v>721</v>
      </c>
      <c r="J413">
        <v>657</v>
      </c>
      <c r="K413">
        <v>14</v>
      </c>
      <c r="L413">
        <f t="shared" si="32"/>
        <v>643</v>
      </c>
      <c r="M413">
        <v>22.8</v>
      </c>
      <c r="N413">
        <v>8.5</v>
      </c>
      <c r="O413" s="8">
        <v>101.06</v>
      </c>
      <c r="P413" s="10">
        <f t="shared" si="30"/>
        <v>66396.42</v>
      </c>
      <c r="Q413" s="8">
        <f t="shared" si="33"/>
        <v>1414.8400000000001</v>
      </c>
      <c r="R413" t="s">
        <v>21</v>
      </c>
      <c r="S413">
        <f t="shared" si="34"/>
        <v>657</v>
      </c>
    </row>
    <row r="414" spans="1:19" x14ac:dyDescent="0.3">
      <c r="A414" t="s">
        <v>288</v>
      </c>
      <c r="B414" s="13">
        <v>45878</v>
      </c>
      <c r="C414" s="25">
        <f t="shared" si="31"/>
        <v>45870</v>
      </c>
      <c r="D414" t="s">
        <v>24</v>
      </c>
      <c r="E414" t="s">
        <v>59</v>
      </c>
      <c r="F414" t="s">
        <v>18</v>
      </c>
      <c r="G414" t="s">
        <v>19</v>
      </c>
      <c r="H414" t="s">
        <v>82</v>
      </c>
      <c r="I414">
        <v>1710</v>
      </c>
      <c r="J414">
        <v>1641</v>
      </c>
      <c r="K414">
        <v>15</v>
      </c>
      <c r="L414">
        <f t="shared" si="32"/>
        <v>1626</v>
      </c>
      <c r="M414">
        <v>89.6</v>
      </c>
      <c r="N414">
        <v>6.6</v>
      </c>
      <c r="O414" s="8">
        <v>101.32</v>
      </c>
      <c r="P414" s="10">
        <f t="shared" si="30"/>
        <v>166266.12</v>
      </c>
      <c r="Q414" s="8">
        <f t="shared" si="33"/>
        <v>1519.8</v>
      </c>
      <c r="R414" t="s">
        <v>29</v>
      </c>
      <c r="S414">
        <f t="shared" si="34"/>
        <v>1641</v>
      </c>
    </row>
    <row r="415" spans="1:19" x14ac:dyDescent="0.3">
      <c r="A415" t="s">
        <v>773</v>
      </c>
      <c r="B415" s="13">
        <v>45815</v>
      </c>
      <c r="C415" s="25">
        <f t="shared" si="31"/>
        <v>45809</v>
      </c>
      <c r="D415" t="s">
        <v>32</v>
      </c>
      <c r="E415" t="s">
        <v>17</v>
      </c>
      <c r="F415" t="s">
        <v>43</v>
      </c>
      <c r="G415" t="s">
        <v>40</v>
      </c>
      <c r="H415" t="s">
        <v>37</v>
      </c>
      <c r="I415">
        <v>754</v>
      </c>
      <c r="J415">
        <v>673</v>
      </c>
      <c r="K415">
        <v>12</v>
      </c>
      <c r="L415">
        <f t="shared" si="32"/>
        <v>661</v>
      </c>
      <c r="M415">
        <v>25.8</v>
      </c>
      <c r="N415">
        <v>6.3</v>
      </c>
      <c r="O415" s="8">
        <v>101.67</v>
      </c>
      <c r="P415" s="10">
        <f t="shared" si="30"/>
        <v>68423.91</v>
      </c>
      <c r="Q415" s="8">
        <f t="shared" si="33"/>
        <v>1220.04</v>
      </c>
      <c r="R415" t="s">
        <v>29</v>
      </c>
      <c r="S415">
        <f t="shared" si="34"/>
        <v>673</v>
      </c>
    </row>
    <row r="416" spans="1:19" x14ac:dyDescent="0.3">
      <c r="A416" t="s">
        <v>893</v>
      </c>
      <c r="B416" s="13">
        <v>45741</v>
      </c>
      <c r="C416" s="25">
        <f t="shared" si="31"/>
        <v>45717</v>
      </c>
      <c r="D416" t="s">
        <v>32</v>
      </c>
      <c r="E416" t="s">
        <v>62</v>
      </c>
      <c r="F416" t="s">
        <v>49</v>
      </c>
      <c r="G416" t="s">
        <v>19</v>
      </c>
      <c r="H416" t="s">
        <v>20</v>
      </c>
      <c r="I416">
        <v>1779</v>
      </c>
      <c r="J416">
        <v>1519</v>
      </c>
      <c r="K416">
        <v>50</v>
      </c>
      <c r="L416">
        <f t="shared" si="32"/>
        <v>1469</v>
      </c>
      <c r="M416">
        <v>56.9</v>
      </c>
      <c r="N416">
        <v>7.6</v>
      </c>
      <c r="O416" s="8">
        <v>102.19</v>
      </c>
      <c r="P416" s="10">
        <f t="shared" si="30"/>
        <v>155226.60999999999</v>
      </c>
      <c r="Q416" s="8">
        <f t="shared" si="33"/>
        <v>5109.5</v>
      </c>
      <c r="R416" t="s">
        <v>21</v>
      </c>
      <c r="S416">
        <f t="shared" si="34"/>
        <v>1519</v>
      </c>
    </row>
    <row r="417" spans="1:19" x14ac:dyDescent="0.3">
      <c r="A417" t="s">
        <v>250</v>
      </c>
      <c r="B417" s="13">
        <v>45860</v>
      </c>
      <c r="C417" s="25">
        <f t="shared" si="31"/>
        <v>45839</v>
      </c>
      <c r="D417" t="s">
        <v>32</v>
      </c>
      <c r="E417" t="s">
        <v>62</v>
      </c>
      <c r="F417" t="s">
        <v>26</v>
      </c>
      <c r="G417" t="s">
        <v>19</v>
      </c>
      <c r="H417" t="s">
        <v>82</v>
      </c>
      <c r="I417">
        <v>908</v>
      </c>
      <c r="J417">
        <v>805</v>
      </c>
      <c r="K417">
        <v>5</v>
      </c>
      <c r="L417">
        <f t="shared" si="32"/>
        <v>800</v>
      </c>
      <c r="M417">
        <v>22.4</v>
      </c>
      <c r="N417">
        <v>6.2</v>
      </c>
      <c r="O417" s="8">
        <v>102.77</v>
      </c>
      <c r="P417" s="10">
        <f t="shared" si="30"/>
        <v>82729.849999999991</v>
      </c>
      <c r="Q417" s="8">
        <f t="shared" si="33"/>
        <v>513.85</v>
      </c>
      <c r="R417" t="s">
        <v>29</v>
      </c>
      <c r="S417">
        <f t="shared" si="34"/>
        <v>805</v>
      </c>
    </row>
    <row r="418" spans="1:19" x14ac:dyDescent="0.3">
      <c r="A418" t="s">
        <v>319</v>
      </c>
      <c r="B418" s="13">
        <v>45765</v>
      </c>
      <c r="C418" s="25">
        <f t="shared" si="31"/>
        <v>45748</v>
      </c>
      <c r="D418" t="s">
        <v>32</v>
      </c>
      <c r="E418" t="s">
        <v>17</v>
      </c>
      <c r="F418" t="s">
        <v>33</v>
      </c>
      <c r="G418" t="s">
        <v>27</v>
      </c>
      <c r="H418" t="s">
        <v>69</v>
      </c>
      <c r="I418">
        <v>1116</v>
      </c>
      <c r="J418">
        <v>1065</v>
      </c>
      <c r="K418">
        <v>34</v>
      </c>
      <c r="L418">
        <f t="shared" si="32"/>
        <v>1031</v>
      </c>
      <c r="M418">
        <v>29.3</v>
      </c>
      <c r="N418">
        <v>7.5</v>
      </c>
      <c r="O418" s="8">
        <v>102.96</v>
      </c>
      <c r="P418" s="10">
        <f t="shared" si="30"/>
        <v>109652.4</v>
      </c>
      <c r="Q418" s="8">
        <f t="shared" si="33"/>
        <v>3500.64</v>
      </c>
      <c r="R418" t="s">
        <v>21</v>
      </c>
      <c r="S418">
        <f t="shared" si="34"/>
        <v>1065</v>
      </c>
    </row>
    <row r="419" spans="1:19" x14ac:dyDescent="0.3">
      <c r="A419" t="s">
        <v>830</v>
      </c>
      <c r="B419" s="13">
        <v>45682</v>
      </c>
      <c r="C419" s="25">
        <f t="shared" si="31"/>
        <v>45658</v>
      </c>
      <c r="D419" t="s">
        <v>16</v>
      </c>
      <c r="E419" t="s">
        <v>17</v>
      </c>
      <c r="F419" t="s">
        <v>43</v>
      </c>
      <c r="G419" t="s">
        <v>40</v>
      </c>
      <c r="H419" t="s">
        <v>37</v>
      </c>
      <c r="I419">
        <v>1166</v>
      </c>
      <c r="J419">
        <v>1219</v>
      </c>
      <c r="K419">
        <v>9</v>
      </c>
      <c r="L419">
        <f t="shared" si="32"/>
        <v>1210</v>
      </c>
      <c r="M419">
        <v>75.599999999999994</v>
      </c>
      <c r="N419">
        <v>6.8</v>
      </c>
      <c r="O419" s="8">
        <v>103.1</v>
      </c>
      <c r="P419" s="10">
        <f t="shared" si="30"/>
        <v>125678.9</v>
      </c>
      <c r="Q419" s="8">
        <f t="shared" si="33"/>
        <v>927.9</v>
      </c>
      <c r="R419" t="s">
        <v>29</v>
      </c>
      <c r="S419">
        <f t="shared" si="34"/>
        <v>1219</v>
      </c>
    </row>
    <row r="420" spans="1:19" x14ac:dyDescent="0.3">
      <c r="A420" t="s">
        <v>675</v>
      </c>
      <c r="B420" s="13">
        <v>45729</v>
      </c>
      <c r="C420" s="25">
        <f t="shared" si="31"/>
        <v>45717</v>
      </c>
      <c r="D420" t="s">
        <v>32</v>
      </c>
      <c r="E420" t="s">
        <v>25</v>
      </c>
      <c r="F420" t="s">
        <v>26</v>
      </c>
      <c r="G420" t="s">
        <v>40</v>
      </c>
      <c r="H420" t="s">
        <v>69</v>
      </c>
      <c r="I420">
        <v>1725</v>
      </c>
      <c r="J420">
        <v>1782</v>
      </c>
      <c r="K420">
        <v>13</v>
      </c>
      <c r="L420">
        <f t="shared" si="32"/>
        <v>1769</v>
      </c>
      <c r="M420">
        <v>17.600000000000001</v>
      </c>
      <c r="N420">
        <v>7.3</v>
      </c>
      <c r="O420" s="8">
        <v>103.54</v>
      </c>
      <c r="P420" s="10">
        <f t="shared" si="30"/>
        <v>184508.28</v>
      </c>
      <c r="Q420" s="8">
        <f t="shared" si="33"/>
        <v>1346.02</v>
      </c>
      <c r="R420" t="s">
        <v>29</v>
      </c>
      <c r="S420">
        <f t="shared" si="34"/>
        <v>1782</v>
      </c>
    </row>
    <row r="421" spans="1:19" x14ac:dyDescent="0.3">
      <c r="A421" t="s">
        <v>713</v>
      </c>
      <c r="B421" s="13">
        <v>45973</v>
      </c>
      <c r="C421" s="25">
        <f t="shared" si="31"/>
        <v>45962</v>
      </c>
      <c r="D421" t="s">
        <v>24</v>
      </c>
      <c r="E421" t="s">
        <v>17</v>
      </c>
      <c r="F421" t="s">
        <v>49</v>
      </c>
      <c r="G421" t="s">
        <v>19</v>
      </c>
      <c r="H421" t="str">
        <f>"Not Found"</f>
        <v>Not Found</v>
      </c>
      <c r="I421">
        <v>874</v>
      </c>
      <c r="J421">
        <v>903</v>
      </c>
      <c r="K421">
        <v>24</v>
      </c>
      <c r="L421">
        <f t="shared" si="32"/>
        <v>879</v>
      </c>
      <c r="M421">
        <v>7.9</v>
      </c>
      <c r="N421">
        <v>7.6</v>
      </c>
      <c r="O421" s="8">
        <v>103.85</v>
      </c>
      <c r="P421" s="10">
        <f t="shared" si="30"/>
        <v>93776.549999999988</v>
      </c>
      <c r="Q421" s="8">
        <f t="shared" si="33"/>
        <v>2492.3999999999996</v>
      </c>
      <c r="R421" t="s">
        <v>21</v>
      </c>
      <c r="S421">
        <f t="shared" si="34"/>
        <v>903</v>
      </c>
    </row>
    <row r="422" spans="1:19" x14ac:dyDescent="0.3">
      <c r="A422" t="s">
        <v>844</v>
      </c>
      <c r="B422" s="13">
        <v>45710</v>
      </c>
      <c r="C422" s="25">
        <f t="shared" si="31"/>
        <v>45689</v>
      </c>
      <c r="D422" t="s">
        <v>24</v>
      </c>
      <c r="E422" t="s">
        <v>59</v>
      </c>
      <c r="F422" t="s">
        <v>43</v>
      </c>
      <c r="G422" t="s">
        <v>40</v>
      </c>
      <c r="H422" t="s">
        <v>72</v>
      </c>
      <c r="I422">
        <v>1787</v>
      </c>
      <c r="J422">
        <v>1602</v>
      </c>
      <c r="K422">
        <v>52</v>
      </c>
      <c r="L422">
        <f t="shared" si="32"/>
        <v>1550</v>
      </c>
      <c r="M422">
        <v>49.7</v>
      </c>
      <c r="N422">
        <v>8.4</v>
      </c>
      <c r="O422" s="8">
        <v>104.45</v>
      </c>
      <c r="P422" s="10">
        <f t="shared" si="30"/>
        <v>167328.9</v>
      </c>
      <c r="Q422" s="8">
        <f t="shared" si="33"/>
        <v>5431.4000000000005</v>
      </c>
      <c r="R422" t="s">
        <v>21</v>
      </c>
      <c r="S422">
        <f t="shared" si="34"/>
        <v>1602</v>
      </c>
    </row>
    <row r="423" spans="1:19" x14ac:dyDescent="0.3">
      <c r="A423" t="s">
        <v>588</v>
      </c>
      <c r="B423" s="13">
        <v>45825</v>
      </c>
      <c r="C423" s="25">
        <f t="shared" si="31"/>
        <v>45809</v>
      </c>
      <c r="D423" t="s">
        <v>589</v>
      </c>
      <c r="E423" t="s">
        <v>59</v>
      </c>
      <c r="F423" t="s">
        <v>26</v>
      </c>
      <c r="G423" t="s">
        <v>27</v>
      </c>
      <c r="H423" t="s">
        <v>44</v>
      </c>
      <c r="I423">
        <v>1414</v>
      </c>
      <c r="J423">
        <v>1220</v>
      </c>
      <c r="K423">
        <v>23</v>
      </c>
      <c r="L423">
        <f t="shared" si="32"/>
        <v>1197</v>
      </c>
      <c r="M423">
        <v>56.3</v>
      </c>
      <c r="N423">
        <v>6.1</v>
      </c>
      <c r="O423" s="8">
        <v>104.74</v>
      </c>
      <c r="P423" s="10">
        <f t="shared" si="30"/>
        <v>127782.79999999999</v>
      </c>
      <c r="Q423" s="8">
        <f t="shared" si="33"/>
        <v>2409.02</v>
      </c>
      <c r="R423" t="s">
        <v>29</v>
      </c>
      <c r="S423">
        <f t="shared" si="34"/>
        <v>1220</v>
      </c>
    </row>
    <row r="424" spans="1:19" x14ac:dyDescent="0.3">
      <c r="A424" t="s">
        <v>677</v>
      </c>
      <c r="B424" s="13">
        <v>45771</v>
      </c>
      <c r="C424" s="25">
        <f t="shared" si="31"/>
        <v>45748</v>
      </c>
      <c r="D424" t="s">
        <v>32</v>
      </c>
      <c r="E424" t="s">
        <v>36</v>
      </c>
      <c r="F424" t="s">
        <v>26</v>
      </c>
      <c r="G424" t="s">
        <v>19</v>
      </c>
      <c r="H424" t="s">
        <v>28</v>
      </c>
      <c r="I424">
        <v>1202</v>
      </c>
      <c r="J424">
        <v>1146</v>
      </c>
      <c r="K424">
        <v>5</v>
      </c>
      <c r="L424">
        <f t="shared" si="32"/>
        <v>1141</v>
      </c>
      <c r="M424">
        <v>35.700000000000003</v>
      </c>
      <c r="N424">
        <v>7.5</v>
      </c>
      <c r="O424" s="8">
        <v>104.87</v>
      </c>
      <c r="P424" s="10">
        <f t="shared" si="30"/>
        <v>120181.02</v>
      </c>
      <c r="Q424" s="8">
        <f t="shared" si="33"/>
        <v>524.35</v>
      </c>
      <c r="R424" t="s">
        <v>29</v>
      </c>
      <c r="S424">
        <f t="shared" si="34"/>
        <v>1146</v>
      </c>
    </row>
    <row r="425" spans="1:19" x14ac:dyDescent="0.3">
      <c r="A425" t="s">
        <v>257</v>
      </c>
      <c r="B425" s="13">
        <v>45671</v>
      </c>
      <c r="C425" s="25">
        <f t="shared" si="31"/>
        <v>45658</v>
      </c>
      <c r="D425" t="s">
        <v>32</v>
      </c>
      <c r="E425" t="s">
        <v>62</v>
      </c>
      <c r="F425" t="s">
        <v>33</v>
      </c>
      <c r="G425" t="s">
        <v>19</v>
      </c>
      <c r="H425" t="s">
        <v>20</v>
      </c>
      <c r="I425">
        <v>1341</v>
      </c>
      <c r="J425">
        <v>1292</v>
      </c>
      <c r="K425">
        <v>44</v>
      </c>
      <c r="L425">
        <f t="shared" si="32"/>
        <v>1248</v>
      </c>
      <c r="M425">
        <v>32.1</v>
      </c>
      <c r="N425">
        <v>7</v>
      </c>
      <c r="O425" s="8">
        <v>105.05</v>
      </c>
      <c r="P425" s="10">
        <f t="shared" si="30"/>
        <v>135724.6</v>
      </c>
      <c r="Q425" s="8">
        <f t="shared" si="33"/>
        <v>4622.2</v>
      </c>
      <c r="R425" t="s">
        <v>21</v>
      </c>
      <c r="S425">
        <f t="shared" si="34"/>
        <v>1292</v>
      </c>
    </row>
    <row r="426" spans="1:19" x14ac:dyDescent="0.3">
      <c r="A426" t="s">
        <v>851</v>
      </c>
      <c r="B426" s="13">
        <v>45868</v>
      </c>
      <c r="C426" s="25">
        <f t="shared" si="31"/>
        <v>45839</v>
      </c>
      <c r="D426" t="s">
        <v>24</v>
      </c>
      <c r="E426" t="s">
        <v>36</v>
      </c>
      <c r="F426" t="s">
        <v>18</v>
      </c>
      <c r="G426" t="s">
        <v>40</v>
      </c>
      <c r="H426" t="s">
        <v>69</v>
      </c>
      <c r="I426">
        <v>1667</v>
      </c>
      <c r="J426">
        <v>1638</v>
      </c>
      <c r="K426">
        <v>27</v>
      </c>
      <c r="L426">
        <f t="shared" si="32"/>
        <v>1611</v>
      </c>
      <c r="M426">
        <v>52.2</v>
      </c>
      <c r="N426">
        <v>6.7</v>
      </c>
      <c r="O426" s="8">
        <v>105.1</v>
      </c>
      <c r="P426" s="10">
        <f t="shared" si="30"/>
        <v>172153.8</v>
      </c>
      <c r="Q426" s="8">
        <f t="shared" si="33"/>
        <v>2837.7</v>
      </c>
      <c r="R426" t="s">
        <v>29</v>
      </c>
      <c r="S426">
        <f t="shared" si="34"/>
        <v>1638</v>
      </c>
    </row>
    <row r="427" spans="1:19" x14ac:dyDescent="0.3">
      <c r="A427" t="s">
        <v>811</v>
      </c>
      <c r="B427" s="13">
        <v>45974</v>
      </c>
      <c r="C427" s="25">
        <f t="shared" si="31"/>
        <v>45962</v>
      </c>
      <c r="D427" t="s">
        <v>32</v>
      </c>
      <c r="E427" t="s">
        <v>59</v>
      </c>
      <c r="F427" t="s">
        <v>33</v>
      </c>
      <c r="G427" t="s">
        <v>27</v>
      </c>
      <c r="H427" t="s">
        <v>72</v>
      </c>
      <c r="I427">
        <v>942</v>
      </c>
      <c r="J427">
        <v>940</v>
      </c>
      <c r="K427">
        <v>29</v>
      </c>
      <c r="L427">
        <f t="shared" si="32"/>
        <v>911</v>
      </c>
      <c r="M427">
        <v>8.3000000000000007</v>
      </c>
      <c r="N427">
        <v>7.5</v>
      </c>
      <c r="O427" s="8">
        <v>106.21</v>
      </c>
      <c r="P427" s="10">
        <f t="shared" si="30"/>
        <v>99837.4</v>
      </c>
      <c r="Q427" s="8">
        <f t="shared" si="33"/>
        <v>3080.0899999999997</v>
      </c>
      <c r="R427" t="s">
        <v>21</v>
      </c>
      <c r="S427">
        <f t="shared" si="34"/>
        <v>940</v>
      </c>
    </row>
    <row r="428" spans="1:19" x14ac:dyDescent="0.3">
      <c r="A428" t="s">
        <v>882</v>
      </c>
      <c r="B428" s="13">
        <v>45926</v>
      </c>
      <c r="C428" s="25">
        <f t="shared" si="31"/>
        <v>45901</v>
      </c>
      <c r="D428" t="s">
        <v>32</v>
      </c>
      <c r="E428" t="s">
        <v>36</v>
      </c>
      <c r="F428" t="s">
        <v>26</v>
      </c>
      <c r="G428" t="s">
        <v>40</v>
      </c>
      <c r="H428" t="s">
        <v>75</v>
      </c>
      <c r="I428">
        <v>922</v>
      </c>
      <c r="J428">
        <v>923</v>
      </c>
      <c r="K428">
        <v>12</v>
      </c>
      <c r="L428">
        <f t="shared" si="32"/>
        <v>911</v>
      </c>
      <c r="M428">
        <v>100</v>
      </c>
      <c r="N428">
        <v>6.3</v>
      </c>
      <c r="O428" s="8">
        <v>106.24</v>
      </c>
      <c r="P428" s="10">
        <f t="shared" si="30"/>
        <v>98059.51999999999</v>
      </c>
      <c r="Q428" s="8">
        <f t="shared" si="33"/>
        <v>1274.8799999999999</v>
      </c>
      <c r="R428" t="s">
        <v>29</v>
      </c>
      <c r="S428">
        <f t="shared" si="34"/>
        <v>923</v>
      </c>
    </row>
    <row r="429" spans="1:19" x14ac:dyDescent="0.3">
      <c r="A429" t="s">
        <v>38</v>
      </c>
      <c r="B429" s="13">
        <v>45816</v>
      </c>
      <c r="C429" s="25">
        <f t="shared" si="31"/>
        <v>45809</v>
      </c>
      <c r="D429" t="s">
        <v>16</v>
      </c>
      <c r="E429" t="s">
        <v>36</v>
      </c>
      <c r="F429" t="s">
        <v>33</v>
      </c>
      <c r="G429" t="s">
        <v>40</v>
      </c>
      <c r="H429" t="s">
        <v>20</v>
      </c>
      <c r="I429">
        <v>922</v>
      </c>
      <c r="J429">
        <v>857</v>
      </c>
      <c r="K429">
        <v>22</v>
      </c>
      <c r="L429">
        <f t="shared" si="32"/>
        <v>835</v>
      </c>
      <c r="M429">
        <v>34.1</v>
      </c>
      <c r="N429">
        <v>6.5</v>
      </c>
      <c r="O429" s="8">
        <v>106.24</v>
      </c>
      <c r="P429" s="10">
        <f t="shared" si="30"/>
        <v>91047.679999999993</v>
      </c>
      <c r="Q429" s="8">
        <f t="shared" si="33"/>
        <v>2337.2799999999997</v>
      </c>
      <c r="R429" t="s">
        <v>21</v>
      </c>
      <c r="S429">
        <f t="shared" si="34"/>
        <v>857</v>
      </c>
    </row>
    <row r="430" spans="1:19" x14ac:dyDescent="0.3">
      <c r="A430" t="s">
        <v>735</v>
      </c>
      <c r="B430" s="13">
        <v>45706</v>
      </c>
      <c r="C430" s="25">
        <f t="shared" si="31"/>
        <v>45689</v>
      </c>
      <c r="D430" t="s">
        <v>24</v>
      </c>
      <c r="E430" t="s">
        <v>59</v>
      </c>
      <c r="F430" t="s">
        <v>18</v>
      </c>
      <c r="G430" t="s">
        <v>27</v>
      </c>
      <c r="H430" t="s">
        <v>20</v>
      </c>
      <c r="I430">
        <v>1633</v>
      </c>
      <c r="J430">
        <v>1576</v>
      </c>
      <c r="K430">
        <v>9</v>
      </c>
      <c r="L430">
        <f t="shared" si="32"/>
        <v>1567</v>
      </c>
      <c r="M430">
        <v>18.3</v>
      </c>
      <c r="N430">
        <v>6.9</v>
      </c>
      <c r="O430" s="8">
        <v>107.06</v>
      </c>
      <c r="P430" s="10">
        <f t="shared" si="30"/>
        <v>168726.56</v>
      </c>
      <c r="Q430" s="8">
        <f t="shared" si="33"/>
        <v>963.54</v>
      </c>
      <c r="R430" t="s">
        <v>29</v>
      </c>
      <c r="S430">
        <f t="shared" si="34"/>
        <v>1576</v>
      </c>
    </row>
    <row r="431" spans="1:19" x14ac:dyDescent="0.3">
      <c r="A431" t="s">
        <v>900</v>
      </c>
      <c r="B431" s="13">
        <v>45809</v>
      </c>
      <c r="C431" s="25">
        <f t="shared" si="31"/>
        <v>45809</v>
      </c>
      <c r="D431" t="s">
        <v>32</v>
      </c>
      <c r="E431" t="s">
        <v>59</v>
      </c>
      <c r="F431" t="s">
        <v>49</v>
      </c>
      <c r="G431" t="s">
        <v>27</v>
      </c>
      <c r="H431" t="s">
        <v>69</v>
      </c>
      <c r="I431">
        <v>991</v>
      </c>
      <c r="J431">
        <v>1002</v>
      </c>
      <c r="K431">
        <v>28</v>
      </c>
      <c r="L431">
        <f t="shared" si="32"/>
        <v>974</v>
      </c>
      <c r="M431">
        <v>21.6</v>
      </c>
      <c r="N431">
        <v>8.4</v>
      </c>
      <c r="O431" s="8">
        <v>107.36</v>
      </c>
      <c r="P431" s="10">
        <f t="shared" si="30"/>
        <v>107574.72</v>
      </c>
      <c r="Q431" s="8">
        <f t="shared" si="33"/>
        <v>3006.08</v>
      </c>
      <c r="R431" t="s">
        <v>21</v>
      </c>
      <c r="S431">
        <f t="shared" si="34"/>
        <v>1002</v>
      </c>
    </row>
    <row r="432" spans="1:19" x14ac:dyDescent="0.3">
      <c r="A432" t="s">
        <v>786</v>
      </c>
      <c r="B432" s="13">
        <v>45948</v>
      </c>
      <c r="C432" s="25">
        <f t="shared" si="31"/>
        <v>45931</v>
      </c>
      <c r="D432" t="s">
        <v>32</v>
      </c>
      <c r="E432" t="s">
        <v>25</v>
      </c>
      <c r="F432" t="s">
        <v>33</v>
      </c>
      <c r="G432" t="s">
        <v>27</v>
      </c>
      <c r="H432" t="s">
        <v>20</v>
      </c>
      <c r="I432">
        <v>1764</v>
      </c>
      <c r="J432">
        <v>1365</v>
      </c>
      <c r="K432">
        <v>28</v>
      </c>
      <c r="L432">
        <f t="shared" si="32"/>
        <v>1337</v>
      </c>
      <c r="M432">
        <v>20.8</v>
      </c>
      <c r="N432">
        <v>7.1</v>
      </c>
      <c r="O432" s="8">
        <v>107.57</v>
      </c>
      <c r="P432" s="10">
        <f t="shared" si="30"/>
        <v>146833.04999999999</v>
      </c>
      <c r="Q432" s="8">
        <f t="shared" si="33"/>
        <v>3011.96</v>
      </c>
      <c r="R432" t="s">
        <v>21</v>
      </c>
      <c r="S432">
        <f t="shared" si="34"/>
        <v>1365</v>
      </c>
    </row>
    <row r="433" spans="1:19" x14ac:dyDescent="0.3">
      <c r="A433" t="s">
        <v>419</v>
      </c>
      <c r="B433" s="13">
        <v>45704</v>
      </c>
      <c r="C433" s="25">
        <f t="shared" si="31"/>
        <v>45689</v>
      </c>
      <c r="D433" t="s">
        <v>32</v>
      </c>
      <c r="E433" t="s">
        <v>17</v>
      </c>
      <c r="F433" t="s">
        <v>26</v>
      </c>
      <c r="G433" t="s">
        <v>40</v>
      </c>
      <c r="H433" t="s">
        <v>82</v>
      </c>
      <c r="I433">
        <v>1302</v>
      </c>
      <c r="J433">
        <v>1189</v>
      </c>
      <c r="K433">
        <v>4</v>
      </c>
      <c r="L433">
        <f t="shared" si="32"/>
        <v>1185</v>
      </c>
      <c r="M433">
        <v>145.9</v>
      </c>
      <c r="N433">
        <v>8.4</v>
      </c>
      <c r="O433" s="8">
        <v>108.17</v>
      </c>
      <c r="P433" s="10">
        <f t="shared" si="30"/>
        <v>128614.13</v>
      </c>
      <c r="Q433" s="8">
        <f t="shared" si="33"/>
        <v>432.68</v>
      </c>
      <c r="R433" t="s">
        <v>29</v>
      </c>
      <c r="S433">
        <f t="shared" si="34"/>
        <v>1189</v>
      </c>
    </row>
    <row r="434" spans="1:19" x14ac:dyDescent="0.3">
      <c r="A434" t="s">
        <v>290</v>
      </c>
      <c r="B434" s="13">
        <v>45669</v>
      </c>
      <c r="C434" s="25">
        <f t="shared" si="31"/>
        <v>45658</v>
      </c>
      <c r="D434" t="s">
        <v>16</v>
      </c>
      <c r="E434" t="s">
        <v>36</v>
      </c>
      <c r="F434" t="s">
        <v>33</v>
      </c>
      <c r="G434" t="s">
        <v>19</v>
      </c>
      <c r="H434" t="s">
        <v>72</v>
      </c>
      <c r="I434">
        <v>1132</v>
      </c>
      <c r="J434">
        <v>1057</v>
      </c>
      <c r="K434">
        <v>21</v>
      </c>
      <c r="L434">
        <f t="shared" si="32"/>
        <v>1036</v>
      </c>
      <c r="M434">
        <v>6.5</v>
      </c>
      <c r="N434">
        <v>8.1</v>
      </c>
      <c r="O434" s="8">
        <v>108.24</v>
      </c>
      <c r="P434" s="10">
        <f t="shared" si="30"/>
        <v>114409.68</v>
      </c>
      <c r="Q434" s="8">
        <f t="shared" si="33"/>
        <v>2273.04</v>
      </c>
      <c r="R434" t="s">
        <v>29</v>
      </c>
      <c r="S434">
        <f t="shared" si="34"/>
        <v>1057</v>
      </c>
    </row>
    <row r="435" spans="1:19" x14ac:dyDescent="0.3">
      <c r="A435" t="s">
        <v>425</v>
      </c>
      <c r="B435" s="13">
        <v>45769</v>
      </c>
      <c r="C435" s="25">
        <f t="shared" si="31"/>
        <v>45748</v>
      </c>
      <c r="D435" t="s">
        <v>24</v>
      </c>
      <c r="E435" t="s">
        <v>17</v>
      </c>
      <c r="F435" t="s">
        <v>43</v>
      </c>
      <c r="G435" t="s">
        <v>27</v>
      </c>
      <c r="H435" t="s">
        <v>82</v>
      </c>
      <c r="I435">
        <v>832</v>
      </c>
      <c r="J435">
        <v>804</v>
      </c>
      <c r="K435">
        <v>18</v>
      </c>
      <c r="L435">
        <f t="shared" si="32"/>
        <v>786</v>
      </c>
      <c r="M435">
        <v>33.299999999999997</v>
      </c>
      <c r="N435">
        <v>7.3</v>
      </c>
      <c r="O435" s="8">
        <v>108.52</v>
      </c>
      <c r="P435" s="10">
        <f t="shared" si="30"/>
        <v>87250.08</v>
      </c>
      <c r="Q435" s="8">
        <f t="shared" si="33"/>
        <v>1953.36</v>
      </c>
      <c r="R435" t="s">
        <v>21</v>
      </c>
      <c r="S435">
        <f t="shared" si="34"/>
        <v>804</v>
      </c>
    </row>
    <row r="436" spans="1:19" x14ac:dyDescent="0.3">
      <c r="A436" t="s">
        <v>504</v>
      </c>
      <c r="B436" s="13">
        <v>45810</v>
      </c>
      <c r="C436" s="25">
        <f t="shared" si="31"/>
        <v>45809</v>
      </c>
      <c r="D436" t="s">
        <v>16</v>
      </c>
      <c r="E436" t="s">
        <v>17</v>
      </c>
      <c r="F436" t="s">
        <v>43</v>
      </c>
      <c r="G436" t="s">
        <v>19</v>
      </c>
      <c r="H436" t="s">
        <v>37</v>
      </c>
      <c r="I436">
        <v>1748</v>
      </c>
      <c r="J436">
        <v>1742</v>
      </c>
      <c r="K436">
        <v>39</v>
      </c>
      <c r="L436">
        <f t="shared" si="32"/>
        <v>1703</v>
      </c>
      <c r="M436">
        <v>50.4</v>
      </c>
      <c r="N436">
        <v>7.8</v>
      </c>
      <c r="O436" s="8">
        <v>108.63</v>
      </c>
      <c r="P436" s="10">
        <f t="shared" si="30"/>
        <v>189233.46</v>
      </c>
      <c r="Q436" s="8">
        <f t="shared" si="33"/>
        <v>4236.57</v>
      </c>
      <c r="R436" t="s">
        <v>21</v>
      </c>
      <c r="S436">
        <f t="shared" si="34"/>
        <v>1742</v>
      </c>
    </row>
    <row r="437" spans="1:19" x14ac:dyDescent="0.3">
      <c r="A437" t="s">
        <v>725</v>
      </c>
      <c r="B437" s="13">
        <v>45703</v>
      </c>
      <c r="C437" s="25">
        <f t="shared" si="31"/>
        <v>45689</v>
      </c>
      <c r="D437" t="s">
        <v>32</v>
      </c>
      <c r="E437" t="s">
        <v>62</v>
      </c>
      <c r="F437" t="s">
        <v>33</v>
      </c>
      <c r="G437" t="s">
        <v>19</v>
      </c>
      <c r="H437" t="s">
        <v>72</v>
      </c>
      <c r="I437">
        <v>1358</v>
      </c>
      <c r="J437">
        <v>1239</v>
      </c>
      <c r="K437">
        <v>41</v>
      </c>
      <c r="L437">
        <f t="shared" si="32"/>
        <v>1198</v>
      </c>
      <c r="M437">
        <v>56.2</v>
      </c>
      <c r="N437">
        <v>6.4</v>
      </c>
      <c r="O437" s="8">
        <v>108.8</v>
      </c>
      <c r="P437" s="10">
        <f t="shared" si="30"/>
        <v>134803.19999999998</v>
      </c>
      <c r="Q437" s="8">
        <f t="shared" si="33"/>
        <v>4460.8</v>
      </c>
      <c r="R437" t="s">
        <v>21</v>
      </c>
      <c r="S437">
        <f t="shared" si="34"/>
        <v>1239</v>
      </c>
    </row>
    <row r="438" spans="1:19" x14ac:dyDescent="0.3">
      <c r="A438" t="s">
        <v>688</v>
      </c>
      <c r="B438" s="13">
        <v>45710</v>
      </c>
      <c r="C438" s="25">
        <f t="shared" si="31"/>
        <v>45689</v>
      </c>
      <c r="D438" t="s">
        <v>32</v>
      </c>
      <c r="E438" t="s">
        <v>59</v>
      </c>
      <c r="F438" t="s">
        <v>33</v>
      </c>
      <c r="G438" t="s">
        <v>27</v>
      </c>
      <c r="H438" t="s">
        <v>75</v>
      </c>
      <c r="I438">
        <v>1052</v>
      </c>
      <c r="J438">
        <v>1130</v>
      </c>
      <c r="K438">
        <v>27</v>
      </c>
      <c r="L438">
        <f t="shared" si="32"/>
        <v>1103</v>
      </c>
      <c r="M438">
        <v>32.799999999999997</v>
      </c>
      <c r="N438">
        <v>7.8</v>
      </c>
      <c r="O438" s="8">
        <v>108.95</v>
      </c>
      <c r="P438" s="10">
        <f t="shared" si="30"/>
        <v>123113.5</v>
      </c>
      <c r="Q438" s="8">
        <f t="shared" si="33"/>
        <v>2941.65</v>
      </c>
      <c r="R438" t="s">
        <v>21</v>
      </c>
      <c r="S438">
        <f t="shared" si="34"/>
        <v>1130</v>
      </c>
    </row>
    <row r="439" spans="1:19" x14ac:dyDescent="0.3">
      <c r="A439" t="s">
        <v>788</v>
      </c>
      <c r="B439" s="13">
        <v>45742</v>
      </c>
      <c r="C439" s="25">
        <f t="shared" si="31"/>
        <v>45717</v>
      </c>
      <c r="D439" t="s">
        <v>32</v>
      </c>
      <c r="E439" t="s">
        <v>59</v>
      </c>
      <c r="F439" t="s">
        <v>18</v>
      </c>
      <c r="G439" t="s">
        <v>27</v>
      </c>
      <c r="H439" t="s">
        <v>75</v>
      </c>
      <c r="I439">
        <v>1622</v>
      </c>
      <c r="J439">
        <v>1550</v>
      </c>
      <c r="K439">
        <v>11</v>
      </c>
      <c r="L439">
        <f t="shared" si="32"/>
        <v>1539</v>
      </c>
      <c r="M439">
        <v>2</v>
      </c>
      <c r="N439">
        <v>8</v>
      </c>
      <c r="O439" s="8">
        <v>109.07</v>
      </c>
      <c r="P439" s="10">
        <f t="shared" si="30"/>
        <v>169058.5</v>
      </c>
      <c r="Q439" s="8">
        <f t="shared" si="33"/>
        <v>1199.77</v>
      </c>
      <c r="R439" t="s">
        <v>29</v>
      </c>
      <c r="S439">
        <f t="shared" si="34"/>
        <v>1550</v>
      </c>
    </row>
    <row r="440" spans="1:19" x14ac:dyDescent="0.3">
      <c r="A440" t="s">
        <v>207</v>
      </c>
      <c r="B440" s="13">
        <v>45772</v>
      </c>
      <c r="C440" s="25">
        <f t="shared" si="31"/>
        <v>45748</v>
      </c>
      <c r="D440" t="s">
        <v>16</v>
      </c>
      <c r="E440" t="s">
        <v>17</v>
      </c>
      <c r="F440" t="s">
        <v>18</v>
      </c>
      <c r="G440" t="s">
        <v>19</v>
      </c>
      <c r="H440" t="s">
        <v>82</v>
      </c>
      <c r="I440">
        <v>1562</v>
      </c>
      <c r="J440">
        <v>1722</v>
      </c>
      <c r="K440">
        <v>59</v>
      </c>
      <c r="L440">
        <f t="shared" si="32"/>
        <v>1663</v>
      </c>
      <c r="M440">
        <v>110.2</v>
      </c>
      <c r="N440">
        <v>6.9</v>
      </c>
      <c r="O440" s="8">
        <v>109.35</v>
      </c>
      <c r="P440" s="10">
        <f t="shared" si="30"/>
        <v>188300.69999999998</v>
      </c>
      <c r="Q440" s="8">
        <f t="shared" si="33"/>
        <v>6451.65</v>
      </c>
      <c r="R440" t="s">
        <v>21</v>
      </c>
      <c r="S440">
        <f t="shared" si="34"/>
        <v>1722</v>
      </c>
    </row>
    <row r="441" spans="1:19" x14ac:dyDescent="0.3">
      <c r="A441" t="s">
        <v>580</v>
      </c>
      <c r="B441" s="13">
        <v>45671</v>
      </c>
      <c r="C441" s="25">
        <f t="shared" si="31"/>
        <v>45658</v>
      </c>
      <c r="D441" t="s">
        <v>24</v>
      </c>
      <c r="E441" t="s">
        <v>62</v>
      </c>
      <c r="F441" t="s">
        <v>49</v>
      </c>
      <c r="G441" t="s">
        <v>27</v>
      </c>
      <c r="H441" t="s">
        <v>72</v>
      </c>
      <c r="I441">
        <v>1532</v>
      </c>
      <c r="J441">
        <v>1403</v>
      </c>
      <c r="K441">
        <v>30</v>
      </c>
      <c r="L441">
        <f t="shared" si="32"/>
        <v>1373</v>
      </c>
      <c r="M441">
        <v>27.6</v>
      </c>
      <c r="N441">
        <v>7.6</v>
      </c>
      <c r="O441" s="8">
        <v>109.47</v>
      </c>
      <c r="P441" s="10">
        <f t="shared" si="30"/>
        <v>153586.41</v>
      </c>
      <c r="Q441" s="8">
        <f t="shared" si="33"/>
        <v>3284.1</v>
      </c>
      <c r="R441" t="s">
        <v>21</v>
      </c>
      <c r="S441">
        <f t="shared" si="34"/>
        <v>1403</v>
      </c>
    </row>
    <row r="442" spans="1:19" x14ac:dyDescent="0.3">
      <c r="A442" t="s">
        <v>805</v>
      </c>
      <c r="B442" s="13">
        <v>45996</v>
      </c>
      <c r="C442" s="25">
        <f t="shared" si="31"/>
        <v>45992</v>
      </c>
      <c r="D442" t="s">
        <v>24</v>
      </c>
      <c r="E442" t="s">
        <v>25</v>
      </c>
      <c r="F442" t="s">
        <v>26</v>
      </c>
      <c r="G442" t="s">
        <v>19</v>
      </c>
      <c r="H442" t="s">
        <v>75</v>
      </c>
      <c r="I442">
        <v>1164</v>
      </c>
      <c r="J442">
        <v>1234</v>
      </c>
      <c r="K442">
        <v>34</v>
      </c>
      <c r="L442">
        <f t="shared" si="32"/>
        <v>1200</v>
      </c>
      <c r="M442">
        <v>70.400000000000006</v>
      </c>
      <c r="N442">
        <v>7</v>
      </c>
      <c r="O442" s="8">
        <v>109.75</v>
      </c>
      <c r="P442" s="10">
        <f t="shared" si="30"/>
        <v>135431.5</v>
      </c>
      <c r="Q442" s="8">
        <f t="shared" si="33"/>
        <v>3731.5</v>
      </c>
      <c r="R442" t="s">
        <v>21</v>
      </c>
      <c r="S442">
        <f t="shared" si="34"/>
        <v>1234</v>
      </c>
    </row>
    <row r="443" spans="1:19" x14ac:dyDescent="0.3">
      <c r="A443" t="s">
        <v>853</v>
      </c>
      <c r="B443" s="13">
        <v>45714</v>
      </c>
      <c r="C443" s="25">
        <f t="shared" si="31"/>
        <v>45689</v>
      </c>
      <c r="D443" t="s">
        <v>16</v>
      </c>
      <c r="E443" t="s">
        <v>36</v>
      </c>
      <c r="F443" t="s">
        <v>18</v>
      </c>
      <c r="G443" t="s">
        <v>27</v>
      </c>
      <c r="H443" t="s">
        <v>75</v>
      </c>
      <c r="I443">
        <v>1321</v>
      </c>
      <c r="J443">
        <v>1644</v>
      </c>
      <c r="K443">
        <v>33</v>
      </c>
      <c r="L443">
        <f t="shared" si="32"/>
        <v>1611</v>
      </c>
      <c r="M443">
        <v>23.3</v>
      </c>
      <c r="N443">
        <v>6.1</v>
      </c>
      <c r="O443" s="8">
        <v>109.81</v>
      </c>
      <c r="P443" s="10">
        <f t="shared" si="30"/>
        <v>180527.64</v>
      </c>
      <c r="Q443" s="8">
        <f t="shared" si="33"/>
        <v>3623.73</v>
      </c>
      <c r="R443" t="s">
        <v>21</v>
      </c>
      <c r="S443">
        <f t="shared" si="34"/>
        <v>1644</v>
      </c>
    </row>
    <row r="444" spans="1:19" x14ac:dyDescent="0.3">
      <c r="A444" t="s">
        <v>929</v>
      </c>
      <c r="B444" s="13">
        <v>45987</v>
      </c>
      <c r="C444" s="25">
        <f t="shared" si="31"/>
        <v>45962</v>
      </c>
      <c r="D444" t="s">
        <v>32</v>
      </c>
      <c r="E444" t="s">
        <v>62</v>
      </c>
      <c r="F444" t="s">
        <v>43</v>
      </c>
      <c r="G444" t="s">
        <v>40</v>
      </c>
      <c r="H444" t="s">
        <v>44</v>
      </c>
      <c r="I444">
        <v>1689</v>
      </c>
      <c r="J444">
        <v>2005</v>
      </c>
      <c r="K444">
        <v>37</v>
      </c>
      <c r="L444">
        <f t="shared" si="32"/>
        <v>1968</v>
      </c>
      <c r="M444">
        <v>33.9</v>
      </c>
      <c r="N444">
        <v>6.2</v>
      </c>
      <c r="O444" s="8">
        <v>109.91</v>
      </c>
      <c r="P444" s="10">
        <f t="shared" si="30"/>
        <v>220369.55</v>
      </c>
      <c r="Q444" s="8">
        <f t="shared" si="33"/>
        <v>4066.67</v>
      </c>
      <c r="R444" t="s">
        <v>29</v>
      </c>
      <c r="S444">
        <f t="shared" si="34"/>
        <v>2005</v>
      </c>
    </row>
    <row r="445" spans="1:19" x14ac:dyDescent="0.3">
      <c r="A445" t="s">
        <v>460</v>
      </c>
      <c r="B445" s="13">
        <v>45934</v>
      </c>
      <c r="C445" s="25">
        <f t="shared" si="31"/>
        <v>45931</v>
      </c>
      <c r="D445" t="s">
        <v>32</v>
      </c>
      <c r="E445" t="s">
        <v>36</v>
      </c>
      <c r="F445" t="s">
        <v>33</v>
      </c>
      <c r="G445" t="s">
        <v>27</v>
      </c>
      <c r="H445" t="s">
        <v>44</v>
      </c>
      <c r="I445">
        <v>1303</v>
      </c>
      <c r="J445">
        <v>1339</v>
      </c>
      <c r="K445">
        <v>12</v>
      </c>
      <c r="L445">
        <f t="shared" si="32"/>
        <v>1327</v>
      </c>
      <c r="M445">
        <v>23.4</v>
      </c>
      <c r="N445">
        <v>7.6</v>
      </c>
      <c r="O445" s="8">
        <v>110.05</v>
      </c>
      <c r="P445" s="10">
        <f t="shared" si="30"/>
        <v>147356.94999999998</v>
      </c>
      <c r="Q445" s="8">
        <f t="shared" si="33"/>
        <v>1320.6</v>
      </c>
      <c r="R445" t="s">
        <v>29</v>
      </c>
      <c r="S445">
        <f t="shared" si="34"/>
        <v>1339</v>
      </c>
    </row>
    <row r="446" spans="1:19" x14ac:dyDescent="0.3">
      <c r="A446" t="s">
        <v>573</v>
      </c>
      <c r="B446" s="13">
        <v>45992</v>
      </c>
      <c r="C446" s="25">
        <f t="shared" si="31"/>
        <v>45992</v>
      </c>
      <c r="D446" t="s">
        <v>32</v>
      </c>
      <c r="E446" t="s">
        <v>25</v>
      </c>
      <c r="F446" t="s">
        <v>18</v>
      </c>
      <c r="G446" t="s">
        <v>27</v>
      </c>
      <c r="H446" t="s">
        <v>75</v>
      </c>
      <c r="I446">
        <v>1291</v>
      </c>
      <c r="J446">
        <v>1097</v>
      </c>
      <c r="K446">
        <v>6</v>
      </c>
      <c r="L446">
        <f t="shared" si="32"/>
        <v>1091</v>
      </c>
      <c r="M446">
        <v>26.3</v>
      </c>
      <c r="N446">
        <v>8.3000000000000007</v>
      </c>
      <c r="O446" s="8">
        <v>110.16</v>
      </c>
      <c r="P446" s="10">
        <f t="shared" si="30"/>
        <v>120845.51999999999</v>
      </c>
      <c r="Q446" s="8">
        <f t="shared" si="33"/>
        <v>660.96</v>
      </c>
      <c r="R446" t="s">
        <v>29</v>
      </c>
      <c r="S446">
        <f t="shared" si="34"/>
        <v>1097</v>
      </c>
    </row>
    <row r="447" spans="1:19" x14ac:dyDescent="0.3">
      <c r="A447" t="s">
        <v>909</v>
      </c>
      <c r="B447" s="13">
        <v>45984</v>
      </c>
      <c r="C447" s="25">
        <f t="shared" si="31"/>
        <v>45962</v>
      </c>
      <c r="D447" t="s">
        <v>16</v>
      </c>
      <c r="E447" t="s">
        <v>17</v>
      </c>
      <c r="F447" t="s">
        <v>33</v>
      </c>
      <c r="G447" t="s">
        <v>40</v>
      </c>
      <c r="H447" t="s">
        <v>82</v>
      </c>
      <c r="I447">
        <v>1348</v>
      </c>
      <c r="J447">
        <v>1181</v>
      </c>
      <c r="K447">
        <v>7</v>
      </c>
      <c r="L447">
        <f t="shared" si="32"/>
        <v>1174</v>
      </c>
      <c r="M447">
        <v>74.400000000000006</v>
      </c>
      <c r="N447">
        <v>7.8</v>
      </c>
      <c r="O447" s="8">
        <v>110.44</v>
      </c>
      <c r="P447" s="10">
        <f t="shared" si="30"/>
        <v>130429.64</v>
      </c>
      <c r="Q447" s="8">
        <f t="shared" si="33"/>
        <v>773.07999999999993</v>
      </c>
      <c r="R447" t="s">
        <v>29</v>
      </c>
      <c r="S447">
        <f t="shared" si="34"/>
        <v>1181</v>
      </c>
    </row>
    <row r="448" spans="1:19" x14ac:dyDescent="0.3">
      <c r="A448" t="s">
        <v>470</v>
      </c>
      <c r="B448" s="13">
        <v>45778</v>
      </c>
      <c r="C448" s="25">
        <f t="shared" si="31"/>
        <v>45778</v>
      </c>
      <c r="D448" t="s">
        <v>16</v>
      </c>
      <c r="E448" t="s">
        <v>59</v>
      </c>
      <c r="F448" t="s">
        <v>49</v>
      </c>
      <c r="G448" t="s">
        <v>27</v>
      </c>
      <c r="H448" t="s">
        <v>20</v>
      </c>
      <c r="I448">
        <v>1748</v>
      </c>
      <c r="J448">
        <v>1774</v>
      </c>
      <c r="K448">
        <v>47</v>
      </c>
      <c r="L448">
        <f t="shared" si="32"/>
        <v>1727</v>
      </c>
      <c r="M448">
        <v>68</v>
      </c>
      <c r="N448">
        <v>6.2</v>
      </c>
      <c r="O448" s="8">
        <v>110.68</v>
      </c>
      <c r="P448" s="10">
        <f t="shared" si="30"/>
        <v>196346.32</v>
      </c>
      <c r="Q448" s="8">
        <f t="shared" si="33"/>
        <v>5201.96</v>
      </c>
      <c r="R448" t="s">
        <v>21</v>
      </c>
      <c r="S448">
        <f t="shared" si="34"/>
        <v>1774</v>
      </c>
    </row>
    <row r="449" spans="1:19" x14ac:dyDescent="0.3">
      <c r="A449" t="s">
        <v>395</v>
      </c>
      <c r="B449" s="13">
        <v>45824</v>
      </c>
      <c r="C449" s="25">
        <f t="shared" si="31"/>
        <v>45809</v>
      </c>
      <c r="D449" t="s">
        <v>16</v>
      </c>
      <c r="E449" t="s">
        <v>59</v>
      </c>
      <c r="F449" t="s">
        <v>49</v>
      </c>
      <c r="G449" t="s">
        <v>27</v>
      </c>
      <c r="H449" t="s">
        <v>75</v>
      </c>
      <c r="I449">
        <v>1513</v>
      </c>
      <c r="J449">
        <v>1509</v>
      </c>
      <c r="K449">
        <v>49</v>
      </c>
      <c r="L449">
        <f t="shared" si="32"/>
        <v>1460</v>
      </c>
      <c r="M449">
        <v>45.9</v>
      </c>
      <c r="N449">
        <v>6.6</v>
      </c>
      <c r="O449" s="8">
        <v>110.69</v>
      </c>
      <c r="P449" s="10">
        <f t="shared" si="30"/>
        <v>167031.21</v>
      </c>
      <c r="Q449" s="8">
        <f t="shared" si="33"/>
        <v>5423.8099999999995</v>
      </c>
      <c r="R449" t="s">
        <v>21</v>
      </c>
      <c r="S449">
        <f t="shared" si="34"/>
        <v>1509</v>
      </c>
    </row>
    <row r="450" spans="1:19" x14ac:dyDescent="0.3">
      <c r="A450" t="s">
        <v>204</v>
      </c>
      <c r="B450" s="13">
        <v>45913</v>
      </c>
      <c r="C450" s="25">
        <f t="shared" si="31"/>
        <v>45901</v>
      </c>
      <c r="D450" t="s">
        <v>32</v>
      </c>
      <c r="E450" t="s">
        <v>17</v>
      </c>
      <c r="F450" t="s">
        <v>43</v>
      </c>
      <c r="G450" t="s">
        <v>19</v>
      </c>
      <c r="H450" t="s">
        <v>82</v>
      </c>
      <c r="I450">
        <v>1758</v>
      </c>
      <c r="J450">
        <v>1360</v>
      </c>
      <c r="K450">
        <v>26</v>
      </c>
      <c r="L450">
        <f t="shared" si="32"/>
        <v>1334</v>
      </c>
      <c r="M450">
        <v>33</v>
      </c>
      <c r="N450">
        <v>7.9</v>
      </c>
      <c r="O450" s="8">
        <v>110.85</v>
      </c>
      <c r="P450" s="10">
        <f t="shared" ref="P450:P513" si="35">J450*O450</f>
        <v>150756</v>
      </c>
      <c r="Q450" s="8">
        <f t="shared" si="33"/>
        <v>2882.1</v>
      </c>
      <c r="R450" t="s">
        <v>29</v>
      </c>
      <c r="S450">
        <f t="shared" si="34"/>
        <v>1360</v>
      </c>
    </row>
    <row r="451" spans="1:19" x14ac:dyDescent="0.3">
      <c r="A451" t="s">
        <v>658</v>
      </c>
      <c r="B451" s="13">
        <v>45669</v>
      </c>
      <c r="C451" s="25">
        <f t="shared" ref="C451:C514" si="36">DATE(YEAR(B451), MONTH(B451), 1 )</f>
        <v>45658</v>
      </c>
      <c r="D451" t="s">
        <v>24</v>
      </c>
      <c r="E451" t="s">
        <v>17</v>
      </c>
      <c r="F451" t="s">
        <v>49</v>
      </c>
      <c r="G451" t="s">
        <v>19</v>
      </c>
      <c r="H451" t="s">
        <v>28</v>
      </c>
      <c r="I451">
        <v>1667</v>
      </c>
      <c r="J451">
        <v>1330</v>
      </c>
      <c r="K451">
        <v>13</v>
      </c>
      <c r="L451">
        <f t="shared" ref="L451:L514" si="37">J451 -K451</f>
        <v>1317</v>
      </c>
      <c r="M451">
        <v>20</v>
      </c>
      <c r="N451">
        <v>8</v>
      </c>
      <c r="O451" s="8">
        <v>111.52</v>
      </c>
      <c r="P451" s="10">
        <f t="shared" si="35"/>
        <v>148321.60000000001</v>
      </c>
      <c r="Q451" s="8">
        <f t="shared" ref="Q451:Q514" si="38">K451*O451</f>
        <v>1449.76</v>
      </c>
      <c r="R451" t="s">
        <v>29</v>
      </c>
      <c r="S451">
        <f t="shared" ref="S451:S514" si="39">L451  + K451</f>
        <v>1330</v>
      </c>
    </row>
    <row r="452" spans="1:19" x14ac:dyDescent="0.3">
      <c r="A452" t="s">
        <v>282</v>
      </c>
      <c r="B452" s="13">
        <v>45691</v>
      </c>
      <c r="C452" s="25">
        <f t="shared" si="36"/>
        <v>45689</v>
      </c>
      <c r="D452" t="s">
        <v>16</v>
      </c>
      <c r="E452" t="s">
        <v>62</v>
      </c>
      <c r="F452" t="s">
        <v>33</v>
      </c>
      <c r="G452" t="s">
        <v>27</v>
      </c>
      <c r="H452" t="s">
        <v>82</v>
      </c>
      <c r="I452">
        <v>771</v>
      </c>
      <c r="J452">
        <v>671</v>
      </c>
      <c r="K452">
        <v>4</v>
      </c>
      <c r="L452">
        <f t="shared" si="37"/>
        <v>667</v>
      </c>
      <c r="M452">
        <v>25.8</v>
      </c>
      <c r="N452">
        <v>7</v>
      </c>
      <c r="O452" s="8">
        <v>111.7</v>
      </c>
      <c r="P452" s="10">
        <f t="shared" si="35"/>
        <v>74950.7</v>
      </c>
      <c r="Q452" s="8">
        <f t="shared" si="38"/>
        <v>446.8</v>
      </c>
      <c r="R452" t="s">
        <v>29</v>
      </c>
      <c r="S452">
        <f t="shared" si="39"/>
        <v>671</v>
      </c>
    </row>
    <row r="453" spans="1:19" x14ac:dyDescent="0.3">
      <c r="A453" t="s">
        <v>247</v>
      </c>
      <c r="B453" s="13">
        <v>45759</v>
      </c>
      <c r="C453" s="25">
        <f t="shared" si="36"/>
        <v>45748</v>
      </c>
      <c r="D453" t="s">
        <v>24</v>
      </c>
      <c r="E453" t="s">
        <v>62</v>
      </c>
      <c r="F453" t="s">
        <v>26</v>
      </c>
      <c r="G453" t="s">
        <v>40</v>
      </c>
      <c r="H453" t="s">
        <v>82</v>
      </c>
      <c r="I453">
        <v>1018</v>
      </c>
      <c r="J453">
        <v>946</v>
      </c>
      <c r="K453">
        <v>31</v>
      </c>
      <c r="L453">
        <f t="shared" si="37"/>
        <v>915</v>
      </c>
      <c r="M453">
        <v>21</v>
      </c>
      <c r="N453">
        <v>6.9</v>
      </c>
      <c r="O453" s="8">
        <v>111.79</v>
      </c>
      <c r="P453" s="10">
        <f t="shared" si="35"/>
        <v>105753.34000000001</v>
      </c>
      <c r="Q453" s="8">
        <f t="shared" si="38"/>
        <v>3465.4900000000002</v>
      </c>
      <c r="R453" t="s">
        <v>21</v>
      </c>
      <c r="S453">
        <f t="shared" si="39"/>
        <v>946</v>
      </c>
    </row>
    <row r="454" spans="1:19" x14ac:dyDescent="0.3">
      <c r="A454" t="s">
        <v>366</v>
      </c>
      <c r="B454" s="13">
        <v>45838</v>
      </c>
      <c r="C454" s="25">
        <f t="shared" si="36"/>
        <v>45809</v>
      </c>
      <c r="D454" t="s">
        <v>16</v>
      </c>
      <c r="E454" t="s">
        <v>36</v>
      </c>
      <c r="F454" t="s">
        <v>49</v>
      </c>
      <c r="G454" t="s">
        <v>40</v>
      </c>
      <c r="H454" t="s">
        <v>69</v>
      </c>
      <c r="I454">
        <v>1359</v>
      </c>
      <c r="J454">
        <v>1438</v>
      </c>
      <c r="K454">
        <v>25</v>
      </c>
      <c r="L454">
        <f t="shared" si="37"/>
        <v>1413</v>
      </c>
      <c r="M454">
        <v>33.4</v>
      </c>
      <c r="N454">
        <v>6.5</v>
      </c>
      <c r="O454" s="8">
        <v>112.64</v>
      </c>
      <c r="P454" s="10">
        <f t="shared" si="35"/>
        <v>161976.32000000001</v>
      </c>
      <c r="Q454" s="8">
        <f t="shared" si="38"/>
        <v>2816</v>
      </c>
      <c r="R454" t="s">
        <v>29</v>
      </c>
      <c r="S454">
        <f t="shared" si="39"/>
        <v>1438</v>
      </c>
    </row>
    <row r="455" spans="1:19" x14ac:dyDescent="0.3">
      <c r="A455" t="s">
        <v>931</v>
      </c>
      <c r="B455" s="13">
        <v>46015</v>
      </c>
      <c r="C455" s="25">
        <f t="shared" si="36"/>
        <v>45992</v>
      </c>
      <c r="D455" t="s">
        <v>16</v>
      </c>
      <c r="E455" t="s">
        <v>25</v>
      </c>
      <c r="F455" t="s">
        <v>43</v>
      </c>
      <c r="G455" t="s">
        <v>27</v>
      </c>
      <c r="H455" t="s">
        <v>44</v>
      </c>
      <c r="I455">
        <v>1308</v>
      </c>
      <c r="J455">
        <v>1497</v>
      </c>
      <c r="K455">
        <v>9</v>
      </c>
      <c r="L455">
        <f t="shared" si="37"/>
        <v>1488</v>
      </c>
      <c r="M455">
        <v>23.8</v>
      </c>
      <c r="N455">
        <v>7.5</v>
      </c>
      <c r="O455" s="8">
        <v>112.77</v>
      </c>
      <c r="P455" s="10">
        <f t="shared" si="35"/>
        <v>168816.69</v>
      </c>
      <c r="Q455" s="8">
        <f t="shared" si="38"/>
        <v>1014.93</v>
      </c>
      <c r="R455" t="s">
        <v>29</v>
      </c>
      <c r="S455">
        <f t="shared" si="39"/>
        <v>1497</v>
      </c>
    </row>
    <row r="456" spans="1:19" x14ac:dyDescent="0.3">
      <c r="A456" t="s">
        <v>702</v>
      </c>
      <c r="B456" s="13">
        <v>45702</v>
      </c>
      <c r="C456" s="25">
        <f t="shared" si="36"/>
        <v>45689</v>
      </c>
      <c r="D456" t="s">
        <v>24</v>
      </c>
      <c r="E456" t="s">
        <v>62</v>
      </c>
      <c r="F456" t="s">
        <v>43</v>
      </c>
      <c r="G456" t="s">
        <v>19</v>
      </c>
      <c r="H456" t="s">
        <v>44</v>
      </c>
      <c r="I456">
        <v>979</v>
      </c>
      <c r="J456">
        <v>934</v>
      </c>
      <c r="K456">
        <v>25</v>
      </c>
      <c r="L456">
        <f t="shared" si="37"/>
        <v>909</v>
      </c>
      <c r="M456">
        <v>31.5</v>
      </c>
      <c r="N456">
        <v>7.1</v>
      </c>
      <c r="O456" s="8">
        <v>113.19</v>
      </c>
      <c r="P456" s="10">
        <f t="shared" si="35"/>
        <v>105719.45999999999</v>
      </c>
      <c r="Q456" s="8">
        <f t="shared" si="38"/>
        <v>2829.75</v>
      </c>
      <c r="R456" t="s">
        <v>21</v>
      </c>
      <c r="S456">
        <f t="shared" si="39"/>
        <v>934</v>
      </c>
    </row>
    <row r="457" spans="1:19" x14ac:dyDescent="0.3">
      <c r="A457" t="s">
        <v>603</v>
      </c>
      <c r="B457" s="13">
        <v>45751</v>
      </c>
      <c r="C457" s="25">
        <f t="shared" si="36"/>
        <v>45748</v>
      </c>
      <c r="D457" t="s">
        <v>16</v>
      </c>
      <c r="E457" t="s">
        <v>62</v>
      </c>
      <c r="F457" t="s">
        <v>43</v>
      </c>
      <c r="G457" t="s">
        <v>27</v>
      </c>
      <c r="H457" t="s">
        <v>72</v>
      </c>
      <c r="I457">
        <v>1380</v>
      </c>
      <c r="J457">
        <v>1560</v>
      </c>
      <c r="K457">
        <v>5</v>
      </c>
      <c r="L457">
        <f t="shared" si="37"/>
        <v>1555</v>
      </c>
      <c r="M457">
        <v>38.4</v>
      </c>
      <c r="N457">
        <v>7.4</v>
      </c>
      <c r="O457" s="8">
        <v>113.38</v>
      </c>
      <c r="P457" s="10">
        <f t="shared" si="35"/>
        <v>176872.8</v>
      </c>
      <c r="Q457" s="8">
        <f t="shared" si="38"/>
        <v>566.9</v>
      </c>
      <c r="R457" t="s">
        <v>29</v>
      </c>
      <c r="S457">
        <f t="shared" si="39"/>
        <v>1560</v>
      </c>
    </row>
    <row r="458" spans="1:19" x14ac:dyDescent="0.3">
      <c r="A458" t="s">
        <v>841</v>
      </c>
      <c r="B458" s="13">
        <v>45774</v>
      </c>
      <c r="C458" s="25">
        <f t="shared" si="36"/>
        <v>45748</v>
      </c>
      <c r="D458" t="s">
        <v>32</v>
      </c>
      <c r="E458" t="s">
        <v>62</v>
      </c>
      <c r="F458" t="s">
        <v>49</v>
      </c>
      <c r="G458" t="s">
        <v>19</v>
      </c>
      <c r="H458" t="s">
        <v>20</v>
      </c>
      <c r="I458">
        <v>1648</v>
      </c>
      <c r="J458">
        <v>1648</v>
      </c>
      <c r="K458">
        <v>31</v>
      </c>
      <c r="L458">
        <f t="shared" si="37"/>
        <v>1617</v>
      </c>
      <c r="M458">
        <v>22.1</v>
      </c>
      <c r="N458">
        <v>7.1</v>
      </c>
      <c r="O458" s="8">
        <v>113.42</v>
      </c>
      <c r="P458" s="10">
        <f t="shared" si="35"/>
        <v>186916.16</v>
      </c>
      <c r="Q458" s="8">
        <f t="shared" si="38"/>
        <v>3516.02</v>
      </c>
      <c r="R458" t="s">
        <v>29</v>
      </c>
      <c r="S458">
        <f t="shared" si="39"/>
        <v>1648</v>
      </c>
    </row>
    <row r="459" spans="1:19" x14ac:dyDescent="0.3">
      <c r="A459" t="s">
        <v>827</v>
      </c>
      <c r="B459" s="13">
        <v>45696</v>
      </c>
      <c r="C459" s="25">
        <f t="shared" si="36"/>
        <v>45689</v>
      </c>
      <c r="D459" t="s">
        <v>32</v>
      </c>
      <c r="E459" t="s">
        <v>62</v>
      </c>
      <c r="F459" t="s">
        <v>18</v>
      </c>
      <c r="G459" t="s">
        <v>27</v>
      </c>
      <c r="H459" t="s">
        <v>37</v>
      </c>
      <c r="I459">
        <v>1168</v>
      </c>
      <c r="J459">
        <v>1129</v>
      </c>
      <c r="K459">
        <v>6</v>
      </c>
      <c r="L459">
        <f t="shared" si="37"/>
        <v>1123</v>
      </c>
      <c r="M459">
        <v>58.9</v>
      </c>
      <c r="N459">
        <v>7.4</v>
      </c>
      <c r="O459" s="8">
        <v>113.5</v>
      </c>
      <c r="P459" s="10">
        <f t="shared" si="35"/>
        <v>128141.5</v>
      </c>
      <c r="Q459" s="8">
        <f t="shared" si="38"/>
        <v>681</v>
      </c>
      <c r="R459" t="s">
        <v>29</v>
      </c>
      <c r="S459">
        <f t="shared" si="39"/>
        <v>1129</v>
      </c>
    </row>
    <row r="460" spans="1:19" x14ac:dyDescent="0.3">
      <c r="A460" t="s">
        <v>292</v>
      </c>
      <c r="B460" s="13">
        <v>45784</v>
      </c>
      <c r="C460" s="25">
        <f t="shared" si="36"/>
        <v>45778</v>
      </c>
      <c r="D460" t="s">
        <v>32</v>
      </c>
      <c r="E460" t="s">
        <v>17</v>
      </c>
      <c r="F460" t="s">
        <v>33</v>
      </c>
      <c r="G460" t="s">
        <v>19</v>
      </c>
      <c r="H460" t="s">
        <v>72</v>
      </c>
      <c r="I460">
        <v>1211</v>
      </c>
      <c r="J460">
        <v>1118</v>
      </c>
      <c r="K460">
        <v>12</v>
      </c>
      <c r="L460">
        <f t="shared" si="37"/>
        <v>1106</v>
      </c>
      <c r="M460">
        <v>10.3</v>
      </c>
      <c r="N460">
        <v>7</v>
      </c>
      <c r="O460" s="8">
        <v>114.25</v>
      </c>
      <c r="P460" s="10">
        <f t="shared" si="35"/>
        <v>127731.5</v>
      </c>
      <c r="Q460" s="8">
        <f t="shared" si="38"/>
        <v>1371</v>
      </c>
      <c r="R460" t="s">
        <v>29</v>
      </c>
      <c r="S460">
        <f t="shared" si="39"/>
        <v>1118</v>
      </c>
    </row>
    <row r="461" spans="1:19" x14ac:dyDescent="0.3">
      <c r="A461" t="s">
        <v>454</v>
      </c>
      <c r="B461" s="13">
        <v>45692</v>
      </c>
      <c r="C461" s="25">
        <f t="shared" si="36"/>
        <v>45689</v>
      </c>
      <c r="D461" t="s">
        <v>24</v>
      </c>
      <c r="E461" t="s">
        <v>62</v>
      </c>
      <c r="F461" t="s">
        <v>18</v>
      </c>
      <c r="G461" t="s">
        <v>27</v>
      </c>
      <c r="H461" t="s">
        <v>82</v>
      </c>
      <c r="I461">
        <v>1166</v>
      </c>
      <c r="J461">
        <v>1120</v>
      </c>
      <c r="K461">
        <v>19</v>
      </c>
      <c r="L461">
        <f t="shared" si="37"/>
        <v>1101</v>
      </c>
      <c r="M461">
        <v>61.8</v>
      </c>
      <c r="N461">
        <v>6.6</v>
      </c>
      <c r="O461" s="8">
        <v>114.44</v>
      </c>
      <c r="P461" s="10">
        <f t="shared" si="35"/>
        <v>128172.8</v>
      </c>
      <c r="Q461" s="8">
        <f t="shared" si="38"/>
        <v>2174.36</v>
      </c>
      <c r="R461" t="s">
        <v>29</v>
      </c>
      <c r="S461">
        <f t="shared" si="39"/>
        <v>1120</v>
      </c>
    </row>
    <row r="462" spans="1:19" x14ac:dyDescent="0.3">
      <c r="A462" t="s">
        <v>803</v>
      </c>
      <c r="B462" s="13">
        <v>45701</v>
      </c>
      <c r="C462" s="25">
        <f t="shared" si="36"/>
        <v>45689</v>
      </c>
      <c r="D462" t="s">
        <v>32</v>
      </c>
      <c r="E462" t="s">
        <v>36</v>
      </c>
      <c r="F462" t="s">
        <v>33</v>
      </c>
      <c r="G462" t="s">
        <v>40</v>
      </c>
      <c r="H462" t="s">
        <v>20</v>
      </c>
      <c r="I462">
        <v>1022</v>
      </c>
      <c r="J462">
        <v>1115</v>
      </c>
      <c r="K462">
        <v>33</v>
      </c>
      <c r="L462">
        <f t="shared" si="37"/>
        <v>1082</v>
      </c>
      <c r="M462">
        <v>61.6</v>
      </c>
      <c r="N462">
        <v>6.8</v>
      </c>
      <c r="O462" s="8">
        <v>114.77</v>
      </c>
      <c r="P462" s="10">
        <f t="shared" si="35"/>
        <v>127968.54999999999</v>
      </c>
      <c r="Q462" s="8">
        <f t="shared" si="38"/>
        <v>3787.41</v>
      </c>
      <c r="R462" t="s">
        <v>21</v>
      </c>
      <c r="S462">
        <f t="shared" si="39"/>
        <v>1115</v>
      </c>
    </row>
    <row r="463" spans="1:19" x14ac:dyDescent="0.3">
      <c r="A463" t="s">
        <v>262</v>
      </c>
      <c r="B463" s="13">
        <v>45699</v>
      </c>
      <c r="C463" s="25">
        <f t="shared" si="36"/>
        <v>45689</v>
      </c>
      <c r="D463" t="s">
        <v>32</v>
      </c>
      <c r="E463" t="s">
        <v>62</v>
      </c>
      <c r="F463" t="s">
        <v>49</v>
      </c>
      <c r="G463" t="s">
        <v>27</v>
      </c>
      <c r="H463" t="s">
        <v>20</v>
      </c>
      <c r="I463">
        <v>1640</v>
      </c>
      <c r="J463">
        <v>1486</v>
      </c>
      <c r="K463">
        <v>50</v>
      </c>
      <c r="L463">
        <f t="shared" si="37"/>
        <v>1436</v>
      </c>
      <c r="M463">
        <v>49</v>
      </c>
      <c r="N463">
        <v>7.9</v>
      </c>
      <c r="O463" s="8">
        <v>115.11</v>
      </c>
      <c r="P463" s="10">
        <f t="shared" si="35"/>
        <v>171053.46</v>
      </c>
      <c r="Q463" s="8">
        <f t="shared" si="38"/>
        <v>5755.5</v>
      </c>
      <c r="R463" t="s">
        <v>21</v>
      </c>
      <c r="S463">
        <f t="shared" si="39"/>
        <v>1486</v>
      </c>
    </row>
    <row r="464" spans="1:19" x14ac:dyDescent="0.3">
      <c r="A464" t="s">
        <v>639</v>
      </c>
      <c r="B464" s="13">
        <v>45899</v>
      </c>
      <c r="C464" s="25">
        <f t="shared" si="36"/>
        <v>45870</v>
      </c>
      <c r="D464" t="s">
        <v>32</v>
      </c>
      <c r="E464" t="s">
        <v>36</v>
      </c>
      <c r="F464" t="s">
        <v>43</v>
      </c>
      <c r="G464" t="s">
        <v>40</v>
      </c>
      <c r="H464" t="s">
        <v>28</v>
      </c>
      <c r="I464">
        <v>1028</v>
      </c>
      <c r="J464">
        <v>1147</v>
      </c>
      <c r="K464">
        <v>34</v>
      </c>
      <c r="L464">
        <f t="shared" si="37"/>
        <v>1113</v>
      </c>
      <c r="M464">
        <v>47.8</v>
      </c>
      <c r="N464">
        <v>6.4</v>
      </c>
      <c r="O464" s="8">
        <v>115.13</v>
      </c>
      <c r="P464" s="10">
        <f t="shared" si="35"/>
        <v>132054.10999999999</v>
      </c>
      <c r="Q464" s="8">
        <f t="shared" si="38"/>
        <v>3914.42</v>
      </c>
      <c r="R464" t="s">
        <v>21</v>
      </c>
      <c r="S464">
        <f t="shared" si="39"/>
        <v>1147</v>
      </c>
    </row>
    <row r="465" spans="1:19" x14ac:dyDescent="0.3">
      <c r="A465" t="s">
        <v>662</v>
      </c>
      <c r="B465" s="13">
        <v>45961</v>
      </c>
      <c r="C465" s="25">
        <f t="shared" si="36"/>
        <v>45931</v>
      </c>
      <c r="D465" t="s">
        <v>24</v>
      </c>
      <c r="E465" t="s">
        <v>17</v>
      </c>
      <c r="F465" t="s">
        <v>26</v>
      </c>
      <c r="G465" t="s">
        <v>27</v>
      </c>
      <c r="H465" t="s">
        <v>69</v>
      </c>
      <c r="I465">
        <v>1415</v>
      </c>
      <c r="J465">
        <v>1571</v>
      </c>
      <c r="K465">
        <v>16</v>
      </c>
      <c r="L465">
        <f t="shared" si="37"/>
        <v>1555</v>
      </c>
      <c r="M465">
        <v>17.7</v>
      </c>
      <c r="N465">
        <v>6.2</v>
      </c>
      <c r="O465" s="8">
        <v>115.47</v>
      </c>
      <c r="P465" s="10">
        <f t="shared" si="35"/>
        <v>181403.37</v>
      </c>
      <c r="Q465" s="8">
        <f t="shared" si="38"/>
        <v>1847.52</v>
      </c>
      <c r="R465" t="s">
        <v>29</v>
      </c>
      <c r="S465">
        <f t="shared" si="39"/>
        <v>1571</v>
      </c>
    </row>
    <row r="466" spans="1:19" x14ac:dyDescent="0.3">
      <c r="A466" t="s">
        <v>121</v>
      </c>
      <c r="B466" s="13">
        <v>45934</v>
      </c>
      <c r="C466" s="25">
        <f t="shared" si="36"/>
        <v>45931</v>
      </c>
      <c r="D466" t="s">
        <v>32</v>
      </c>
      <c r="E466" t="s">
        <v>25</v>
      </c>
      <c r="F466" t="s">
        <v>18</v>
      </c>
      <c r="G466" t="s">
        <v>27</v>
      </c>
      <c r="H466" t="s">
        <v>20</v>
      </c>
      <c r="I466">
        <v>968</v>
      </c>
      <c r="J466">
        <v>831</v>
      </c>
      <c r="K466">
        <v>24</v>
      </c>
      <c r="L466">
        <f t="shared" si="37"/>
        <v>807</v>
      </c>
      <c r="M466">
        <v>55</v>
      </c>
      <c r="N466">
        <v>7.2</v>
      </c>
      <c r="O466" s="8">
        <v>115.62</v>
      </c>
      <c r="P466" s="10">
        <f t="shared" si="35"/>
        <v>96080.22</v>
      </c>
      <c r="Q466" s="8">
        <f t="shared" si="38"/>
        <v>2774.88</v>
      </c>
      <c r="R466" t="s">
        <v>21</v>
      </c>
      <c r="S466">
        <f t="shared" si="39"/>
        <v>831</v>
      </c>
    </row>
    <row r="467" spans="1:19" x14ac:dyDescent="0.3">
      <c r="A467" t="s">
        <v>512</v>
      </c>
      <c r="B467" s="13">
        <v>45835</v>
      </c>
      <c r="C467" s="25">
        <f t="shared" si="36"/>
        <v>45809</v>
      </c>
      <c r="D467" t="s">
        <v>24</v>
      </c>
      <c r="E467" t="s">
        <v>36</v>
      </c>
      <c r="F467" t="s">
        <v>33</v>
      </c>
      <c r="G467" t="s">
        <v>27</v>
      </c>
      <c r="H467" t="s">
        <v>37</v>
      </c>
      <c r="I467">
        <v>1685</v>
      </c>
      <c r="J467">
        <v>1877</v>
      </c>
      <c r="K467">
        <v>45</v>
      </c>
      <c r="L467">
        <f t="shared" si="37"/>
        <v>1832</v>
      </c>
      <c r="M467">
        <v>39.6</v>
      </c>
      <c r="N467">
        <v>6.1</v>
      </c>
      <c r="O467" s="8">
        <v>115.81</v>
      </c>
      <c r="P467" s="10">
        <f t="shared" si="35"/>
        <v>217375.37</v>
      </c>
      <c r="Q467" s="8">
        <f t="shared" si="38"/>
        <v>5211.45</v>
      </c>
      <c r="R467" t="s">
        <v>21</v>
      </c>
      <c r="S467">
        <f t="shared" si="39"/>
        <v>1877</v>
      </c>
    </row>
    <row r="468" spans="1:19" x14ac:dyDescent="0.3">
      <c r="A468" t="s">
        <v>108</v>
      </c>
      <c r="B468" s="13">
        <v>45982</v>
      </c>
      <c r="C468" s="25">
        <f t="shared" si="36"/>
        <v>45962</v>
      </c>
      <c r="D468" t="s">
        <v>24</v>
      </c>
      <c r="E468" t="s">
        <v>59</v>
      </c>
      <c r="F468" t="s">
        <v>18</v>
      </c>
      <c r="G468" t="s">
        <v>19</v>
      </c>
      <c r="H468" t="s">
        <v>69</v>
      </c>
      <c r="I468">
        <v>1480</v>
      </c>
      <c r="J468">
        <v>1314</v>
      </c>
      <c r="K468">
        <v>44</v>
      </c>
      <c r="L468">
        <f t="shared" si="37"/>
        <v>1270</v>
      </c>
      <c r="M468">
        <v>6.5</v>
      </c>
      <c r="N468">
        <v>8.5</v>
      </c>
      <c r="O468" s="8">
        <v>116.06</v>
      </c>
      <c r="P468" s="10">
        <f t="shared" si="35"/>
        <v>152502.84</v>
      </c>
      <c r="Q468" s="8">
        <f t="shared" si="38"/>
        <v>5106.6400000000003</v>
      </c>
      <c r="R468" t="s">
        <v>21</v>
      </c>
      <c r="S468">
        <f t="shared" si="39"/>
        <v>1314</v>
      </c>
    </row>
    <row r="469" spans="1:19" x14ac:dyDescent="0.3">
      <c r="A469" t="s">
        <v>585</v>
      </c>
      <c r="B469" s="13">
        <v>45771</v>
      </c>
      <c r="C469" s="25">
        <f t="shared" si="36"/>
        <v>45748</v>
      </c>
      <c r="D469" t="s">
        <v>24</v>
      </c>
      <c r="E469" t="s">
        <v>36</v>
      </c>
      <c r="F469" t="s">
        <v>18</v>
      </c>
      <c r="G469" t="s">
        <v>27</v>
      </c>
      <c r="H469" t="s">
        <v>37</v>
      </c>
      <c r="I469">
        <v>1120</v>
      </c>
      <c r="J469">
        <v>1279</v>
      </c>
      <c r="K469">
        <v>37</v>
      </c>
      <c r="L469">
        <f t="shared" si="37"/>
        <v>1242</v>
      </c>
      <c r="M469">
        <v>6.3</v>
      </c>
      <c r="N469">
        <v>7</v>
      </c>
      <c r="O469" s="8">
        <v>116.11</v>
      </c>
      <c r="P469" s="10">
        <f t="shared" si="35"/>
        <v>148504.69</v>
      </c>
      <c r="Q469" s="8">
        <f t="shared" si="38"/>
        <v>4296.07</v>
      </c>
      <c r="R469" t="s">
        <v>21</v>
      </c>
      <c r="S469">
        <f t="shared" si="39"/>
        <v>1279</v>
      </c>
    </row>
    <row r="470" spans="1:19" x14ac:dyDescent="0.3">
      <c r="A470" t="s">
        <v>140</v>
      </c>
      <c r="B470" s="13">
        <v>45729</v>
      </c>
      <c r="C470" s="25">
        <f t="shared" si="36"/>
        <v>45717</v>
      </c>
      <c r="D470" t="s">
        <v>16</v>
      </c>
      <c r="E470" t="s">
        <v>62</v>
      </c>
      <c r="F470" t="s">
        <v>26</v>
      </c>
      <c r="G470" t="s">
        <v>40</v>
      </c>
      <c r="H470" t="s">
        <v>69</v>
      </c>
      <c r="I470">
        <v>1573</v>
      </c>
      <c r="J470">
        <v>1244</v>
      </c>
      <c r="K470">
        <v>30</v>
      </c>
      <c r="L470">
        <f t="shared" si="37"/>
        <v>1214</v>
      </c>
      <c r="M470">
        <v>48.8</v>
      </c>
      <c r="N470">
        <v>7.8</v>
      </c>
      <c r="O470" s="8">
        <v>116.26</v>
      </c>
      <c r="P470" s="10">
        <f t="shared" si="35"/>
        <v>144627.44</v>
      </c>
      <c r="Q470" s="8">
        <f t="shared" si="38"/>
        <v>3487.8</v>
      </c>
      <c r="R470" t="s">
        <v>21</v>
      </c>
      <c r="S470">
        <f t="shared" si="39"/>
        <v>1244</v>
      </c>
    </row>
    <row r="471" spans="1:19" x14ac:dyDescent="0.3">
      <c r="A471" t="s">
        <v>73</v>
      </c>
      <c r="B471" s="13">
        <v>45704</v>
      </c>
      <c r="C471" s="25">
        <f t="shared" si="36"/>
        <v>45689</v>
      </c>
      <c r="D471" t="s">
        <v>16</v>
      </c>
      <c r="E471" t="s">
        <v>25</v>
      </c>
      <c r="F471" t="s">
        <v>18</v>
      </c>
      <c r="G471" t="s">
        <v>40</v>
      </c>
      <c r="H471" t="s">
        <v>75</v>
      </c>
      <c r="I471">
        <v>1667</v>
      </c>
      <c r="J471">
        <v>1727</v>
      </c>
      <c r="K471">
        <v>18</v>
      </c>
      <c r="L471">
        <f t="shared" si="37"/>
        <v>1709</v>
      </c>
      <c r="M471">
        <v>38.799999999999997</v>
      </c>
      <c r="N471">
        <v>6.4</v>
      </c>
      <c r="O471" s="8">
        <v>116.65</v>
      </c>
      <c r="P471" s="10">
        <f t="shared" si="35"/>
        <v>201454.55000000002</v>
      </c>
      <c r="Q471" s="8">
        <f t="shared" si="38"/>
        <v>2099.7000000000003</v>
      </c>
      <c r="R471" t="s">
        <v>29</v>
      </c>
      <c r="S471">
        <f t="shared" si="39"/>
        <v>1727</v>
      </c>
    </row>
    <row r="472" spans="1:19" x14ac:dyDescent="0.3">
      <c r="A472" t="s">
        <v>251</v>
      </c>
      <c r="B472" s="13">
        <v>45825</v>
      </c>
      <c r="C472" s="25">
        <f t="shared" si="36"/>
        <v>45809</v>
      </c>
      <c r="D472" t="s">
        <v>32</v>
      </c>
      <c r="E472" t="s">
        <v>17</v>
      </c>
      <c r="F472" t="s">
        <v>26</v>
      </c>
      <c r="G472" t="s">
        <v>40</v>
      </c>
      <c r="H472" t="s">
        <v>28</v>
      </c>
      <c r="I472">
        <v>1412</v>
      </c>
      <c r="J472">
        <v>1302</v>
      </c>
      <c r="K472">
        <v>17</v>
      </c>
      <c r="L472">
        <f t="shared" si="37"/>
        <v>1285</v>
      </c>
      <c r="M472">
        <v>56.9</v>
      </c>
      <c r="N472">
        <v>6.5</v>
      </c>
      <c r="O472" s="8">
        <v>116.83</v>
      </c>
      <c r="P472" s="10">
        <f t="shared" si="35"/>
        <v>152112.66</v>
      </c>
      <c r="Q472" s="8">
        <f t="shared" si="38"/>
        <v>1986.11</v>
      </c>
      <c r="R472" t="s">
        <v>29</v>
      </c>
      <c r="S472">
        <f t="shared" si="39"/>
        <v>1302</v>
      </c>
    </row>
    <row r="473" spans="1:19" x14ac:dyDescent="0.3">
      <c r="A473" t="s">
        <v>710</v>
      </c>
      <c r="B473" s="13">
        <v>45870</v>
      </c>
      <c r="C473" s="25">
        <f t="shared" si="36"/>
        <v>45870</v>
      </c>
      <c r="D473" t="s">
        <v>24</v>
      </c>
      <c r="E473" t="s">
        <v>25</v>
      </c>
      <c r="F473" t="s">
        <v>49</v>
      </c>
      <c r="G473" t="s">
        <v>19</v>
      </c>
      <c r="H473" t="s">
        <v>75</v>
      </c>
      <c r="I473">
        <v>1761</v>
      </c>
      <c r="J473">
        <v>1877</v>
      </c>
      <c r="K473">
        <v>12</v>
      </c>
      <c r="L473">
        <f t="shared" si="37"/>
        <v>1865</v>
      </c>
      <c r="M473">
        <v>25.6</v>
      </c>
      <c r="N473">
        <v>7.6</v>
      </c>
      <c r="O473" s="8">
        <v>117.18</v>
      </c>
      <c r="P473" s="10">
        <f t="shared" si="35"/>
        <v>219946.86000000002</v>
      </c>
      <c r="Q473" s="8">
        <f t="shared" si="38"/>
        <v>1406.16</v>
      </c>
      <c r="R473" t="s">
        <v>29</v>
      </c>
      <c r="S473">
        <f t="shared" si="39"/>
        <v>1877</v>
      </c>
    </row>
    <row r="474" spans="1:19" x14ac:dyDescent="0.3">
      <c r="A474" t="s">
        <v>781</v>
      </c>
      <c r="B474" s="13">
        <v>45697</v>
      </c>
      <c r="C474" s="25">
        <f t="shared" si="36"/>
        <v>45689</v>
      </c>
      <c r="D474" t="s">
        <v>24</v>
      </c>
      <c r="E474" t="s">
        <v>59</v>
      </c>
      <c r="F474" t="s">
        <v>33</v>
      </c>
      <c r="G474" t="s">
        <v>19</v>
      </c>
      <c r="H474" t="s">
        <v>28</v>
      </c>
      <c r="I474">
        <v>1101</v>
      </c>
      <c r="J474">
        <v>894</v>
      </c>
      <c r="K474">
        <v>3</v>
      </c>
      <c r="L474">
        <f t="shared" si="37"/>
        <v>891</v>
      </c>
      <c r="M474">
        <v>19.100000000000001</v>
      </c>
      <c r="N474">
        <v>8.5</v>
      </c>
      <c r="O474" s="8">
        <v>117.35</v>
      </c>
      <c r="P474" s="10">
        <f t="shared" si="35"/>
        <v>104910.9</v>
      </c>
      <c r="Q474" s="8">
        <f t="shared" si="38"/>
        <v>352.04999999999995</v>
      </c>
      <c r="R474" t="s">
        <v>29</v>
      </c>
      <c r="S474">
        <f t="shared" si="39"/>
        <v>894</v>
      </c>
    </row>
    <row r="475" spans="1:19" x14ac:dyDescent="0.3">
      <c r="A475" t="s">
        <v>411</v>
      </c>
      <c r="B475" s="13">
        <v>45757</v>
      </c>
      <c r="C475" s="25">
        <f t="shared" si="36"/>
        <v>45748</v>
      </c>
      <c r="D475" t="s">
        <v>16</v>
      </c>
      <c r="E475" t="s">
        <v>25</v>
      </c>
      <c r="F475" t="s">
        <v>49</v>
      </c>
      <c r="G475" t="s">
        <v>40</v>
      </c>
      <c r="H475" t="s">
        <v>37</v>
      </c>
      <c r="I475">
        <v>1757</v>
      </c>
      <c r="J475">
        <v>1896</v>
      </c>
      <c r="K475">
        <v>58</v>
      </c>
      <c r="L475">
        <f t="shared" si="37"/>
        <v>1838</v>
      </c>
      <c r="M475">
        <v>17</v>
      </c>
      <c r="N475">
        <v>6.7</v>
      </c>
      <c r="O475" s="8">
        <v>118.05</v>
      </c>
      <c r="P475" s="10">
        <f t="shared" si="35"/>
        <v>223822.8</v>
      </c>
      <c r="Q475" s="8">
        <f t="shared" si="38"/>
        <v>6846.9</v>
      </c>
      <c r="R475" t="s">
        <v>21</v>
      </c>
      <c r="S475">
        <f t="shared" si="39"/>
        <v>1896</v>
      </c>
    </row>
    <row r="476" spans="1:19" x14ac:dyDescent="0.3">
      <c r="A476" t="s">
        <v>409</v>
      </c>
      <c r="B476" s="13">
        <v>45822</v>
      </c>
      <c r="C476" s="25">
        <f t="shared" si="36"/>
        <v>45809</v>
      </c>
      <c r="D476" t="s">
        <v>24</v>
      </c>
      <c r="E476" t="s">
        <v>17</v>
      </c>
      <c r="F476" t="s">
        <v>26</v>
      </c>
      <c r="G476" t="s">
        <v>19</v>
      </c>
      <c r="H476" t="s">
        <v>28</v>
      </c>
      <c r="I476">
        <v>962</v>
      </c>
      <c r="J476">
        <v>1045</v>
      </c>
      <c r="K476">
        <v>20</v>
      </c>
      <c r="L476">
        <f t="shared" si="37"/>
        <v>1025</v>
      </c>
      <c r="M476">
        <v>48.8</v>
      </c>
      <c r="N476">
        <v>6.5</v>
      </c>
      <c r="O476" s="8">
        <v>118.99</v>
      </c>
      <c r="P476" s="10">
        <f t="shared" si="35"/>
        <v>124344.54999999999</v>
      </c>
      <c r="Q476" s="8">
        <f t="shared" si="38"/>
        <v>2379.7999999999997</v>
      </c>
      <c r="R476" t="s">
        <v>29</v>
      </c>
      <c r="S476">
        <f t="shared" si="39"/>
        <v>1045</v>
      </c>
    </row>
    <row r="477" spans="1:19" x14ac:dyDescent="0.3">
      <c r="A477" t="s">
        <v>915</v>
      </c>
      <c r="B477" s="13">
        <v>45676</v>
      </c>
      <c r="C477" s="25">
        <f t="shared" si="36"/>
        <v>45658</v>
      </c>
      <c r="D477" t="s">
        <v>32</v>
      </c>
      <c r="E477" t="s">
        <v>59</v>
      </c>
      <c r="F477" t="s">
        <v>26</v>
      </c>
      <c r="G477" t="s">
        <v>27</v>
      </c>
      <c r="H477" t="s">
        <v>75</v>
      </c>
      <c r="I477">
        <v>1227</v>
      </c>
      <c r="J477">
        <v>1189</v>
      </c>
      <c r="K477">
        <v>36</v>
      </c>
      <c r="L477">
        <f t="shared" si="37"/>
        <v>1153</v>
      </c>
      <c r="M477">
        <v>28.4</v>
      </c>
      <c r="N477">
        <v>7.8</v>
      </c>
      <c r="O477" s="8">
        <v>119.05</v>
      </c>
      <c r="P477" s="10">
        <f t="shared" si="35"/>
        <v>141550.44999999998</v>
      </c>
      <c r="Q477" s="8">
        <f t="shared" si="38"/>
        <v>4285.8</v>
      </c>
      <c r="R477" t="s">
        <v>21</v>
      </c>
      <c r="S477">
        <f t="shared" si="39"/>
        <v>1189</v>
      </c>
    </row>
    <row r="478" spans="1:19" x14ac:dyDescent="0.3">
      <c r="A478" t="s">
        <v>354</v>
      </c>
      <c r="B478" s="13">
        <v>45826</v>
      </c>
      <c r="C478" s="25">
        <f t="shared" si="36"/>
        <v>45809</v>
      </c>
      <c r="D478" t="s">
        <v>16</v>
      </c>
      <c r="E478" t="s">
        <v>36</v>
      </c>
      <c r="F478" t="s">
        <v>43</v>
      </c>
      <c r="G478" t="s">
        <v>19</v>
      </c>
      <c r="H478" t="s">
        <v>44</v>
      </c>
      <c r="I478">
        <v>1730</v>
      </c>
      <c r="J478">
        <v>1780</v>
      </c>
      <c r="K478">
        <v>40</v>
      </c>
      <c r="L478">
        <f t="shared" si="37"/>
        <v>1740</v>
      </c>
      <c r="M478">
        <v>39.6</v>
      </c>
      <c r="N478">
        <v>6.5</v>
      </c>
      <c r="O478" s="8">
        <v>119.67</v>
      </c>
      <c r="P478" s="10">
        <f t="shared" si="35"/>
        <v>213012.6</v>
      </c>
      <c r="Q478" s="8">
        <f t="shared" si="38"/>
        <v>4786.8</v>
      </c>
      <c r="R478" t="s">
        <v>21</v>
      </c>
      <c r="S478">
        <f t="shared" si="39"/>
        <v>1780</v>
      </c>
    </row>
    <row r="479" spans="1:19" x14ac:dyDescent="0.3">
      <c r="A479" t="s">
        <v>757</v>
      </c>
      <c r="B479" s="13">
        <v>45696</v>
      </c>
      <c r="C479" s="25">
        <f t="shared" si="36"/>
        <v>45689</v>
      </c>
      <c r="D479" t="s">
        <v>32</v>
      </c>
      <c r="E479" t="s">
        <v>17</v>
      </c>
      <c r="F479" t="s">
        <v>49</v>
      </c>
      <c r="G479" t="s">
        <v>27</v>
      </c>
      <c r="H479" t="s">
        <v>37</v>
      </c>
      <c r="I479">
        <v>1731</v>
      </c>
      <c r="J479">
        <v>1514</v>
      </c>
      <c r="K479">
        <v>25</v>
      </c>
      <c r="L479">
        <f t="shared" si="37"/>
        <v>1489</v>
      </c>
      <c r="M479">
        <v>39.700000000000003</v>
      </c>
      <c r="N479">
        <v>7.8</v>
      </c>
      <c r="O479" s="8">
        <v>119.77</v>
      </c>
      <c r="P479" s="10">
        <f t="shared" si="35"/>
        <v>181331.78</v>
      </c>
      <c r="Q479" s="8">
        <f t="shared" si="38"/>
        <v>2994.25</v>
      </c>
      <c r="R479" t="s">
        <v>29</v>
      </c>
      <c r="S479">
        <f t="shared" si="39"/>
        <v>1514</v>
      </c>
    </row>
    <row r="480" spans="1:19" x14ac:dyDescent="0.3">
      <c r="A480" t="s">
        <v>927</v>
      </c>
      <c r="B480" s="13">
        <v>45950</v>
      </c>
      <c r="C480" s="25">
        <f t="shared" si="36"/>
        <v>45931</v>
      </c>
      <c r="D480" t="s">
        <v>24</v>
      </c>
      <c r="E480" t="s">
        <v>36</v>
      </c>
      <c r="F480" t="s">
        <v>33</v>
      </c>
      <c r="G480" t="s">
        <v>27</v>
      </c>
      <c r="H480" t="s">
        <v>20</v>
      </c>
      <c r="I480">
        <v>1448</v>
      </c>
      <c r="J480">
        <v>1538</v>
      </c>
      <c r="K480">
        <v>28</v>
      </c>
      <c r="L480">
        <f t="shared" si="37"/>
        <v>1510</v>
      </c>
      <c r="M480">
        <v>31.7</v>
      </c>
      <c r="N480">
        <v>8.3000000000000007</v>
      </c>
      <c r="O480" s="8">
        <v>120.47</v>
      </c>
      <c r="P480" s="10">
        <f t="shared" si="35"/>
        <v>185282.86</v>
      </c>
      <c r="Q480" s="8">
        <f t="shared" si="38"/>
        <v>3373.16</v>
      </c>
      <c r="R480" t="s">
        <v>29</v>
      </c>
      <c r="S480">
        <f t="shared" si="39"/>
        <v>1538</v>
      </c>
    </row>
    <row r="481" spans="1:19" x14ac:dyDescent="0.3">
      <c r="A481" t="s">
        <v>632</v>
      </c>
      <c r="B481" s="13">
        <v>45847</v>
      </c>
      <c r="C481" s="25">
        <f t="shared" si="36"/>
        <v>45839</v>
      </c>
      <c r="D481" t="s">
        <v>32</v>
      </c>
      <c r="E481" t="s">
        <v>59</v>
      </c>
      <c r="F481" t="s">
        <v>18</v>
      </c>
      <c r="G481" t="s">
        <v>19</v>
      </c>
      <c r="H481" t="s">
        <v>20</v>
      </c>
      <c r="I481">
        <v>1119</v>
      </c>
      <c r="J481">
        <v>1050</v>
      </c>
      <c r="K481">
        <v>21</v>
      </c>
      <c r="L481">
        <f t="shared" si="37"/>
        <v>1029</v>
      </c>
      <c r="M481">
        <v>53.4</v>
      </c>
      <c r="N481">
        <v>7</v>
      </c>
      <c r="O481" s="8">
        <v>121.16</v>
      </c>
      <c r="P481" s="10">
        <f t="shared" si="35"/>
        <v>127218</v>
      </c>
      <c r="Q481" s="8">
        <f t="shared" si="38"/>
        <v>2544.36</v>
      </c>
      <c r="R481" t="s">
        <v>21</v>
      </c>
      <c r="S481">
        <f t="shared" si="39"/>
        <v>1050</v>
      </c>
    </row>
    <row r="482" spans="1:19" x14ac:dyDescent="0.3">
      <c r="A482" t="s">
        <v>160</v>
      </c>
      <c r="B482" s="13">
        <v>45791</v>
      </c>
      <c r="C482" s="25">
        <f t="shared" si="36"/>
        <v>45778</v>
      </c>
      <c r="D482" t="s">
        <v>16</v>
      </c>
      <c r="E482" t="s">
        <v>17</v>
      </c>
      <c r="F482" t="s">
        <v>49</v>
      </c>
      <c r="G482" t="s">
        <v>19</v>
      </c>
      <c r="H482" t="s">
        <v>82</v>
      </c>
      <c r="I482">
        <v>975</v>
      </c>
      <c r="J482">
        <v>919</v>
      </c>
      <c r="K482">
        <v>32</v>
      </c>
      <c r="L482">
        <f t="shared" si="37"/>
        <v>887</v>
      </c>
      <c r="M482">
        <v>59.3</v>
      </c>
      <c r="N482">
        <v>7.7</v>
      </c>
      <c r="O482" s="8">
        <v>121.46</v>
      </c>
      <c r="P482" s="10">
        <f t="shared" si="35"/>
        <v>111621.73999999999</v>
      </c>
      <c r="Q482" s="8">
        <f t="shared" si="38"/>
        <v>3886.72</v>
      </c>
      <c r="R482" t="s">
        <v>21</v>
      </c>
      <c r="S482">
        <f t="shared" si="39"/>
        <v>919</v>
      </c>
    </row>
    <row r="483" spans="1:19" x14ac:dyDescent="0.3">
      <c r="A483" t="s">
        <v>625</v>
      </c>
      <c r="B483" s="13">
        <v>45983</v>
      </c>
      <c r="C483" s="25">
        <f t="shared" si="36"/>
        <v>45962</v>
      </c>
      <c r="D483" t="s">
        <v>16</v>
      </c>
      <c r="E483" t="s">
        <v>25</v>
      </c>
      <c r="F483" t="s">
        <v>49</v>
      </c>
      <c r="G483" t="s">
        <v>27</v>
      </c>
      <c r="H483" t="s">
        <v>72</v>
      </c>
      <c r="I483">
        <v>1587</v>
      </c>
      <c r="J483">
        <v>1461</v>
      </c>
      <c r="K483">
        <v>27</v>
      </c>
      <c r="L483">
        <f t="shared" si="37"/>
        <v>1434</v>
      </c>
      <c r="M483">
        <v>3.8</v>
      </c>
      <c r="N483">
        <v>7.2</v>
      </c>
      <c r="O483" s="8">
        <v>121.87</v>
      </c>
      <c r="P483" s="10">
        <f t="shared" si="35"/>
        <v>178052.07</v>
      </c>
      <c r="Q483" s="8">
        <f t="shared" si="38"/>
        <v>3290.4900000000002</v>
      </c>
      <c r="R483" t="s">
        <v>29</v>
      </c>
      <c r="S483">
        <f t="shared" si="39"/>
        <v>1461</v>
      </c>
    </row>
    <row r="484" spans="1:19" x14ac:dyDescent="0.3">
      <c r="A484" t="s">
        <v>804</v>
      </c>
      <c r="B484" s="13">
        <v>45794</v>
      </c>
      <c r="C484" s="25">
        <f t="shared" si="36"/>
        <v>45778</v>
      </c>
      <c r="D484" t="s">
        <v>32</v>
      </c>
      <c r="E484" t="s">
        <v>17</v>
      </c>
      <c r="F484" t="s">
        <v>26</v>
      </c>
      <c r="G484" t="s">
        <v>19</v>
      </c>
      <c r="H484" t="s">
        <v>82</v>
      </c>
      <c r="I484">
        <v>1771</v>
      </c>
      <c r="J484">
        <v>1658</v>
      </c>
      <c r="K484">
        <v>22</v>
      </c>
      <c r="L484">
        <f t="shared" si="37"/>
        <v>1636</v>
      </c>
      <c r="M484">
        <v>9.5</v>
      </c>
      <c r="N484">
        <v>7</v>
      </c>
      <c r="O484" s="8">
        <v>122.15</v>
      </c>
      <c r="P484" s="10">
        <f t="shared" si="35"/>
        <v>202524.7</v>
      </c>
      <c r="Q484" s="8">
        <f t="shared" si="38"/>
        <v>2687.3</v>
      </c>
      <c r="R484" t="s">
        <v>29</v>
      </c>
      <c r="S484">
        <f t="shared" si="39"/>
        <v>1658</v>
      </c>
    </row>
    <row r="485" spans="1:19" x14ac:dyDescent="0.3">
      <c r="A485" t="s">
        <v>776</v>
      </c>
      <c r="B485" s="13">
        <v>45944</v>
      </c>
      <c r="C485" s="25">
        <f t="shared" si="36"/>
        <v>45931</v>
      </c>
      <c r="D485" t="s">
        <v>32</v>
      </c>
      <c r="E485" t="s">
        <v>36</v>
      </c>
      <c r="F485" t="s">
        <v>26</v>
      </c>
      <c r="G485" t="s">
        <v>27</v>
      </c>
      <c r="H485" t="s">
        <v>82</v>
      </c>
      <c r="I485">
        <v>1566</v>
      </c>
      <c r="J485">
        <v>1531</v>
      </c>
      <c r="K485">
        <v>47</v>
      </c>
      <c r="L485">
        <f t="shared" si="37"/>
        <v>1484</v>
      </c>
      <c r="M485">
        <v>48.9</v>
      </c>
      <c r="N485">
        <v>8.3000000000000007</v>
      </c>
      <c r="O485" s="8">
        <v>122.34</v>
      </c>
      <c r="P485" s="10">
        <f t="shared" si="35"/>
        <v>187302.54</v>
      </c>
      <c r="Q485" s="8">
        <f t="shared" si="38"/>
        <v>5749.9800000000005</v>
      </c>
      <c r="R485" t="s">
        <v>21</v>
      </c>
      <c r="S485">
        <f t="shared" si="39"/>
        <v>1531</v>
      </c>
    </row>
    <row r="486" spans="1:19" x14ac:dyDescent="0.3">
      <c r="A486" t="s">
        <v>780</v>
      </c>
      <c r="B486" s="13">
        <v>45900</v>
      </c>
      <c r="C486" s="25">
        <f t="shared" si="36"/>
        <v>45870</v>
      </c>
      <c r="D486" t="s">
        <v>32</v>
      </c>
      <c r="E486" t="s">
        <v>62</v>
      </c>
      <c r="F486" t="s">
        <v>33</v>
      </c>
      <c r="G486" t="s">
        <v>27</v>
      </c>
      <c r="H486" t="s">
        <v>69</v>
      </c>
      <c r="I486">
        <v>1670</v>
      </c>
      <c r="J486">
        <v>1608</v>
      </c>
      <c r="K486">
        <v>43</v>
      </c>
      <c r="L486">
        <f t="shared" si="37"/>
        <v>1565</v>
      </c>
      <c r="M486">
        <v>25.3</v>
      </c>
      <c r="N486">
        <v>6.8</v>
      </c>
      <c r="O486" s="8">
        <v>122.35</v>
      </c>
      <c r="P486" s="10">
        <f t="shared" si="35"/>
        <v>196738.8</v>
      </c>
      <c r="Q486" s="8">
        <f t="shared" si="38"/>
        <v>5261.05</v>
      </c>
      <c r="R486" t="s">
        <v>21</v>
      </c>
      <c r="S486">
        <f t="shared" si="39"/>
        <v>1608</v>
      </c>
    </row>
    <row r="487" spans="1:19" x14ac:dyDescent="0.3">
      <c r="A487" t="s">
        <v>690</v>
      </c>
      <c r="B487" s="13">
        <v>45663</v>
      </c>
      <c r="C487" s="25">
        <f t="shared" si="36"/>
        <v>45658</v>
      </c>
      <c r="D487" t="s">
        <v>32</v>
      </c>
      <c r="E487" t="s">
        <v>59</v>
      </c>
      <c r="F487" t="s">
        <v>49</v>
      </c>
      <c r="G487" t="s">
        <v>27</v>
      </c>
      <c r="H487" t="s">
        <v>75</v>
      </c>
      <c r="I487">
        <v>1663</v>
      </c>
      <c r="J487">
        <v>1748</v>
      </c>
      <c r="K487">
        <v>39</v>
      </c>
      <c r="L487">
        <f t="shared" si="37"/>
        <v>1709</v>
      </c>
      <c r="M487">
        <v>16.600000000000001</v>
      </c>
      <c r="N487">
        <v>8</v>
      </c>
      <c r="O487" s="8">
        <v>122.38</v>
      </c>
      <c r="P487" s="10">
        <f t="shared" si="35"/>
        <v>213920.24</v>
      </c>
      <c r="Q487" s="8">
        <f t="shared" si="38"/>
        <v>4772.82</v>
      </c>
      <c r="R487" t="s">
        <v>21</v>
      </c>
      <c r="S487">
        <f t="shared" si="39"/>
        <v>1748</v>
      </c>
    </row>
    <row r="488" spans="1:19" x14ac:dyDescent="0.3">
      <c r="A488" t="s">
        <v>617</v>
      </c>
      <c r="B488" s="13">
        <v>46020</v>
      </c>
      <c r="C488" s="25">
        <f t="shared" si="36"/>
        <v>45992</v>
      </c>
      <c r="D488" t="s">
        <v>24</v>
      </c>
      <c r="E488" t="s">
        <v>59</v>
      </c>
      <c r="F488" t="s">
        <v>33</v>
      </c>
      <c r="G488" t="s">
        <v>27</v>
      </c>
      <c r="H488" t="s">
        <v>44</v>
      </c>
      <c r="I488">
        <v>1316</v>
      </c>
      <c r="J488">
        <v>1253</v>
      </c>
      <c r="K488">
        <v>22</v>
      </c>
      <c r="L488">
        <f t="shared" si="37"/>
        <v>1231</v>
      </c>
      <c r="M488">
        <v>43.5</v>
      </c>
      <c r="N488">
        <v>6.5</v>
      </c>
      <c r="O488" s="8">
        <v>122.51</v>
      </c>
      <c r="P488" s="10">
        <f t="shared" si="35"/>
        <v>153505.03</v>
      </c>
      <c r="Q488" s="8">
        <f t="shared" si="38"/>
        <v>2695.2200000000003</v>
      </c>
      <c r="R488" t="s">
        <v>29</v>
      </c>
      <c r="S488">
        <f t="shared" si="39"/>
        <v>1253</v>
      </c>
    </row>
    <row r="489" spans="1:19" x14ac:dyDescent="0.3">
      <c r="A489" t="s">
        <v>722</v>
      </c>
      <c r="B489" s="13">
        <v>45959</v>
      </c>
      <c r="C489" s="25">
        <f t="shared" si="36"/>
        <v>45931</v>
      </c>
      <c r="D489" t="s">
        <v>24</v>
      </c>
      <c r="E489" t="s">
        <v>59</v>
      </c>
      <c r="F489" t="s">
        <v>33</v>
      </c>
      <c r="G489" t="s">
        <v>40</v>
      </c>
      <c r="H489" t="s">
        <v>72</v>
      </c>
      <c r="I489">
        <v>778</v>
      </c>
      <c r="J489">
        <v>747</v>
      </c>
      <c r="K489">
        <v>26</v>
      </c>
      <c r="L489">
        <f t="shared" si="37"/>
        <v>721</v>
      </c>
      <c r="M489">
        <v>39.6</v>
      </c>
      <c r="N489">
        <v>6.2</v>
      </c>
      <c r="O489" s="8">
        <v>123.03</v>
      </c>
      <c r="P489" s="10">
        <f t="shared" si="35"/>
        <v>91903.41</v>
      </c>
      <c r="Q489" s="8">
        <f t="shared" si="38"/>
        <v>3198.78</v>
      </c>
      <c r="R489" t="s">
        <v>21</v>
      </c>
      <c r="S489">
        <f t="shared" si="39"/>
        <v>747</v>
      </c>
    </row>
    <row r="490" spans="1:19" x14ac:dyDescent="0.3">
      <c r="A490" t="s">
        <v>582</v>
      </c>
      <c r="B490" s="13">
        <v>45860</v>
      </c>
      <c r="C490" s="25">
        <f t="shared" si="36"/>
        <v>45839</v>
      </c>
      <c r="D490" t="s">
        <v>32</v>
      </c>
      <c r="E490" t="s">
        <v>25</v>
      </c>
      <c r="F490" t="s">
        <v>33</v>
      </c>
      <c r="G490" t="s">
        <v>40</v>
      </c>
      <c r="H490" t="s">
        <v>82</v>
      </c>
      <c r="I490">
        <v>1406</v>
      </c>
      <c r="J490">
        <v>1274</v>
      </c>
      <c r="K490">
        <v>12</v>
      </c>
      <c r="L490">
        <f t="shared" si="37"/>
        <v>1262</v>
      </c>
      <c r="M490">
        <v>13.7</v>
      </c>
      <c r="N490">
        <v>7.8</v>
      </c>
      <c r="O490" s="8">
        <v>123.08</v>
      </c>
      <c r="P490" s="10">
        <f t="shared" si="35"/>
        <v>156803.91999999998</v>
      </c>
      <c r="Q490" s="8">
        <f t="shared" si="38"/>
        <v>1476.96</v>
      </c>
      <c r="R490" t="s">
        <v>29</v>
      </c>
      <c r="S490">
        <f t="shared" si="39"/>
        <v>1274</v>
      </c>
    </row>
    <row r="491" spans="1:19" x14ac:dyDescent="0.3">
      <c r="A491" t="s">
        <v>559</v>
      </c>
      <c r="B491" s="13">
        <v>45760</v>
      </c>
      <c r="C491" s="25">
        <f t="shared" si="36"/>
        <v>45748</v>
      </c>
      <c r="D491" t="s">
        <v>16</v>
      </c>
      <c r="E491" t="s">
        <v>17</v>
      </c>
      <c r="F491" t="s">
        <v>33</v>
      </c>
      <c r="G491" t="s">
        <v>40</v>
      </c>
      <c r="H491" t="str">
        <f>"Not Found"</f>
        <v>Not Found</v>
      </c>
      <c r="I491">
        <v>797</v>
      </c>
      <c r="J491">
        <v>725</v>
      </c>
      <c r="K491">
        <v>25</v>
      </c>
      <c r="L491">
        <f t="shared" si="37"/>
        <v>700</v>
      </c>
      <c r="M491">
        <v>116.2</v>
      </c>
      <c r="N491">
        <v>6.4</v>
      </c>
      <c r="O491" s="8">
        <v>123.5</v>
      </c>
      <c r="P491" s="10">
        <f t="shared" si="35"/>
        <v>89537.5</v>
      </c>
      <c r="Q491" s="8">
        <f t="shared" si="38"/>
        <v>3087.5</v>
      </c>
      <c r="R491" t="s">
        <v>21</v>
      </c>
      <c r="S491">
        <f t="shared" si="39"/>
        <v>725</v>
      </c>
    </row>
    <row r="492" spans="1:19" x14ac:dyDescent="0.3">
      <c r="A492" t="s">
        <v>556</v>
      </c>
      <c r="B492" s="13">
        <v>45903</v>
      </c>
      <c r="C492" s="25">
        <f t="shared" si="36"/>
        <v>45901</v>
      </c>
      <c r="D492" t="s">
        <v>32</v>
      </c>
      <c r="E492" t="s">
        <v>25</v>
      </c>
      <c r="F492" t="s">
        <v>26</v>
      </c>
      <c r="G492" t="s">
        <v>40</v>
      </c>
      <c r="H492" t="s">
        <v>69</v>
      </c>
      <c r="I492">
        <v>1459</v>
      </c>
      <c r="J492">
        <v>1576</v>
      </c>
      <c r="K492">
        <v>8</v>
      </c>
      <c r="L492">
        <f t="shared" si="37"/>
        <v>1568</v>
      </c>
      <c r="M492">
        <v>22.2</v>
      </c>
      <c r="N492">
        <v>8.1999999999999993</v>
      </c>
      <c r="O492" s="8">
        <v>124.11</v>
      </c>
      <c r="P492" s="10">
        <f t="shared" si="35"/>
        <v>195597.36</v>
      </c>
      <c r="Q492" s="8">
        <f t="shared" si="38"/>
        <v>992.88</v>
      </c>
      <c r="R492" t="s">
        <v>29</v>
      </c>
      <c r="S492">
        <f t="shared" si="39"/>
        <v>1576</v>
      </c>
    </row>
    <row r="493" spans="1:19" x14ac:dyDescent="0.3">
      <c r="A493" t="s">
        <v>510</v>
      </c>
      <c r="B493" s="13">
        <v>45688</v>
      </c>
      <c r="C493" s="25">
        <f t="shared" si="36"/>
        <v>45658</v>
      </c>
      <c r="D493" t="s">
        <v>16</v>
      </c>
      <c r="E493" t="s">
        <v>17</v>
      </c>
      <c r="F493" t="s">
        <v>26</v>
      </c>
      <c r="G493" t="s">
        <v>27</v>
      </c>
      <c r="H493" t="s">
        <v>72</v>
      </c>
      <c r="I493">
        <v>1061</v>
      </c>
      <c r="J493">
        <v>1008</v>
      </c>
      <c r="K493">
        <v>27</v>
      </c>
      <c r="L493">
        <f t="shared" si="37"/>
        <v>981</v>
      </c>
      <c r="M493">
        <v>21.3</v>
      </c>
      <c r="N493">
        <v>7.9</v>
      </c>
      <c r="O493" s="8">
        <v>125.22</v>
      </c>
      <c r="P493" s="10">
        <f t="shared" si="35"/>
        <v>126221.75999999999</v>
      </c>
      <c r="Q493" s="8">
        <f t="shared" si="38"/>
        <v>3380.94</v>
      </c>
      <c r="R493" t="s">
        <v>21</v>
      </c>
      <c r="S493">
        <f t="shared" si="39"/>
        <v>1008</v>
      </c>
    </row>
    <row r="494" spans="1:19" x14ac:dyDescent="0.3">
      <c r="A494" t="s">
        <v>226</v>
      </c>
      <c r="B494" s="13">
        <v>45907</v>
      </c>
      <c r="C494" s="25">
        <f t="shared" si="36"/>
        <v>45901</v>
      </c>
      <c r="D494" t="s">
        <v>24</v>
      </c>
      <c r="E494" t="s">
        <v>25</v>
      </c>
      <c r="F494" t="s">
        <v>43</v>
      </c>
      <c r="G494" t="s">
        <v>40</v>
      </c>
      <c r="H494" t="s">
        <v>82</v>
      </c>
      <c r="I494">
        <v>1509</v>
      </c>
      <c r="J494">
        <v>1354</v>
      </c>
      <c r="K494">
        <v>8</v>
      </c>
      <c r="L494">
        <f t="shared" si="37"/>
        <v>1346</v>
      </c>
      <c r="M494">
        <v>124.2</v>
      </c>
      <c r="N494">
        <v>6.7</v>
      </c>
      <c r="O494" s="8">
        <v>125.5</v>
      </c>
      <c r="P494" s="10">
        <f t="shared" si="35"/>
        <v>169927</v>
      </c>
      <c r="Q494" s="8">
        <f t="shared" si="38"/>
        <v>1004</v>
      </c>
      <c r="R494" t="s">
        <v>29</v>
      </c>
      <c r="S494">
        <f t="shared" si="39"/>
        <v>1354</v>
      </c>
    </row>
    <row r="495" spans="1:19" x14ac:dyDescent="0.3">
      <c r="A495" t="s">
        <v>563</v>
      </c>
      <c r="B495" s="13">
        <v>45924</v>
      </c>
      <c r="C495" s="25">
        <f t="shared" si="36"/>
        <v>45901</v>
      </c>
      <c r="D495" t="s">
        <v>24</v>
      </c>
      <c r="E495" t="s">
        <v>36</v>
      </c>
      <c r="F495" t="s">
        <v>43</v>
      </c>
      <c r="G495" t="s">
        <v>27</v>
      </c>
      <c r="H495" t="s">
        <v>37</v>
      </c>
      <c r="I495">
        <v>1652</v>
      </c>
      <c r="J495">
        <v>1671</v>
      </c>
      <c r="K495">
        <v>12</v>
      </c>
      <c r="L495">
        <f t="shared" si="37"/>
        <v>1659</v>
      </c>
      <c r="M495">
        <v>1.9</v>
      </c>
      <c r="N495">
        <v>7.7</v>
      </c>
      <c r="O495" s="8">
        <v>125.65</v>
      </c>
      <c r="P495" s="10">
        <f t="shared" si="35"/>
        <v>209961.15000000002</v>
      </c>
      <c r="Q495" s="8">
        <f t="shared" si="38"/>
        <v>1507.8000000000002</v>
      </c>
      <c r="R495" t="s">
        <v>29</v>
      </c>
      <c r="S495">
        <f t="shared" si="39"/>
        <v>1671</v>
      </c>
    </row>
    <row r="496" spans="1:19" x14ac:dyDescent="0.3">
      <c r="A496" t="s">
        <v>898</v>
      </c>
      <c r="B496" s="13">
        <v>46004</v>
      </c>
      <c r="C496" s="25">
        <f t="shared" si="36"/>
        <v>45992</v>
      </c>
      <c r="D496" t="s">
        <v>32</v>
      </c>
      <c r="E496" t="s">
        <v>17</v>
      </c>
      <c r="F496" t="s">
        <v>49</v>
      </c>
      <c r="G496" t="s">
        <v>40</v>
      </c>
      <c r="H496" t="s">
        <v>28</v>
      </c>
      <c r="I496">
        <v>1076</v>
      </c>
      <c r="J496">
        <v>1139</v>
      </c>
      <c r="K496">
        <v>19</v>
      </c>
      <c r="L496">
        <f t="shared" si="37"/>
        <v>1120</v>
      </c>
      <c r="M496">
        <v>66.2</v>
      </c>
      <c r="N496">
        <v>8.1</v>
      </c>
      <c r="O496" s="8">
        <v>125.91</v>
      </c>
      <c r="P496" s="10">
        <f t="shared" si="35"/>
        <v>143411.49</v>
      </c>
      <c r="Q496" s="8">
        <f t="shared" si="38"/>
        <v>2392.29</v>
      </c>
      <c r="R496" t="s">
        <v>29</v>
      </c>
      <c r="S496">
        <f t="shared" si="39"/>
        <v>1139</v>
      </c>
    </row>
    <row r="497" spans="1:19" x14ac:dyDescent="0.3">
      <c r="A497" t="s">
        <v>402</v>
      </c>
      <c r="B497" s="13">
        <v>45754</v>
      </c>
      <c r="C497" s="25">
        <f t="shared" si="36"/>
        <v>45748</v>
      </c>
      <c r="D497" t="s">
        <v>16</v>
      </c>
      <c r="E497" t="s">
        <v>36</v>
      </c>
      <c r="F497" t="s">
        <v>43</v>
      </c>
      <c r="G497" t="s">
        <v>40</v>
      </c>
      <c r="H497" t="s">
        <v>37</v>
      </c>
      <c r="I497">
        <v>981</v>
      </c>
      <c r="J497">
        <v>998</v>
      </c>
      <c r="K497">
        <v>9</v>
      </c>
      <c r="L497">
        <f t="shared" si="37"/>
        <v>989</v>
      </c>
      <c r="M497">
        <v>33.5</v>
      </c>
      <c r="N497">
        <v>8.3000000000000007</v>
      </c>
      <c r="O497" s="8">
        <v>126.08</v>
      </c>
      <c r="P497" s="10">
        <f t="shared" si="35"/>
        <v>125827.84</v>
      </c>
      <c r="Q497" s="8">
        <f t="shared" si="38"/>
        <v>1134.72</v>
      </c>
      <c r="R497" t="s">
        <v>29</v>
      </c>
      <c r="S497">
        <f t="shared" si="39"/>
        <v>998</v>
      </c>
    </row>
    <row r="498" spans="1:19" x14ac:dyDescent="0.3">
      <c r="A498" t="s">
        <v>831</v>
      </c>
      <c r="B498" s="13">
        <v>45831</v>
      </c>
      <c r="C498" s="25">
        <f t="shared" si="36"/>
        <v>45809</v>
      </c>
      <c r="D498" t="s">
        <v>16</v>
      </c>
      <c r="E498" t="s">
        <v>25</v>
      </c>
      <c r="F498" t="s">
        <v>26</v>
      </c>
      <c r="G498" t="s">
        <v>27</v>
      </c>
      <c r="H498" t="s">
        <v>69</v>
      </c>
      <c r="I498">
        <v>1597</v>
      </c>
      <c r="J498">
        <v>1392</v>
      </c>
      <c r="K498">
        <v>48</v>
      </c>
      <c r="L498">
        <f t="shared" si="37"/>
        <v>1344</v>
      </c>
      <c r="M498">
        <v>69.2</v>
      </c>
      <c r="N498">
        <v>7.9</v>
      </c>
      <c r="O498" s="8">
        <v>126.23</v>
      </c>
      <c r="P498" s="10">
        <f t="shared" si="35"/>
        <v>175712.16</v>
      </c>
      <c r="Q498" s="8">
        <f t="shared" si="38"/>
        <v>6059.04</v>
      </c>
      <c r="R498" t="s">
        <v>21</v>
      </c>
      <c r="S498">
        <f t="shared" si="39"/>
        <v>1392</v>
      </c>
    </row>
    <row r="499" spans="1:19" x14ac:dyDescent="0.3">
      <c r="A499" t="s">
        <v>304</v>
      </c>
      <c r="B499" s="13">
        <v>45969</v>
      </c>
      <c r="C499" s="25">
        <f t="shared" si="36"/>
        <v>45962</v>
      </c>
      <c r="D499" t="s">
        <v>16</v>
      </c>
      <c r="E499" t="s">
        <v>62</v>
      </c>
      <c r="F499" t="s">
        <v>49</v>
      </c>
      <c r="G499" t="s">
        <v>40</v>
      </c>
      <c r="H499" t="s">
        <v>44</v>
      </c>
      <c r="I499">
        <v>760</v>
      </c>
      <c r="J499">
        <v>528</v>
      </c>
      <c r="K499">
        <v>12</v>
      </c>
      <c r="L499">
        <f t="shared" si="37"/>
        <v>516</v>
      </c>
      <c r="M499">
        <v>7.7</v>
      </c>
      <c r="N499">
        <v>6.3</v>
      </c>
      <c r="O499" s="8">
        <v>126.25</v>
      </c>
      <c r="P499" s="10">
        <f t="shared" si="35"/>
        <v>66660</v>
      </c>
      <c r="Q499" s="8">
        <f t="shared" si="38"/>
        <v>1515</v>
      </c>
      <c r="R499" t="s">
        <v>21</v>
      </c>
      <c r="S499">
        <f t="shared" si="39"/>
        <v>528</v>
      </c>
    </row>
    <row r="500" spans="1:19" x14ac:dyDescent="0.3">
      <c r="A500" t="s">
        <v>364</v>
      </c>
      <c r="B500" s="13">
        <v>45839</v>
      </c>
      <c r="C500" s="25">
        <f t="shared" si="36"/>
        <v>45839</v>
      </c>
      <c r="D500" t="s">
        <v>24</v>
      </c>
      <c r="E500" t="s">
        <v>25</v>
      </c>
      <c r="F500" t="s">
        <v>33</v>
      </c>
      <c r="G500" t="s">
        <v>27</v>
      </c>
      <c r="H500" t="s">
        <v>82</v>
      </c>
      <c r="I500">
        <v>1489</v>
      </c>
      <c r="J500">
        <v>1505</v>
      </c>
      <c r="K500">
        <v>25</v>
      </c>
      <c r="L500">
        <f t="shared" si="37"/>
        <v>1480</v>
      </c>
      <c r="M500">
        <v>29.5</v>
      </c>
      <c r="N500">
        <v>7.6</v>
      </c>
      <c r="O500" s="8">
        <v>126.74</v>
      </c>
      <c r="P500" s="10">
        <f t="shared" si="35"/>
        <v>190743.69999999998</v>
      </c>
      <c r="Q500" s="8">
        <f t="shared" si="38"/>
        <v>3168.5</v>
      </c>
      <c r="R500" t="s">
        <v>29</v>
      </c>
      <c r="S500">
        <f t="shared" si="39"/>
        <v>1505</v>
      </c>
    </row>
    <row r="501" spans="1:19" x14ac:dyDescent="0.3">
      <c r="A501" t="s">
        <v>142</v>
      </c>
      <c r="B501" s="13">
        <v>45790</v>
      </c>
      <c r="C501" s="25">
        <f t="shared" si="36"/>
        <v>45778</v>
      </c>
      <c r="D501" t="s">
        <v>32</v>
      </c>
      <c r="E501" t="s">
        <v>25</v>
      </c>
      <c r="F501" t="s">
        <v>26</v>
      </c>
      <c r="G501" t="s">
        <v>19</v>
      </c>
      <c r="H501" t="s">
        <v>75</v>
      </c>
      <c r="I501">
        <v>708</v>
      </c>
      <c r="J501">
        <v>588</v>
      </c>
      <c r="K501">
        <v>6</v>
      </c>
      <c r="L501">
        <f t="shared" si="37"/>
        <v>582</v>
      </c>
      <c r="M501">
        <v>55.3</v>
      </c>
      <c r="N501">
        <v>7.6</v>
      </c>
      <c r="O501" s="8">
        <v>126.98</v>
      </c>
      <c r="P501" s="10">
        <f t="shared" si="35"/>
        <v>74664.240000000005</v>
      </c>
      <c r="Q501" s="8">
        <f t="shared" si="38"/>
        <v>761.88</v>
      </c>
      <c r="R501" t="s">
        <v>29</v>
      </c>
      <c r="S501">
        <f t="shared" si="39"/>
        <v>588</v>
      </c>
    </row>
    <row r="502" spans="1:19" x14ac:dyDescent="0.3">
      <c r="A502" t="s">
        <v>799</v>
      </c>
      <c r="B502" s="13">
        <v>45878</v>
      </c>
      <c r="C502" s="25">
        <f t="shared" si="36"/>
        <v>45870</v>
      </c>
      <c r="D502" t="s">
        <v>24</v>
      </c>
      <c r="E502" t="s">
        <v>36</v>
      </c>
      <c r="F502" t="s">
        <v>18</v>
      </c>
      <c r="G502" t="s">
        <v>19</v>
      </c>
      <c r="H502" t="s">
        <v>72</v>
      </c>
      <c r="I502">
        <v>870</v>
      </c>
      <c r="J502">
        <v>715</v>
      </c>
      <c r="K502">
        <v>4</v>
      </c>
      <c r="L502">
        <f t="shared" si="37"/>
        <v>711</v>
      </c>
      <c r="M502">
        <v>47.2</v>
      </c>
      <c r="N502">
        <v>8.1</v>
      </c>
      <c r="O502" s="8">
        <v>127.69</v>
      </c>
      <c r="P502" s="10">
        <f t="shared" si="35"/>
        <v>91298.349999999991</v>
      </c>
      <c r="Q502" s="8">
        <f t="shared" si="38"/>
        <v>510.76</v>
      </c>
      <c r="R502" t="s">
        <v>29</v>
      </c>
      <c r="S502">
        <f t="shared" si="39"/>
        <v>715</v>
      </c>
    </row>
    <row r="503" spans="1:19" x14ac:dyDescent="0.3">
      <c r="A503" t="s">
        <v>131</v>
      </c>
      <c r="B503" s="13">
        <v>45820</v>
      </c>
      <c r="C503" s="25">
        <f t="shared" si="36"/>
        <v>45809</v>
      </c>
      <c r="D503" t="s">
        <v>16</v>
      </c>
      <c r="E503" t="s">
        <v>62</v>
      </c>
      <c r="F503" t="s">
        <v>18</v>
      </c>
      <c r="G503" t="s">
        <v>27</v>
      </c>
      <c r="H503" t="s">
        <v>72</v>
      </c>
      <c r="I503">
        <v>1667</v>
      </c>
      <c r="J503">
        <v>1558</v>
      </c>
      <c r="K503">
        <v>52</v>
      </c>
      <c r="L503">
        <f t="shared" si="37"/>
        <v>1506</v>
      </c>
      <c r="M503">
        <v>43</v>
      </c>
      <c r="N503">
        <v>8</v>
      </c>
      <c r="O503" s="8">
        <v>128.08000000000001</v>
      </c>
      <c r="P503" s="10">
        <f t="shared" si="35"/>
        <v>199548.64</v>
      </c>
      <c r="Q503" s="8">
        <f t="shared" si="38"/>
        <v>6660.1600000000008</v>
      </c>
      <c r="R503" t="s">
        <v>21</v>
      </c>
      <c r="S503">
        <f t="shared" si="39"/>
        <v>1558</v>
      </c>
    </row>
    <row r="504" spans="1:19" x14ac:dyDescent="0.3">
      <c r="A504" t="s">
        <v>937</v>
      </c>
      <c r="B504" s="13">
        <v>45887</v>
      </c>
      <c r="C504" s="25">
        <f t="shared" si="36"/>
        <v>45870</v>
      </c>
      <c r="D504" t="s">
        <v>24</v>
      </c>
      <c r="E504" t="s">
        <v>59</v>
      </c>
      <c r="F504" t="s">
        <v>18</v>
      </c>
      <c r="G504" t="s">
        <v>27</v>
      </c>
      <c r="H504" t="s">
        <v>20</v>
      </c>
      <c r="I504">
        <v>1459</v>
      </c>
      <c r="J504">
        <v>1602</v>
      </c>
      <c r="K504">
        <v>13</v>
      </c>
      <c r="L504">
        <f t="shared" si="37"/>
        <v>1589</v>
      </c>
      <c r="M504">
        <v>37.9</v>
      </c>
      <c r="N504">
        <v>7</v>
      </c>
      <c r="O504" s="8">
        <v>128.26</v>
      </c>
      <c r="P504" s="10">
        <f t="shared" si="35"/>
        <v>205472.52</v>
      </c>
      <c r="Q504" s="8">
        <f t="shared" si="38"/>
        <v>1667.3799999999999</v>
      </c>
      <c r="R504" t="s">
        <v>29</v>
      </c>
      <c r="S504">
        <f t="shared" si="39"/>
        <v>1602</v>
      </c>
    </row>
    <row r="505" spans="1:19" x14ac:dyDescent="0.3">
      <c r="A505" t="s">
        <v>540</v>
      </c>
      <c r="B505" s="13">
        <v>45665</v>
      </c>
      <c r="C505" s="25">
        <f t="shared" si="36"/>
        <v>45658</v>
      </c>
      <c r="D505" t="s">
        <v>16</v>
      </c>
      <c r="E505" t="s">
        <v>17</v>
      </c>
      <c r="F505" t="s">
        <v>43</v>
      </c>
      <c r="G505" t="s">
        <v>27</v>
      </c>
      <c r="H505" t="s">
        <v>75</v>
      </c>
      <c r="I505">
        <v>1573</v>
      </c>
      <c r="J505">
        <v>1373</v>
      </c>
      <c r="K505">
        <v>26</v>
      </c>
      <c r="L505">
        <f t="shared" si="37"/>
        <v>1347</v>
      </c>
      <c r="M505">
        <v>32.6</v>
      </c>
      <c r="N505">
        <v>7.8</v>
      </c>
      <c r="O505" s="8">
        <v>128.41</v>
      </c>
      <c r="P505" s="10">
        <f t="shared" si="35"/>
        <v>176306.93</v>
      </c>
      <c r="Q505" s="8">
        <f t="shared" si="38"/>
        <v>3338.66</v>
      </c>
      <c r="R505" t="s">
        <v>29</v>
      </c>
      <c r="S505">
        <f t="shared" si="39"/>
        <v>1373</v>
      </c>
    </row>
    <row r="506" spans="1:19" x14ac:dyDescent="0.3">
      <c r="A506" t="s">
        <v>808</v>
      </c>
      <c r="B506" s="13">
        <v>45699</v>
      </c>
      <c r="C506" s="25">
        <f t="shared" si="36"/>
        <v>45689</v>
      </c>
      <c r="D506" t="s">
        <v>24</v>
      </c>
      <c r="E506" t="s">
        <v>25</v>
      </c>
      <c r="F506" t="s">
        <v>18</v>
      </c>
      <c r="G506" t="s">
        <v>40</v>
      </c>
      <c r="H506" t="s">
        <v>37</v>
      </c>
      <c r="I506">
        <v>1190</v>
      </c>
      <c r="J506">
        <v>1019</v>
      </c>
      <c r="K506">
        <v>4</v>
      </c>
      <c r="L506">
        <f t="shared" si="37"/>
        <v>1015</v>
      </c>
      <c r="M506">
        <v>47.9</v>
      </c>
      <c r="N506">
        <v>8.5</v>
      </c>
      <c r="O506" s="8">
        <v>128.41999999999999</v>
      </c>
      <c r="P506" s="10">
        <f t="shared" si="35"/>
        <v>130859.97999999998</v>
      </c>
      <c r="Q506" s="8">
        <f t="shared" si="38"/>
        <v>513.67999999999995</v>
      </c>
      <c r="R506" t="s">
        <v>29</v>
      </c>
      <c r="S506">
        <f t="shared" si="39"/>
        <v>1019</v>
      </c>
    </row>
    <row r="507" spans="1:19" x14ac:dyDescent="0.3">
      <c r="A507" t="s">
        <v>641</v>
      </c>
      <c r="B507" s="13">
        <v>45794</v>
      </c>
      <c r="C507" s="25">
        <f t="shared" si="36"/>
        <v>45778</v>
      </c>
      <c r="D507" t="s">
        <v>32</v>
      </c>
      <c r="E507" t="s">
        <v>17</v>
      </c>
      <c r="F507" t="s">
        <v>33</v>
      </c>
      <c r="G507" t="s">
        <v>19</v>
      </c>
      <c r="H507" t="s">
        <v>28</v>
      </c>
      <c r="I507">
        <v>1096</v>
      </c>
      <c r="J507">
        <v>842</v>
      </c>
      <c r="K507">
        <v>26</v>
      </c>
      <c r="L507">
        <f t="shared" si="37"/>
        <v>816</v>
      </c>
      <c r="M507">
        <v>8.8000000000000007</v>
      </c>
      <c r="N507">
        <v>8</v>
      </c>
      <c r="O507" s="8">
        <v>128.44999999999999</v>
      </c>
      <c r="P507" s="10">
        <f t="shared" si="35"/>
        <v>108154.9</v>
      </c>
      <c r="Q507" s="8">
        <f t="shared" si="38"/>
        <v>3339.7</v>
      </c>
      <c r="R507" t="s">
        <v>21</v>
      </c>
      <c r="S507">
        <f t="shared" si="39"/>
        <v>842</v>
      </c>
    </row>
    <row r="508" spans="1:19" x14ac:dyDescent="0.3">
      <c r="A508" t="s">
        <v>581</v>
      </c>
      <c r="B508" s="13">
        <v>45709</v>
      </c>
      <c r="C508" s="25">
        <f t="shared" si="36"/>
        <v>45689</v>
      </c>
      <c r="D508" t="s">
        <v>24</v>
      </c>
      <c r="E508" t="s">
        <v>36</v>
      </c>
      <c r="F508" t="s">
        <v>26</v>
      </c>
      <c r="G508" t="s">
        <v>19</v>
      </c>
      <c r="H508" t="s">
        <v>75</v>
      </c>
      <c r="I508">
        <v>908</v>
      </c>
      <c r="J508">
        <v>808</v>
      </c>
      <c r="K508">
        <v>9</v>
      </c>
      <c r="L508">
        <f t="shared" si="37"/>
        <v>799</v>
      </c>
      <c r="M508">
        <v>14.3</v>
      </c>
      <c r="N508">
        <v>7.3</v>
      </c>
      <c r="O508" s="8">
        <v>128.87</v>
      </c>
      <c r="P508" s="10">
        <f t="shared" si="35"/>
        <v>104126.96</v>
      </c>
      <c r="Q508" s="8">
        <f t="shared" si="38"/>
        <v>1159.83</v>
      </c>
      <c r="R508" t="s">
        <v>29</v>
      </c>
      <c r="S508">
        <f t="shared" si="39"/>
        <v>808</v>
      </c>
    </row>
    <row r="509" spans="1:19" x14ac:dyDescent="0.3">
      <c r="A509" t="s">
        <v>227</v>
      </c>
      <c r="B509" s="13">
        <v>45890</v>
      </c>
      <c r="C509" s="25">
        <f t="shared" si="36"/>
        <v>45870</v>
      </c>
      <c r="D509" t="s">
        <v>32</v>
      </c>
      <c r="E509" t="s">
        <v>36</v>
      </c>
      <c r="F509" t="s">
        <v>26</v>
      </c>
      <c r="G509" t="s">
        <v>27</v>
      </c>
      <c r="H509" t="s">
        <v>72</v>
      </c>
      <c r="I509">
        <v>1380</v>
      </c>
      <c r="J509">
        <v>1379</v>
      </c>
      <c r="K509">
        <v>35</v>
      </c>
      <c r="L509">
        <f t="shared" si="37"/>
        <v>1344</v>
      </c>
      <c r="M509">
        <v>49.4</v>
      </c>
      <c r="N509">
        <v>8.1</v>
      </c>
      <c r="O509" s="8">
        <v>129.07</v>
      </c>
      <c r="P509" s="10">
        <f t="shared" si="35"/>
        <v>177987.53</v>
      </c>
      <c r="Q509" s="8">
        <f t="shared" si="38"/>
        <v>4517.45</v>
      </c>
      <c r="R509" t="s">
        <v>21</v>
      </c>
      <c r="S509">
        <f t="shared" si="39"/>
        <v>1379</v>
      </c>
    </row>
    <row r="510" spans="1:19" x14ac:dyDescent="0.3">
      <c r="A510" t="s">
        <v>711</v>
      </c>
      <c r="B510" s="13">
        <v>45810</v>
      </c>
      <c r="C510" s="25">
        <f t="shared" si="36"/>
        <v>45809</v>
      </c>
      <c r="D510" t="s">
        <v>32</v>
      </c>
      <c r="E510" t="s">
        <v>17</v>
      </c>
      <c r="F510" t="s">
        <v>26</v>
      </c>
      <c r="G510" t="s">
        <v>40</v>
      </c>
      <c r="H510" t="s">
        <v>72</v>
      </c>
      <c r="I510">
        <v>1602</v>
      </c>
      <c r="J510">
        <v>1696</v>
      </c>
      <c r="K510">
        <v>34</v>
      </c>
      <c r="L510">
        <f t="shared" si="37"/>
        <v>1662</v>
      </c>
      <c r="M510">
        <v>19.399999999999999</v>
      </c>
      <c r="N510">
        <v>8.3000000000000007</v>
      </c>
      <c r="O510" s="8">
        <v>129.1</v>
      </c>
      <c r="P510" s="10">
        <f t="shared" si="35"/>
        <v>218953.59999999998</v>
      </c>
      <c r="Q510" s="8">
        <f t="shared" si="38"/>
        <v>4389.3999999999996</v>
      </c>
      <c r="R510" t="s">
        <v>21</v>
      </c>
      <c r="S510">
        <f t="shared" si="39"/>
        <v>1696</v>
      </c>
    </row>
    <row r="511" spans="1:19" x14ac:dyDescent="0.3">
      <c r="A511" t="s">
        <v>405</v>
      </c>
      <c r="B511" s="13">
        <v>45753</v>
      </c>
      <c r="C511" s="25">
        <f t="shared" si="36"/>
        <v>45748</v>
      </c>
      <c r="D511" t="s">
        <v>32</v>
      </c>
      <c r="E511" t="s">
        <v>36</v>
      </c>
      <c r="F511" t="s">
        <v>49</v>
      </c>
      <c r="G511" t="s">
        <v>27</v>
      </c>
      <c r="H511" t="s">
        <v>75</v>
      </c>
      <c r="I511">
        <v>1291</v>
      </c>
      <c r="J511">
        <v>1237</v>
      </c>
      <c r="K511">
        <v>32</v>
      </c>
      <c r="L511">
        <f t="shared" si="37"/>
        <v>1205</v>
      </c>
      <c r="M511">
        <v>40.4</v>
      </c>
      <c r="N511">
        <v>7.1</v>
      </c>
      <c r="O511" s="8">
        <v>129.34</v>
      </c>
      <c r="P511" s="10">
        <f t="shared" si="35"/>
        <v>159993.58000000002</v>
      </c>
      <c r="Q511" s="8">
        <f t="shared" si="38"/>
        <v>4138.88</v>
      </c>
      <c r="R511" t="s">
        <v>21</v>
      </c>
      <c r="S511">
        <f t="shared" si="39"/>
        <v>1237</v>
      </c>
    </row>
    <row r="512" spans="1:19" x14ac:dyDescent="0.3">
      <c r="A512" t="s">
        <v>823</v>
      </c>
      <c r="B512" s="13">
        <v>45964</v>
      </c>
      <c r="C512" s="25">
        <f t="shared" si="36"/>
        <v>45962</v>
      </c>
      <c r="D512" t="s">
        <v>24</v>
      </c>
      <c r="E512" t="s">
        <v>36</v>
      </c>
      <c r="F512" t="s">
        <v>43</v>
      </c>
      <c r="G512" t="s">
        <v>19</v>
      </c>
      <c r="H512" t="s">
        <v>75</v>
      </c>
      <c r="I512">
        <v>818</v>
      </c>
      <c r="J512">
        <v>951</v>
      </c>
      <c r="K512">
        <v>13</v>
      </c>
      <c r="L512">
        <f t="shared" si="37"/>
        <v>938</v>
      </c>
      <c r="M512">
        <v>12</v>
      </c>
      <c r="N512">
        <v>8</v>
      </c>
      <c r="O512" s="8">
        <v>129.55000000000001</v>
      </c>
      <c r="P512" s="10">
        <f t="shared" si="35"/>
        <v>123202.05000000002</v>
      </c>
      <c r="Q512" s="8">
        <f t="shared" si="38"/>
        <v>1684.15</v>
      </c>
      <c r="R512" t="s">
        <v>29</v>
      </c>
      <c r="S512">
        <f t="shared" si="39"/>
        <v>951</v>
      </c>
    </row>
    <row r="513" spans="1:19" x14ac:dyDescent="0.3">
      <c r="A513" t="s">
        <v>278</v>
      </c>
      <c r="B513" s="13">
        <v>45889</v>
      </c>
      <c r="C513" s="25">
        <f t="shared" si="36"/>
        <v>45870</v>
      </c>
      <c r="D513" t="s">
        <v>24</v>
      </c>
      <c r="E513" t="s">
        <v>25</v>
      </c>
      <c r="F513" t="s">
        <v>26</v>
      </c>
      <c r="G513" t="s">
        <v>27</v>
      </c>
      <c r="H513" t="s">
        <v>37</v>
      </c>
      <c r="I513">
        <v>1440</v>
      </c>
      <c r="J513">
        <v>1596</v>
      </c>
      <c r="K513">
        <v>50</v>
      </c>
      <c r="L513">
        <f t="shared" si="37"/>
        <v>1546</v>
      </c>
      <c r="M513">
        <v>25.6</v>
      </c>
      <c r="N513">
        <v>6.4</v>
      </c>
      <c r="O513" s="8">
        <v>129.63999999999999</v>
      </c>
      <c r="P513" s="10">
        <f t="shared" si="35"/>
        <v>206905.43999999997</v>
      </c>
      <c r="Q513" s="8">
        <f t="shared" si="38"/>
        <v>6481.9999999999991</v>
      </c>
      <c r="R513" t="s">
        <v>21</v>
      </c>
      <c r="S513">
        <f t="shared" si="39"/>
        <v>1596</v>
      </c>
    </row>
    <row r="514" spans="1:19" x14ac:dyDescent="0.3">
      <c r="A514" t="s">
        <v>190</v>
      </c>
      <c r="B514" s="13">
        <v>45864</v>
      </c>
      <c r="C514" s="25">
        <f t="shared" si="36"/>
        <v>45839</v>
      </c>
      <c r="D514" t="s">
        <v>32</v>
      </c>
      <c r="E514" t="s">
        <v>59</v>
      </c>
      <c r="F514" t="s">
        <v>18</v>
      </c>
      <c r="G514" t="s">
        <v>27</v>
      </c>
      <c r="H514" t="s">
        <v>20</v>
      </c>
      <c r="I514">
        <v>991</v>
      </c>
      <c r="J514">
        <v>943</v>
      </c>
      <c r="K514">
        <v>6</v>
      </c>
      <c r="L514">
        <f t="shared" si="37"/>
        <v>937</v>
      </c>
      <c r="M514">
        <v>107.8</v>
      </c>
      <c r="N514">
        <v>8.1999999999999993</v>
      </c>
      <c r="O514" s="8">
        <v>129.81</v>
      </c>
      <c r="P514" s="10">
        <f t="shared" ref="P514:P577" si="40">J514*O514</f>
        <v>122410.83</v>
      </c>
      <c r="Q514" s="8">
        <f t="shared" si="38"/>
        <v>778.86</v>
      </c>
      <c r="R514" t="s">
        <v>29</v>
      </c>
      <c r="S514">
        <f t="shared" si="39"/>
        <v>943</v>
      </c>
    </row>
    <row r="515" spans="1:19" x14ac:dyDescent="0.3">
      <c r="A515" t="s">
        <v>618</v>
      </c>
      <c r="B515" s="13">
        <v>45713</v>
      </c>
      <c r="C515" s="25">
        <f t="shared" ref="C515:C578" si="41">DATE(YEAR(B515), MONTH(B515), 1 )</f>
        <v>45689</v>
      </c>
      <c r="D515" t="s">
        <v>32</v>
      </c>
      <c r="E515" t="s">
        <v>25</v>
      </c>
      <c r="F515" t="s">
        <v>49</v>
      </c>
      <c r="G515" t="s">
        <v>27</v>
      </c>
      <c r="H515" t="s">
        <v>72</v>
      </c>
      <c r="I515">
        <v>1115</v>
      </c>
      <c r="J515">
        <v>1178</v>
      </c>
      <c r="K515">
        <v>36</v>
      </c>
      <c r="L515">
        <f t="shared" ref="L515:L578" si="42">J515 -K515</f>
        <v>1142</v>
      </c>
      <c r="M515">
        <v>30</v>
      </c>
      <c r="N515">
        <v>6.7</v>
      </c>
      <c r="O515" s="8">
        <v>129.97</v>
      </c>
      <c r="P515" s="10">
        <f t="shared" si="40"/>
        <v>153104.66</v>
      </c>
      <c r="Q515" s="8">
        <f t="shared" ref="Q515:Q578" si="43">K515*O515</f>
        <v>4678.92</v>
      </c>
      <c r="R515" t="s">
        <v>21</v>
      </c>
      <c r="S515">
        <f t="shared" ref="S515:S578" si="44">L515  + K515</f>
        <v>1178</v>
      </c>
    </row>
    <row r="516" spans="1:19" x14ac:dyDescent="0.3">
      <c r="A516" t="s">
        <v>678</v>
      </c>
      <c r="B516" s="13">
        <v>46022</v>
      </c>
      <c r="C516" s="25">
        <f t="shared" si="41"/>
        <v>45992</v>
      </c>
      <c r="D516" t="s">
        <v>16</v>
      </c>
      <c r="E516" t="s">
        <v>17</v>
      </c>
      <c r="F516" t="s">
        <v>33</v>
      </c>
      <c r="G516" t="s">
        <v>19</v>
      </c>
      <c r="H516" t="s">
        <v>44</v>
      </c>
      <c r="I516">
        <v>1153</v>
      </c>
      <c r="J516">
        <v>1459</v>
      </c>
      <c r="K516">
        <v>14</v>
      </c>
      <c r="L516">
        <f t="shared" si="42"/>
        <v>1445</v>
      </c>
      <c r="M516">
        <v>11.1</v>
      </c>
      <c r="N516">
        <v>7.4</v>
      </c>
      <c r="O516" s="8">
        <v>130</v>
      </c>
      <c r="P516" s="10">
        <f t="shared" si="40"/>
        <v>189670</v>
      </c>
      <c r="Q516" s="8">
        <f t="shared" si="43"/>
        <v>1820</v>
      </c>
      <c r="R516" t="s">
        <v>29</v>
      </c>
      <c r="S516">
        <f t="shared" si="44"/>
        <v>1459</v>
      </c>
    </row>
    <row r="517" spans="1:19" x14ac:dyDescent="0.3">
      <c r="A517" t="s">
        <v>369</v>
      </c>
      <c r="B517" s="13">
        <v>45718</v>
      </c>
      <c r="C517" s="25">
        <f t="shared" si="41"/>
        <v>45717</v>
      </c>
      <c r="D517" t="s">
        <v>24</v>
      </c>
      <c r="E517" t="s">
        <v>25</v>
      </c>
      <c r="F517" t="s">
        <v>49</v>
      </c>
      <c r="G517" t="s">
        <v>19</v>
      </c>
      <c r="H517" t="str">
        <f>"Not Found"</f>
        <v>Not Found</v>
      </c>
      <c r="I517">
        <v>1320</v>
      </c>
      <c r="J517">
        <v>1074</v>
      </c>
      <c r="K517">
        <v>13</v>
      </c>
      <c r="L517">
        <f t="shared" si="42"/>
        <v>1061</v>
      </c>
      <c r="M517">
        <v>22.9</v>
      </c>
      <c r="N517">
        <v>7.3</v>
      </c>
      <c r="O517" s="8">
        <v>130.12</v>
      </c>
      <c r="P517" s="10">
        <f t="shared" si="40"/>
        <v>139748.88</v>
      </c>
      <c r="Q517" s="8">
        <f t="shared" si="43"/>
        <v>1691.56</v>
      </c>
      <c r="R517" t="s">
        <v>29</v>
      </c>
      <c r="S517">
        <f t="shared" si="44"/>
        <v>1074</v>
      </c>
    </row>
    <row r="518" spans="1:19" x14ac:dyDescent="0.3">
      <c r="A518" t="s">
        <v>587</v>
      </c>
      <c r="B518" s="13">
        <v>45960</v>
      </c>
      <c r="C518" s="25">
        <f t="shared" si="41"/>
        <v>45931</v>
      </c>
      <c r="D518" t="s">
        <v>24</v>
      </c>
      <c r="E518" t="s">
        <v>59</v>
      </c>
      <c r="F518" t="s">
        <v>49</v>
      </c>
      <c r="G518" t="s">
        <v>27</v>
      </c>
      <c r="H518" t="s">
        <v>75</v>
      </c>
      <c r="I518">
        <v>1256</v>
      </c>
      <c r="J518">
        <v>1085</v>
      </c>
      <c r="K518">
        <v>5</v>
      </c>
      <c r="L518">
        <f t="shared" si="42"/>
        <v>1080</v>
      </c>
      <c r="M518">
        <v>12.5</v>
      </c>
      <c r="N518">
        <v>8.3000000000000007</v>
      </c>
      <c r="O518" s="8">
        <v>130.22999999999999</v>
      </c>
      <c r="P518" s="10">
        <f t="shared" si="40"/>
        <v>141299.54999999999</v>
      </c>
      <c r="Q518" s="8">
        <f t="shared" si="43"/>
        <v>651.15</v>
      </c>
      <c r="R518" t="s">
        <v>29</v>
      </c>
      <c r="S518">
        <f t="shared" si="44"/>
        <v>1085</v>
      </c>
    </row>
    <row r="519" spans="1:19" x14ac:dyDescent="0.3">
      <c r="A519" t="s">
        <v>269</v>
      </c>
      <c r="B519" s="13">
        <v>45970</v>
      </c>
      <c r="C519" s="25">
        <f t="shared" si="41"/>
        <v>45962</v>
      </c>
      <c r="D519" t="s">
        <v>24</v>
      </c>
      <c r="E519" t="s">
        <v>62</v>
      </c>
      <c r="F519" t="s">
        <v>18</v>
      </c>
      <c r="G519" t="s">
        <v>19</v>
      </c>
      <c r="H519" t="s">
        <v>69</v>
      </c>
      <c r="I519">
        <v>1666</v>
      </c>
      <c r="J519">
        <v>1838</v>
      </c>
      <c r="K519">
        <v>52</v>
      </c>
      <c r="L519">
        <f t="shared" si="42"/>
        <v>1786</v>
      </c>
      <c r="M519">
        <v>39.200000000000003</v>
      </c>
      <c r="N519">
        <v>6.7</v>
      </c>
      <c r="O519" s="8">
        <v>130.38</v>
      </c>
      <c r="P519" s="10">
        <f t="shared" si="40"/>
        <v>239638.44</v>
      </c>
      <c r="Q519" s="8">
        <f t="shared" si="43"/>
        <v>6779.76</v>
      </c>
      <c r="R519" t="s">
        <v>21</v>
      </c>
      <c r="S519">
        <f t="shared" si="44"/>
        <v>1838</v>
      </c>
    </row>
    <row r="520" spans="1:19" x14ac:dyDescent="0.3">
      <c r="A520" t="s">
        <v>479</v>
      </c>
      <c r="B520" s="13">
        <v>45872</v>
      </c>
      <c r="C520" s="25">
        <f t="shared" si="41"/>
        <v>45870</v>
      </c>
      <c r="D520" t="s">
        <v>32</v>
      </c>
      <c r="E520" t="s">
        <v>25</v>
      </c>
      <c r="F520" t="s">
        <v>26</v>
      </c>
      <c r="G520" t="s">
        <v>19</v>
      </c>
      <c r="H520" t="s">
        <v>75</v>
      </c>
      <c r="I520">
        <v>778</v>
      </c>
      <c r="J520">
        <v>667</v>
      </c>
      <c r="K520">
        <v>15</v>
      </c>
      <c r="L520">
        <f t="shared" si="42"/>
        <v>652</v>
      </c>
      <c r="M520" t="str">
        <f xml:space="preserve"> ""</f>
        <v/>
      </c>
      <c r="N520">
        <v>6.3</v>
      </c>
      <c r="O520" s="8">
        <v>130.41</v>
      </c>
      <c r="P520" s="10">
        <f t="shared" si="40"/>
        <v>86983.47</v>
      </c>
      <c r="Q520" s="8">
        <f t="shared" si="43"/>
        <v>1956.1499999999999</v>
      </c>
      <c r="R520" t="s">
        <v>21</v>
      </c>
      <c r="S520">
        <f t="shared" si="44"/>
        <v>667</v>
      </c>
    </row>
    <row r="521" spans="1:19" x14ac:dyDescent="0.3">
      <c r="A521" t="s">
        <v>616</v>
      </c>
      <c r="B521" s="13">
        <v>46011</v>
      </c>
      <c r="C521" s="25">
        <f t="shared" si="41"/>
        <v>45992</v>
      </c>
      <c r="D521" t="s">
        <v>16</v>
      </c>
      <c r="E521" t="s">
        <v>62</v>
      </c>
      <c r="F521" t="s">
        <v>18</v>
      </c>
      <c r="G521" t="s">
        <v>27</v>
      </c>
      <c r="H521" t="s">
        <v>37</v>
      </c>
      <c r="I521">
        <v>1486</v>
      </c>
      <c r="J521">
        <v>1157</v>
      </c>
      <c r="K521">
        <v>6</v>
      </c>
      <c r="L521">
        <f t="shared" si="42"/>
        <v>1151</v>
      </c>
      <c r="M521">
        <v>46.5</v>
      </c>
      <c r="N521">
        <v>7.2</v>
      </c>
      <c r="O521" s="8">
        <v>130.75</v>
      </c>
      <c r="P521" s="10">
        <f t="shared" si="40"/>
        <v>151277.75</v>
      </c>
      <c r="Q521" s="8">
        <f t="shared" si="43"/>
        <v>784.5</v>
      </c>
      <c r="R521" t="s">
        <v>29</v>
      </c>
      <c r="S521">
        <f t="shared" si="44"/>
        <v>1157</v>
      </c>
    </row>
    <row r="522" spans="1:19" x14ac:dyDescent="0.3">
      <c r="A522" t="s">
        <v>695</v>
      </c>
      <c r="B522" s="13">
        <v>45759</v>
      </c>
      <c r="C522" s="25">
        <f t="shared" si="41"/>
        <v>45748</v>
      </c>
      <c r="D522" t="s">
        <v>32</v>
      </c>
      <c r="E522" t="s">
        <v>36</v>
      </c>
      <c r="F522" t="s">
        <v>26</v>
      </c>
      <c r="G522" t="s">
        <v>19</v>
      </c>
      <c r="H522" t="s">
        <v>72</v>
      </c>
      <c r="I522">
        <v>1136</v>
      </c>
      <c r="J522">
        <v>1005</v>
      </c>
      <c r="K522">
        <v>27</v>
      </c>
      <c r="L522">
        <f t="shared" si="42"/>
        <v>978</v>
      </c>
      <c r="M522">
        <v>98.8</v>
      </c>
      <c r="N522">
        <v>6.7</v>
      </c>
      <c r="O522" s="8">
        <v>130.94</v>
      </c>
      <c r="P522" s="10">
        <f t="shared" si="40"/>
        <v>131594.70000000001</v>
      </c>
      <c r="Q522" s="8">
        <f t="shared" si="43"/>
        <v>3535.38</v>
      </c>
      <c r="R522" t="s">
        <v>21</v>
      </c>
      <c r="S522">
        <f t="shared" si="44"/>
        <v>1005</v>
      </c>
    </row>
    <row r="523" spans="1:19" x14ac:dyDescent="0.3">
      <c r="A523" t="s">
        <v>381</v>
      </c>
      <c r="B523" s="13">
        <v>45689</v>
      </c>
      <c r="C523" s="25">
        <f t="shared" si="41"/>
        <v>45689</v>
      </c>
      <c r="D523" t="s">
        <v>32</v>
      </c>
      <c r="E523" t="s">
        <v>25</v>
      </c>
      <c r="F523" t="s">
        <v>33</v>
      </c>
      <c r="G523" t="s">
        <v>19</v>
      </c>
      <c r="H523" t="s">
        <v>28</v>
      </c>
      <c r="I523">
        <v>1225</v>
      </c>
      <c r="J523">
        <v>1058</v>
      </c>
      <c r="K523">
        <v>36</v>
      </c>
      <c r="L523">
        <f t="shared" si="42"/>
        <v>1022</v>
      </c>
      <c r="M523">
        <v>56.6</v>
      </c>
      <c r="N523">
        <v>8.1999999999999993</v>
      </c>
      <c r="O523" s="8">
        <v>131.02000000000001</v>
      </c>
      <c r="P523" s="10">
        <f t="shared" si="40"/>
        <v>138619.16</v>
      </c>
      <c r="Q523" s="8">
        <f t="shared" si="43"/>
        <v>4716.72</v>
      </c>
      <c r="R523" t="s">
        <v>21</v>
      </c>
      <c r="S523">
        <f t="shared" si="44"/>
        <v>1058</v>
      </c>
    </row>
    <row r="524" spans="1:19" x14ac:dyDescent="0.3">
      <c r="A524" t="s">
        <v>821</v>
      </c>
      <c r="B524" s="13">
        <v>46021</v>
      </c>
      <c r="C524" s="25">
        <f t="shared" si="41"/>
        <v>45992</v>
      </c>
      <c r="D524" t="s">
        <v>32</v>
      </c>
      <c r="E524" t="s">
        <v>59</v>
      </c>
      <c r="F524" t="s">
        <v>33</v>
      </c>
      <c r="G524" t="s">
        <v>19</v>
      </c>
      <c r="H524" t="str">
        <f>"Not Found"</f>
        <v>Not Found</v>
      </c>
      <c r="I524">
        <v>1660</v>
      </c>
      <c r="J524">
        <v>1653</v>
      </c>
      <c r="K524">
        <v>16</v>
      </c>
      <c r="L524">
        <f t="shared" si="42"/>
        <v>1637</v>
      </c>
      <c r="M524">
        <v>30.4</v>
      </c>
      <c r="N524">
        <v>8.3000000000000007</v>
      </c>
      <c r="O524" s="8">
        <v>131.03</v>
      </c>
      <c r="P524" s="10">
        <f t="shared" si="40"/>
        <v>216592.59</v>
      </c>
      <c r="Q524" s="8">
        <f t="shared" si="43"/>
        <v>2096.48</v>
      </c>
      <c r="R524" t="s">
        <v>29</v>
      </c>
      <c r="S524">
        <f t="shared" si="44"/>
        <v>1653</v>
      </c>
    </row>
    <row r="525" spans="1:19" x14ac:dyDescent="0.3">
      <c r="A525" t="s">
        <v>144</v>
      </c>
      <c r="B525" s="13">
        <v>45828</v>
      </c>
      <c r="C525" s="25">
        <f t="shared" si="41"/>
        <v>45809</v>
      </c>
      <c r="D525" t="s">
        <v>32</v>
      </c>
      <c r="E525" t="s">
        <v>17</v>
      </c>
      <c r="F525" t="s">
        <v>18</v>
      </c>
      <c r="G525" t="s">
        <v>40</v>
      </c>
      <c r="H525" t="s">
        <v>82</v>
      </c>
      <c r="I525">
        <v>1652</v>
      </c>
      <c r="J525">
        <v>1591</v>
      </c>
      <c r="K525">
        <v>6</v>
      </c>
      <c r="L525">
        <f t="shared" si="42"/>
        <v>1585</v>
      </c>
      <c r="M525">
        <v>40</v>
      </c>
      <c r="N525">
        <v>7</v>
      </c>
      <c r="O525" s="8">
        <v>131.75</v>
      </c>
      <c r="P525" s="10">
        <f t="shared" si="40"/>
        <v>209614.25</v>
      </c>
      <c r="Q525" s="8">
        <f t="shared" si="43"/>
        <v>790.5</v>
      </c>
      <c r="R525" t="s">
        <v>29</v>
      </c>
      <c r="S525">
        <f t="shared" si="44"/>
        <v>1591</v>
      </c>
    </row>
    <row r="526" spans="1:19" x14ac:dyDescent="0.3">
      <c r="A526" t="s">
        <v>527</v>
      </c>
      <c r="B526" s="13">
        <v>46006</v>
      </c>
      <c r="C526" s="25">
        <f t="shared" si="41"/>
        <v>45992</v>
      </c>
      <c r="D526" t="s">
        <v>32</v>
      </c>
      <c r="E526" t="s">
        <v>36</v>
      </c>
      <c r="F526" t="s">
        <v>18</v>
      </c>
      <c r="G526" t="s">
        <v>40</v>
      </c>
      <c r="H526" t="s">
        <v>82</v>
      </c>
      <c r="I526">
        <v>1420</v>
      </c>
      <c r="J526">
        <v>1275</v>
      </c>
      <c r="K526">
        <v>20</v>
      </c>
      <c r="L526">
        <f t="shared" si="42"/>
        <v>1255</v>
      </c>
      <c r="M526">
        <v>14.5</v>
      </c>
      <c r="N526">
        <v>6.5</v>
      </c>
      <c r="O526" s="8">
        <v>132.09</v>
      </c>
      <c r="P526" s="10">
        <f t="shared" si="40"/>
        <v>168414.75</v>
      </c>
      <c r="Q526" s="8">
        <f t="shared" si="43"/>
        <v>2641.8</v>
      </c>
      <c r="R526" t="s">
        <v>29</v>
      </c>
      <c r="S526">
        <f t="shared" si="44"/>
        <v>1275</v>
      </c>
    </row>
    <row r="527" spans="1:19" x14ac:dyDescent="0.3">
      <c r="A527" t="s">
        <v>346</v>
      </c>
      <c r="B527" s="13">
        <v>45696</v>
      </c>
      <c r="C527" s="25">
        <f t="shared" si="41"/>
        <v>45689</v>
      </c>
      <c r="D527" t="s">
        <v>24</v>
      </c>
      <c r="E527" t="s">
        <v>25</v>
      </c>
      <c r="F527" t="s">
        <v>49</v>
      </c>
      <c r="G527" t="s">
        <v>19</v>
      </c>
      <c r="H527" t="s">
        <v>20</v>
      </c>
      <c r="I527">
        <v>1381</v>
      </c>
      <c r="J527">
        <v>1104</v>
      </c>
      <c r="K527">
        <v>22</v>
      </c>
      <c r="L527">
        <f t="shared" si="42"/>
        <v>1082</v>
      </c>
      <c r="M527">
        <v>31.6</v>
      </c>
      <c r="N527">
        <v>7.4</v>
      </c>
      <c r="O527" s="8">
        <v>132.16</v>
      </c>
      <c r="P527" s="10">
        <f t="shared" si="40"/>
        <v>145904.63999999998</v>
      </c>
      <c r="Q527" s="8">
        <f t="shared" si="43"/>
        <v>2907.52</v>
      </c>
      <c r="R527" t="s">
        <v>29</v>
      </c>
      <c r="S527">
        <f t="shared" si="44"/>
        <v>1104</v>
      </c>
    </row>
    <row r="528" spans="1:19" x14ac:dyDescent="0.3">
      <c r="A528" t="s">
        <v>719</v>
      </c>
      <c r="B528" s="13">
        <v>45688</v>
      </c>
      <c r="C528" s="25">
        <f t="shared" si="41"/>
        <v>45658</v>
      </c>
      <c r="D528" t="s">
        <v>16</v>
      </c>
      <c r="E528" t="s">
        <v>25</v>
      </c>
      <c r="F528" t="s">
        <v>33</v>
      </c>
      <c r="G528" t="s">
        <v>19</v>
      </c>
      <c r="H528" t="s">
        <v>44</v>
      </c>
      <c r="I528">
        <v>1452</v>
      </c>
      <c r="J528">
        <v>1262</v>
      </c>
      <c r="K528">
        <v>41</v>
      </c>
      <c r="L528">
        <f t="shared" si="42"/>
        <v>1221</v>
      </c>
      <c r="M528">
        <v>30.3</v>
      </c>
      <c r="N528">
        <v>7.1</v>
      </c>
      <c r="O528" s="8">
        <v>132.44</v>
      </c>
      <c r="P528" s="10">
        <f t="shared" si="40"/>
        <v>167139.28</v>
      </c>
      <c r="Q528" s="8">
        <f t="shared" si="43"/>
        <v>5430.04</v>
      </c>
      <c r="R528" t="s">
        <v>21</v>
      </c>
      <c r="S528">
        <f t="shared" si="44"/>
        <v>1262</v>
      </c>
    </row>
    <row r="529" spans="1:19" x14ac:dyDescent="0.3">
      <c r="A529" t="s">
        <v>614</v>
      </c>
      <c r="B529" s="13">
        <v>45767</v>
      </c>
      <c r="C529" s="25">
        <f t="shared" si="41"/>
        <v>45748</v>
      </c>
      <c r="D529" t="s">
        <v>32</v>
      </c>
      <c r="E529" t="s">
        <v>59</v>
      </c>
      <c r="F529" t="s">
        <v>18</v>
      </c>
      <c r="G529" t="s">
        <v>40</v>
      </c>
      <c r="H529" t="s">
        <v>28</v>
      </c>
      <c r="I529">
        <v>1042</v>
      </c>
      <c r="J529">
        <v>960</v>
      </c>
      <c r="K529">
        <v>29</v>
      </c>
      <c r="L529">
        <f t="shared" si="42"/>
        <v>931</v>
      </c>
      <c r="M529">
        <v>2.4</v>
      </c>
      <c r="N529">
        <v>8.1</v>
      </c>
      <c r="O529" s="8">
        <v>132.57</v>
      </c>
      <c r="P529" s="10">
        <f t="shared" si="40"/>
        <v>127267.2</v>
      </c>
      <c r="Q529" s="8">
        <f t="shared" si="43"/>
        <v>3844.5299999999997</v>
      </c>
      <c r="R529" t="s">
        <v>21</v>
      </c>
      <c r="S529">
        <f t="shared" si="44"/>
        <v>960</v>
      </c>
    </row>
    <row r="530" spans="1:19" x14ac:dyDescent="0.3">
      <c r="A530" t="s">
        <v>593</v>
      </c>
      <c r="B530" s="13">
        <v>45731</v>
      </c>
      <c r="C530" s="25">
        <f t="shared" si="41"/>
        <v>45717</v>
      </c>
      <c r="D530" t="s">
        <v>32</v>
      </c>
      <c r="E530" t="s">
        <v>36</v>
      </c>
      <c r="F530" t="s">
        <v>26</v>
      </c>
      <c r="G530" t="s">
        <v>40</v>
      </c>
      <c r="H530" t="s">
        <v>69</v>
      </c>
      <c r="I530">
        <v>1138</v>
      </c>
      <c r="J530">
        <v>1167</v>
      </c>
      <c r="K530">
        <v>9</v>
      </c>
      <c r="L530">
        <f t="shared" si="42"/>
        <v>1158</v>
      </c>
      <c r="M530">
        <v>32.700000000000003</v>
      </c>
      <c r="N530">
        <v>8.3000000000000007</v>
      </c>
      <c r="O530" s="8">
        <v>132.62</v>
      </c>
      <c r="P530" s="10">
        <f t="shared" si="40"/>
        <v>154767.54</v>
      </c>
      <c r="Q530" s="8">
        <f t="shared" si="43"/>
        <v>1193.58</v>
      </c>
      <c r="R530" t="s">
        <v>29</v>
      </c>
      <c r="S530">
        <f t="shared" si="44"/>
        <v>1167</v>
      </c>
    </row>
    <row r="531" spans="1:19" x14ac:dyDescent="0.3">
      <c r="A531" t="s">
        <v>772</v>
      </c>
      <c r="B531" s="13">
        <v>45951</v>
      </c>
      <c r="C531" s="25">
        <f t="shared" si="41"/>
        <v>45931</v>
      </c>
      <c r="D531" t="s">
        <v>16</v>
      </c>
      <c r="E531" t="s">
        <v>17</v>
      </c>
      <c r="F531" t="s">
        <v>26</v>
      </c>
      <c r="G531" t="s">
        <v>40</v>
      </c>
      <c r="H531" t="s">
        <v>20</v>
      </c>
      <c r="I531">
        <v>1469</v>
      </c>
      <c r="J531">
        <v>1364</v>
      </c>
      <c r="K531">
        <v>40</v>
      </c>
      <c r="L531">
        <f t="shared" si="42"/>
        <v>1324</v>
      </c>
      <c r="M531">
        <v>36.9</v>
      </c>
      <c r="N531">
        <v>7.3</v>
      </c>
      <c r="O531" s="8">
        <v>133.21</v>
      </c>
      <c r="P531" s="10">
        <f t="shared" si="40"/>
        <v>181698.44</v>
      </c>
      <c r="Q531" s="8">
        <f t="shared" si="43"/>
        <v>5328.4000000000005</v>
      </c>
      <c r="R531" t="s">
        <v>21</v>
      </c>
      <c r="S531">
        <f t="shared" si="44"/>
        <v>1364</v>
      </c>
    </row>
    <row r="532" spans="1:19" x14ac:dyDescent="0.3">
      <c r="A532" t="s">
        <v>537</v>
      </c>
      <c r="B532" s="13">
        <v>45818</v>
      </c>
      <c r="C532" s="25">
        <f t="shared" si="41"/>
        <v>45809</v>
      </c>
      <c r="D532" t="s">
        <v>24</v>
      </c>
      <c r="E532" t="s">
        <v>59</v>
      </c>
      <c r="F532" t="s">
        <v>43</v>
      </c>
      <c r="G532" t="s">
        <v>27</v>
      </c>
      <c r="H532" t="s">
        <v>72</v>
      </c>
      <c r="I532">
        <v>1124</v>
      </c>
      <c r="J532">
        <v>1059</v>
      </c>
      <c r="K532">
        <v>35</v>
      </c>
      <c r="L532">
        <f t="shared" si="42"/>
        <v>1024</v>
      </c>
      <c r="M532">
        <v>34.700000000000003</v>
      </c>
      <c r="N532">
        <v>7.3</v>
      </c>
      <c r="O532" s="8">
        <v>133.54</v>
      </c>
      <c r="P532" s="10">
        <f t="shared" si="40"/>
        <v>141418.85999999999</v>
      </c>
      <c r="Q532" s="8">
        <f t="shared" si="43"/>
        <v>4673.8999999999996</v>
      </c>
      <c r="R532" t="s">
        <v>21</v>
      </c>
      <c r="S532">
        <f t="shared" si="44"/>
        <v>1059</v>
      </c>
    </row>
    <row r="533" spans="1:19" x14ac:dyDescent="0.3">
      <c r="A533" t="s">
        <v>875</v>
      </c>
      <c r="B533" s="13">
        <v>45801</v>
      </c>
      <c r="C533" s="25">
        <f t="shared" si="41"/>
        <v>45778</v>
      </c>
      <c r="D533" t="s">
        <v>32</v>
      </c>
      <c r="E533" t="s">
        <v>36</v>
      </c>
      <c r="F533" t="s">
        <v>33</v>
      </c>
      <c r="G533" t="s">
        <v>40</v>
      </c>
      <c r="H533" t="s">
        <v>75</v>
      </c>
      <c r="I533">
        <v>1299</v>
      </c>
      <c r="J533">
        <v>1146</v>
      </c>
      <c r="K533">
        <v>33</v>
      </c>
      <c r="L533">
        <f t="shared" si="42"/>
        <v>1113</v>
      </c>
      <c r="M533">
        <v>87.4</v>
      </c>
      <c r="N533">
        <v>6.3</v>
      </c>
      <c r="O533" s="8">
        <v>133.56</v>
      </c>
      <c r="P533" s="10">
        <f t="shared" si="40"/>
        <v>153059.76</v>
      </c>
      <c r="Q533" s="8">
        <f t="shared" si="43"/>
        <v>4407.4800000000005</v>
      </c>
      <c r="R533" t="s">
        <v>21</v>
      </c>
      <c r="S533">
        <f t="shared" si="44"/>
        <v>1146</v>
      </c>
    </row>
    <row r="534" spans="1:19" x14ac:dyDescent="0.3">
      <c r="A534" t="s">
        <v>901</v>
      </c>
      <c r="B534" s="13">
        <v>45761</v>
      </c>
      <c r="C534" s="25">
        <f t="shared" si="41"/>
        <v>45748</v>
      </c>
      <c r="D534" t="s">
        <v>24</v>
      </c>
      <c r="E534" t="s">
        <v>59</v>
      </c>
      <c r="F534" t="s">
        <v>33</v>
      </c>
      <c r="G534" t="s">
        <v>40</v>
      </c>
      <c r="H534" t="s">
        <v>28</v>
      </c>
      <c r="I534">
        <v>1528</v>
      </c>
      <c r="J534">
        <v>1308</v>
      </c>
      <c r="K534">
        <v>15</v>
      </c>
      <c r="L534">
        <f t="shared" si="42"/>
        <v>1293</v>
      </c>
      <c r="M534">
        <v>6</v>
      </c>
      <c r="N534">
        <v>7.7</v>
      </c>
      <c r="O534" s="8">
        <v>133.58000000000001</v>
      </c>
      <c r="P534" s="10">
        <f t="shared" si="40"/>
        <v>174722.64</v>
      </c>
      <c r="Q534" s="8">
        <f t="shared" si="43"/>
        <v>2003.7000000000003</v>
      </c>
      <c r="R534" t="s">
        <v>29</v>
      </c>
      <c r="S534">
        <f t="shared" si="44"/>
        <v>1308</v>
      </c>
    </row>
    <row r="535" spans="1:19" x14ac:dyDescent="0.3">
      <c r="A535" t="s">
        <v>408</v>
      </c>
      <c r="B535" s="13">
        <v>45945</v>
      </c>
      <c r="C535" s="25">
        <f t="shared" si="41"/>
        <v>45931</v>
      </c>
      <c r="D535" t="s">
        <v>24</v>
      </c>
      <c r="E535" t="s">
        <v>25</v>
      </c>
      <c r="F535" t="s">
        <v>43</v>
      </c>
      <c r="G535" t="s">
        <v>27</v>
      </c>
      <c r="H535" t="s">
        <v>28</v>
      </c>
      <c r="I535">
        <v>1786</v>
      </c>
      <c r="J535">
        <v>1724</v>
      </c>
      <c r="K535">
        <v>26</v>
      </c>
      <c r="L535">
        <f t="shared" si="42"/>
        <v>1698</v>
      </c>
      <c r="M535">
        <v>29.2</v>
      </c>
      <c r="N535">
        <v>8</v>
      </c>
      <c r="O535" s="8">
        <v>133.97</v>
      </c>
      <c r="P535" s="10">
        <f t="shared" si="40"/>
        <v>230964.28</v>
      </c>
      <c r="Q535" s="8">
        <f t="shared" si="43"/>
        <v>3483.22</v>
      </c>
      <c r="R535" t="s">
        <v>29</v>
      </c>
      <c r="S535">
        <f t="shared" si="44"/>
        <v>1724</v>
      </c>
    </row>
    <row r="536" spans="1:19" x14ac:dyDescent="0.3">
      <c r="A536" t="s">
        <v>386</v>
      </c>
      <c r="B536" s="13">
        <v>45781</v>
      </c>
      <c r="C536" s="25">
        <f t="shared" si="41"/>
        <v>45778</v>
      </c>
      <c r="D536" t="s">
        <v>16</v>
      </c>
      <c r="E536" t="s">
        <v>62</v>
      </c>
      <c r="F536" t="s">
        <v>43</v>
      </c>
      <c r="G536" t="s">
        <v>27</v>
      </c>
      <c r="H536" t="s">
        <v>44</v>
      </c>
      <c r="I536">
        <v>765</v>
      </c>
      <c r="J536">
        <v>686</v>
      </c>
      <c r="K536">
        <v>19</v>
      </c>
      <c r="L536">
        <f t="shared" si="42"/>
        <v>667</v>
      </c>
      <c r="M536">
        <v>16.5</v>
      </c>
      <c r="N536">
        <v>6.7</v>
      </c>
      <c r="O536" s="8">
        <v>133.99</v>
      </c>
      <c r="P536" s="10">
        <f t="shared" si="40"/>
        <v>91917.14</v>
      </c>
      <c r="Q536" s="8">
        <f t="shared" si="43"/>
        <v>2545.8100000000004</v>
      </c>
      <c r="R536" t="s">
        <v>21</v>
      </c>
      <c r="S536">
        <f t="shared" si="44"/>
        <v>686</v>
      </c>
    </row>
    <row r="537" spans="1:19" x14ac:dyDescent="0.3">
      <c r="A537" t="s">
        <v>685</v>
      </c>
      <c r="B537" s="13">
        <v>45840</v>
      </c>
      <c r="C537" s="25">
        <f t="shared" si="41"/>
        <v>45839</v>
      </c>
      <c r="D537" t="s">
        <v>24</v>
      </c>
      <c r="E537" t="s">
        <v>59</v>
      </c>
      <c r="F537" t="s">
        <v>33</v>
      </c>
      <c r="G537" t="s">
        <v>27</v>
      </c>
      <c r="H537" t="s">
        <v>44</v>
      </c>
      <c r="I537">
        <v>1215</v>
      </c>
      <c r="J537">
        <v>1126</v>
      </c>
      <c r="K537">
        <v>3</v>
      </c>
      <c r="L537">
        <f t="shared" si="42"/>
        <v>1123</v>
      </c>
      <c r="M537">
        <v>15</v>
      </c>
      <c r="N537">
        <v>6.6</v>
      </c>
      <c r="O537" s="8">
        <v>134.08000000000001</v>
      </c>
      <c r="P537" s="10">
        <f t="shared" si="40"/>
        <v>150974.08000000002</v>
      </c>
      <c r="Q537" s="8">
        <f t="shared" si="43"/>
        <v>402.24</v>
      </c>
      <c r="R537" t="s">
        <v>29</v>
      </c>
      <c r="S537">
        <f t="shared" si="44"/>
        <v>1126</v>
      </c>
    </row>
    <row r="538" spans="1:19" x14ac:dyDescent="0.3">
      <c r="A538" t="s">
        <v>175</v>
      </c>
      <c r="B538" s="13">
        <v>45948</v>
      </c>
      <c r="C538" s="25">
        <f t="shared" si="41"/>
        <v>45931</v>
      </c>
      <c r="D538" t="s">
        <v>16</v>
      </c>
      <c r="E538" t="s">
        <v>17</v>
      </c>
      <c r="F538" t="s">
        <v>33</v>
      </c>
      <c r="G538" t="s">
        <v>40</v>
      </c>
      <c r="H538" t="s">
        <v>20</v>
      </c>
      <c r="I538">
        <v>1231</v>
      </c>
      <c r="J538">
        <v>1043</v>
      </c>
      <c r="K538">
        <v>4</v>
      </c>
      <c r="L538">
        <f t="shared" si="42"/>
        <v>1039</v>
      </c>
      <c r="M538">
        <v>45.7</v>
      </c>
      <c r="N538">
        <v>6.3</v>
      </c>
      <c r="O538" s="8">
        <v>134.69</v>
      </c>
      <c r="P538" s="10">
        <f t="shared" si="40"/>
        <v>140481.66999999998</v>
      </c>
      <c r="Q538" s="8">
        <f t="shared" si="43"/>
        <v>538.76</v>
      </c>
      <c r="R538" t="s">
        <v>29</v>
      </c>
      <c r="S538">
        <f t="shared" si="44"/>
        <v>1043</v>
      </c>
    </row>
    <row r="539" spans="1:19" x14ac:dyDescent="0.3">
      <c r="A539" t="s">
        <v>101</v>
      </c>
      <c r="B539" s="13">
        <v>45822</v>
      </c>
      <c r="C539" s="25">
        <f t="shared" si="41"/>
        <v>45809</v>
      </c>
      <c r="D539" t="s">
        <v>32</v>
      </c>
      <c r="E539" t="s">
        <v>59</v>
      </c>
      <c r="F539" t="s">
        <v>26</v>
      </c>
      <c r="G539" t="s">
        <v>27</v>
      </c>
      <c r="H539" t="s">
        <v>37</v>
      </c>
      <c r="I539">
        <v>916</v>
      </c>
      <c r="J539">
        <v>879</v>
      </c>
      <c r="K539">
        <v>23</v>
      </c>
      <c r="L539">
        <f t="shared" si="42"/>
        <v>856</v>
      </c>
      <c r="M539">
        <v>162.80000000000001</v>
      </c>
      <c r="N539">
        <v>8.1999999999999993</v>
      </c>
      <c r="O539" s="8">
        <v>134.97</v>
      </c>
      <c r="P539" s="10">
        <f t="shared" si="40"/>
        <v>118638.63</v>
      </c>
      <c r="Q539" s="8">
        <f t="shared" si="43"/>
        <v>3104.31</v>
      </c>
      <c r="R539" t="s">
        <v>21</v>
      </c>
      <c r="S539">
        <f t="shared" si="44"/>
        <v>879</v>
      </c>
    </row>
    <row r="540" spans="1:19" x14ac:dyDescent="0.3">
      <c r="A540" t="s">
        <v>439</v>
      </c>
      <c r="B540" s="13">
        <v>45934</v>
      </c>
      <c r="C540" s="25">
        <f t="shared" si="41"/>
        <v>45931</v>
      </c>
      <c r="D540" t="s">
        <v>16</v>
      </c>
      <c r="E540" t="s">
        <v>59</v>
      </c>
      <c r="F540" t="s">
        <v>26</v>
      </c>
      <c r="G540" t="s">
        <v>27</v>
      </c>
      <c r="H540" t="s">
        <v>72</v>
      </c>
      <c r="I540">
        <v>1537</v>
      </c>
      <c r="J540">
        <v>1303</v>
      </c>
      <c r="K540">
        <v>25</v>
      </c>
      <c r="L540">
        <f t="shared" si="42"/>
        <v>1278</v>
      </c>
      <c r="M540">
        <v>89</v>
      </c>
      <c r="N540">
        <v>7.2</v>
      </c>
      <c r="O540" s="8">
        <v>135.05000000000001</v>
      </c>
      <c r="P540" s="10">
        <f t="shared" si="40"/>
        <v>175970.15000000002</v>
      </c>
      <c r="Q540" s="8">
        <f t="shared" si="43"/>
        <v>3376.2500000000005</v>
      </c>
      <c r="R540" t="s">
        <v>29</v>
      </c>
      <c r="S540">
        <f t="shared" si="44"/>
        <v>1303</v>
      </c>
    </row>
    <row r="541" spans="1:19" x14ac:dyDescent="0.3">
      <c r="A541" t="s">
        <v>241</v>
      </c>
      <c r="B541" s="13">
        <v>45900</v>
      </c>
      <c r="C541" s="25">
        <f t="shared" si="41"/>
        <v>45870</v>
      </c>
      <c r="D541" t="s">
        <v>32</v>
      </c>
      <c r="E541" t="s">
        <v>25</v>
      </c>
      <c r="F541" t="s">
        <v>33</v>
      </c>
      <c r="G541" t="s">
        <v>27</v>
      </c>
      <c r="H541" t="s">
        <v>20</v>
      </c>
      <c r="I541">
        <v>1717</v>
      </c>
      <c r="J541">
        <v>1807</v>
      </c>
      <c r="K541">
        <v>41</v>
      </c>
      <c r="L541">
        <f t="shared" si="42"/>
        <v>1766</v>
      </c>
      <c r="M541">
        <v>33.200000000000003</v>
      </c>
      <c r="N541">
        <v>7</v>
      </c>
      <c r="O541" s="8">
        <v>135.08000000000001</v>
      </c>
      <c r="P541" s="10">
        <f t="shared" si="40"/>
        <v>244089.56000000003</v>
      </c>
      <c r="Q541" s="8">
        <f t="shared" si="43"/>
        <v>5538.2800000000007</v>
      </c>
      <c r="R541" t="s">
        <v>21</v>
      </c>
      <c r="S541">
        <f t="shared" si="44"/>
        <v>1807</v>
      </c>
    </row>
    <row r="542" spans="1:19" x14ac:dyDescent="0.3">
      <c r="A542" t="s">
        <v>874</v>
      </c>
      <c r="B542" s="13">
        <v>45951</v>
      </c>
      <c r="C542" s="25">
        <f t="shared" si="41"/>
        <v>45931</v>
      </c>
      <c r="D542" t="s">
        <v>16</v>
      </c>
      <c r="E542" t="s">
        <v>17</v>
      </c>
      <c r="F542" t="s">
        <v>43</v>
      </c>
      <c r="G542" t="s">
        <v>19</v>
      </c>
      <c r="H542" t="s">
        <v>20</v>
      </c>
      <c r="I542">
        <v>1713</v>
      </c>
      <c r="J542">
        <v>1684</v>
      </c>
      <c r="K542">
        <v>51</v>
      </c>
      <c r="L542">
        <f t="shared" si="42"/>
        <v>1633</v>
      </c>
      <c r="M542">
        <v>39</v>
      </c>
      <c r="N542">
        <v>6.9</v>
      </c>
      <c r="O542" s="8">
        <v>135.21</v>
      </c>
      <c r="P542" s="10">
        <f t="shared" si="40"/>
        <v>227693.64</v>
      </c>
      <c r="Q542" s="8">
        <f t="shared" si="43"/>
        <v>6895.71</v>
      </c>
      <c r="R542" t="s">
        <v>21</v>
      </c>
      <c r="S542">
        <f t="shared" si="44"/>
        <v>1684</v>
      </c>
    </row>
    <row r="543" spans="1:19" x14ac:dyDescent="0.3">
      <c r="A543" t="s">
        <v>467</v>
      </c>
      <c r="B543" s="13">
        <v>45838</v>
      </c>
      <c r="C543" s="25">
        <f t="shared" si="41"/>
        <v>45809</v>
      </c>
      <c r="D543" t="s">
        <v>16</v>
      </c>
      <c r="E543" t="s">
        <v>25</v>
      </c>
      <c r="F543" t="s">
        <v>49</v>
      </c>
      <c r="G543" t="s">
        <v>40</v>
      </c>
      <c r="H543" t="s">
        <v>28</v>
      </c>
      <c r="I543">
        <v>1364</v>
      </c>
      <c r="J543">
        <v>1162</v>
      </c>
      <c r="K543">
        <v>38</v>
      </c>
      <c r="L543">
        <f t="shared" si="42"/>
        <v>1124</v>
      </c>
      <c r="M543">
        <v>19.600000000000001</v>
      </c>
      <c r="N543">
        <v>6</v>
      </c>
      <c r="O543" s="8">
        <v>135.47</v>
      </c>
      <c r="P543" s="10">
        <f t="shared" si="40"/>
        <v>157416.13999999998</v>
      </c>
      <c r="Q543" s="8">
        <f t="shared" si="43"/>
        <v>5147.8599999999997</v>
      </c>
      <c r="R543" t="s">
        <v>21</v>
      </c>
      <c r="S543">
        <f t="shared" si="44"/>
        <v>1162</v>
      </c>
    </row>
    <row r="544" spans="1:19" x14ac:dyDescent="0.3">
      <c r="A544" t="s">
        <v>800</v>
      </c>
      <c r="B544" s="13">
        <v>45763</v>
      </c>
      <c r="C544" s="25">
        <f t="shared" si="41"/>
        <v>45748</v>
      </c>
      <c r="D544" t="s">
        <v>16</v>
      </c>
      <c r="E544" t="s">
        <v>36</v>
      </c>
      <c r="F544" t="s">
        <v>18</v>
      </c>
      <c r="G544" t="s">
        <v>40</v>
      </c>
      <c r="H544" t="s">
        <v>44</v>
      </c>
      <c r="I544">
        <v>1412</v>
      </c>
      <c r="J544">
        <v>1137</v>
      </c>
      <c r="K544">
        <v>32</v>
      </c>
      <c r="L544">
        <f t="shared" si="42"/>
        <v>1105</v>
      </c>
      <c r="M544">
        <v>24.8</v>
      </c>
      <c r="N544">
        <v>7.2</v>
      </c>
      <c r="O544" s="8">
        <v>135.58000000000001</v>
      </c>
      <c r="P544" s="10">
        <f t="shared" si="40"/>
        <v>154154.46000000002</v>
      </c>
      <c r="Q544" s="8">
        <f t="shared" si="43"/>
        <v>4338.5600000000004</v>
      </c>
      <c r="R544" t="s">
        <v>21</v>
      </c>
      <c r="S544">
        <f t="shared" si="44"/>
        <v>1137</v>
      </c>
    </row>
    <row r="545" spans="1:19" x14ac:dyDescent="0.3">
      <c r="A545" t="s">
        <v>605</v>
      </c>
      <c r="B545" s="13">
        <v>46019</v>
      </c>
      <c r="C545" s="25">
        <f t="shared" si="41"/>
        <v>45992</v>
      </c>
      <c r="D545" t="s">
        <v>32</v>
      </c>
      <c r="E545" t="s">
        <v>25</v>
      </c>
      <c r="F545" t="s">
        <v>26</v>
      </c>
      <c r="G545" t="s">
        <v>40</v>
      </c>
      <c r="H545" t="s">
        <v>20</v>
      </c>
      <c r="I545">
        <v>1223</v>
      </c>
      <c r="J545">
        <v>1241</v>
      </c>
      <c r="K545">
        <v>37</v>
      </c>
      <c r="L545">
        <f t="shared" si="42"/>
        <v>1204</v>
      </c>
      <c r="M545">
        <v>4.8</v>
      </c>
      <c r="N545">
        <v>6.3</v>
      </c>
      <c r="O545" s="8">
        <v>135.63</v>
      </c>
      <c r="P545" s="10">
        <f t="shared" si="40"/>
        <v>168316.83</v>
      </c>
      <c r="Q545" s="8">
        <f t="shared" si="43"/>
        <v>5018.3099999999995</v>
      </c>
      <c r="R545" t="s">
        <v>21</v>
      </c>
      <c r="S545">
        <f t="shared" si="44"/>
        <v>1241</v>
      </c>
    </row>
    <row r="546" spans="1:19" x14ac:dyDescent="0.3">
      <c r="A546" t="s">
        <v>78</v>
      </c>
      <c r="B546" s="13">
        <v>45822</v>
      </c>
      <c r="C546" s="25">
        <f t="shared" si="41"/>
        <v>45809</v>
      </c>
      <c r="D546" t="s">
        <v>24</v>
      </c>
      <c r="E546" t="s">
        <v>62</v>
      </c>
      <c r="F546" t="s">
        <v>26</v>
      </c>
      <c r="G546" t="s">
        <v>40</v>
      </c>
      <c r="H546" t="s">
        <v>69</v>
      </c>
      <c r="I546">
        <v>918</v>
      </c>
      <c r="J546">
        <v>762</v>
      </c>
      <c r="K546">
        <v>3</v>
      </c>
      <c r="L546">
        <f t="shared" si="42"/>
        <v>759</v>
      </c>
      <c r="M546">
        <v>6.7</v>
      </c>
      <c r="N546">
        <v>8</v>
      </c>
      <c r="O546" s="8">
        <v>135.83000000000001</v>
      </c>
      <c r="P546" s="10">
        <f t="shared" si="40"/>
        <v>103502.46</v>
      </c>
      <c r="Q546" s="8">
        <f t="shared" si="43"/>
        <v>407.49</v>
      </c>
      <c r="R546" t="s">
        <v>29</v>
      </c>
      <c r="S546">
        <f t="shared" si="44"/>
        <v>762</v>
      </c>
    </row>
    <row r="547" spans="1:19" x14ac:dyDescent="0.3">
      <c r="A547" t="s">
        <v>846</v>
      </c>
      <c r="B547" s="13">
        <v>45994</v>
      </c>
      <c r="C547" s="25">
        <f t="shared" si="41"/>
        <v>45992</v>
      </c>
      <c r="D547" t="s">
        <v>16</v>
      </c>
      <c r="E547" t="s">
        <v>59</v>
      </c>
      <c r="F547" t="s">
        <v>49</v>
      </c>
      <c r="G547" t="s">
        <v>27</v>
      </c>
      <c r="H547" t="s">
        <v>69</v>
      </c>
      <c r="I547">
        <v>1600</v>
      </c>
      <c r="J547">
        <v>1324</v>
      </c>
      <c r="K547">
        <v>13</v>
      </c>
      <c r="L547">
        <f t="shared" si="42"/>
        <v>1311</v>
      </c>
      <c r="M547" t="str">
        <f xml:space="preserve"> ""</f>
        <v/>
      </c>
      <c r="N547">
        <v>7.3</v>
      </c>
      <c r="O547" s="8">
        <v>135.84</v>
      </c>
      <c r="P547" s="10">
        <f t="shared" si="40"/>
        <v>179852.16</v>
      </c>
      <c r="Q547" s="8">
        <f t="shared" si="43"/>
        <v>1765.92</v>
      </c>
      <c r="R547" t="s">
        <v>29</v>
      </c>
      <c r="S547">
        <f t="shared" si="44"/>
        <v>1324</v>
      </c>
    </row>
    <row r="548" spans="1:19" x14ac:dyDescent="0.3">
      <c r="A548" t="s">
        <v>734</v>
      </c>
      <c r="B548" s="13">
        <v>45767</v>
      </c>
      <c r="C548" s="25">
        <f t="shared" si="41"/>
        <v>45748</v>
      </c>
      <c r="D548" t="s">
        <v>32</v>
      </c>
      <c r="E548" t="s">
        <v>59</v>
      </c>
      <c r="F548" t="s">
        <v>26</v>
      </c>
      <c r="G548" t="s">
        <v>40</v>
      </c>
      <c r="H548" t="s">
        <v>69</v>
      </c>
      <c r="I548">
        <v>1309</v>
      </c>
      <c r="J548">
        <v>1329</v>
      </c>
      <c r="K548">
        <v>42</v>
      </c>
      <c r="L548">
        <f t="shared" si="42"/>
        <v>1287</v>
      </c>
      <c r="M548">
        <v>31.1</v>
      </c>
      <c r="N548">
        <v>7.6</v>
      </c>
      <c r="O548" s="8">
        <v>135.88999999999999</v>
      </c>
      <c r="P548" s="10">
        <f t="shared" si="40"/>
        <v>180597.80999999997</v>
      </c>
      <c r="Q548" s="8">
        <f t="shared" si="43"/>
        <v>5707.3799999999992</v>
      </c>
      <c r="R548" t="s">
        <v>21</v>
      </c>
      <c r="S548">
        <f t="shared" si="44"/>
        <v>1329</v>
      </c>
    </row>
    <row r="549" spans="1:19" x14ac:dyDescent="0.3">
      <c r="A549" t="s">
        <v>509</v>
      </c>
      <c r="B549" s="13">
        <v>45681</v>
      </c>
      <c r="C549" s="25">
        <f t="shared" si="41"/>
        <v>45658</v>
      </c>
      <c r="D549" t="s">
        <v>24</v>
      </c>
      <c r="E549" t="s">
        <v>59</v>
      </c>
      <c r="F549" t="s">
        <v>33</v>
      </c>
      <c r="G549" t="s">
        <v>19</v>
      </c>
      <c r="H549" t="s">
        <v>69</v>
      </c>
      <c r="I549">
        <v>1076</v>
      </c>
      <c r="J549">
        <v>1076</v>
      </c>
      <c r="K549">
        <v>29</v>
      </c>
      <c r="L549">
        <f t="shared" si="42"/>
        <v>1047</v>
      </c>
      <c r="M549">
        <v>43.7</v>
      </c>
      <c r="N549">
        <v>8.5</v>
      </c>
      <c r="O549" s="8">
        <v>135.91999999999999</v>
      </c>
      <c r="P549" s="10">
        <f t="shared" si="40"/>
        <v>146249.91999999998</v>
      </c>
      <c r="Q549" s="8">
        <f t="shared" si="43"/>
        <v>3941.68</v>
      </c>
      <c r="R549" t="s">
        <v>21</v>
      </c>
      <c r="S549">
        <f t="shared" si="44"/>
        <v>1076</v>
      </c>
    </row>
    <row r="550" spans="1:19" x14ac:dyDescent="0.3">
      <c r="A550" t="s">
        <v>526</v>
      </c>
      <c r="B550" s="13">
        <v>45755</v>
      </c>
      <c r="C550" s="25">
        <f t="shared" si="41"/>
        <v>45748</v>
      </c>
      <c r="D550" t="s">
        <v>24</v>
      </c>
      <c r="E550" t="s">
        <v>25</v>
      </c>
      <c r="F550" t="s">
        <v>26</v>
      </c>
      <c r="G550" t="s">
        <v>40</v>
      </c>
      <c r="H550" t="s">
        <v>75</v>
      </c>
      <c r="I550">
        <v>1346</v>
      </c>
      <c r="J550">
        <v>1467</v>
      </c>
      <c r="K550">
        <v>8</v>
      </c>
      <c r="L550">
        <f t="shared" si="42"/>
        <v>1459</v>
      </c>
      <c r="M550">
        <v>52.3</v>
      </c>
      <c r="N550">
        <v>6.3</v>
      </c>
      <c r="O550" s="8">
        <v>136.06</v>
      </c>
      <c r="P550" s="10">
        <f t="shared" si="40"/>
        <v>199600.02</v>
      </c>
      <c r="Q550" s="8">
        <f t="shared" si="43"/>
        <v>1088.48</v>
      </c>
      <c r="R550" t="s">
        <v>29</v>
      </c>
      <c r="S550">
        <f t="shared" si="44"/>
        <v>1467</v>
      </c>
    </row>
    <row r="551" spans="1:19" x14ac:dyDescent="0.3">
      <c r="A551" t="s">
        <v>302</v>
      </c>
      <c r="B551" s="13">
        <v>46020</v>
      </c>
      <c r="C551" s="25">
        <f t="shared" si="41"/>
        <v>45992</v>
      </c>
      <c r="D551" t="s">
        <v>32</v>
      </c>
      <c r="E551" t="s">
        <v>59</v>
      </c>
      <c r="F551" t="s">
        <v>49</v>
      </c>
      <c r="G551" t="s">
        <v>40</v>
      </c>
      <c r="H551" t="s">
        <v>75</v>
      </c>
      <c r="I551">
        <v>968</v>
      </c>
      <c r="J551">
        <v>1150</v>
      </c>
      <c r="K551">
        <v>11</v>
      </c>
      <c r="L551">
        <f t="shared" si="42"/>
        <v>1139</v>
      </c>
      <c r="M551">
        <v>40.9</v>
      </c>
      <c r="N551">
        <v>8.1999999999999993</v>
      </c>
      <c r="O551" s="8">
        <v>136.07</v>
      </c>
      <c r="P551" s="10">
        <f t="shared" si="40"/>
        <v>156480.5</v>
      </c>
      <c r="Q551" s="8">
        <f t="shared" si="43"/>
        <v>1496.77</v>
      </c>
      <c r="R551" t="s">
        <v>29</v>
      </c>
      <c r="S551">
        <f t="shared" si="44"/>
        <v>1150</v>
      </c>
    </row>
    <row r="552" spans="1:19" x14ac:dyDescent="0.3">
      <c r="A552" t="s">
        <v>173</v>
      </c>
      <c r="B552" s="13">
        <v>45829</v>
      </c>
      <c r="C552" s="25">
        <f t="shared" si="41"/>
        <v>45809</v>
      </c>
      <c r="D552" t="s">
        <v>16</v>
      </c>
      <c r="E552" t="s">
        <v>17</v>
      </c>
      <c r="F552" t="s">
        <v>18</v>
      </c>
      <c r="G552" t="s">
        <v>19</v>
      </c>
      <c r="H552" t="s">
        <v>28</v>
      </c>
      <c r="I552">
        <v>1238</v>
      </c>
      <c r="J552">
        <v>906</v>
      </c>
      <c r="K552">
        <v>9</v>
      </c>
      <c r="L552">
        <f t="shared" si="42"/>
        <v>897</v>
      </c>
      <c r="M552">
        <v>6.6</v>
      </c>
      <c r="N552">
        <v>6.8</v>
      </c>
      <c r="O552" s="8">
        <v>136.16</v>
      </c>
      <c r="P552" s="10">
        <f t="shared" si="40"/>
        <v>123360.95999999999</v>
      </c>
      <c r="Q552" s="8">
        <f t="shared" si="43"/>
        <v>1225.44</v>
      </c>
      <c r="R552" t="s">
        <v>29</v>
      </c>
      <c r="S552">
        <f t="shared" si="44"/>
        <v>906</v>
      </c>
    </row>
    <row r="553" spans="1:19" x14ac:dyDescent="0.3">
      <c r="A553" t="s">
        <v>665</v>
      </c>
      <c r="B553" s="13">
        <v>45930</v>
      </c>
      <c r="C553" s="25">
        <f t="shared" si="41"/>
        <v>45901</v>
      </c>
      <c r="D553" t="s">
        <v>24</v>
      </c>
      <c r="E553" t="s">
        <v>25</v>
      </c>
      <c r="F553" t="s">
        <v>49</v>
      </c>
      <c r="G553" t="s">
        <v>27</v>
      </c>
      <c r="H553" t="s">
        <v>82</v>
      </c>
      <c r="I553">
        <v>936</v>
      </c>
      <c r="J553">
        <v>838</v>
      </c>
      <c r="K553">
        <v>13</v>
      </c>
      <c r="L553">
        <f t="shared" si="42"/>
        <v>825</v>
      </c>
      <c r="M553">
        <v>25.8</v>
      </c>
      <c r="N553">
        <v>7.4</v>
      </c>
      <c r="O553" s="8">
        <v>136.19999999999999</v>
      </c>
      <c r="P553" s="10">
        <f t="shared" si="40"/>
        <v>114135.59999999999</v>
      </c>
      <c r="Q553" s="8">
        <f t="shared" si="43"/>
        <v>1770.6</v>
      </c>
      <c r="R553" t="s">
        <v>29</v>
      </c>
      <c r="S553">
        <f t="shared" si="44"/>
        <v>838</v>
      </c>
    </row>
    <row r="554" spans="1:19" x14ac:dyDescent="0.3">
      <c r="A554" t="s">
        <v>571</v>
      </c>
      <c r="B554" s="13">
        <v>45882</v>
      </c>
      <c r="C554" s="25">
        <f t="shared" si="41"/>
        <v>45870</v>
      </c>
      <c r="D554" t="s">
        <v>24</v>
      </c>
      <c r="E554" t="s">
        <v>36</v>
      </c>
      <c r="F554" t="s">
        <v>49</v>
      </c>
      <c r="G554" t="s">
        <v>19</v>
      </c>
      <c r="H554" t="s">
        <v>72</v>
      </c>
      <c r="I554">
        <v>916</v>
      </c>
      <c r="J554">
        <v>1111</v>
      </c>
      <c r="K554">
        <v>22</v>
      </c>
      <c r="L554">
        <f t="shared" si="42"/>
        <v>1089</v>
      </c>
      <c r="M554">
        <v>89.9</v>
      </c>
      <c r="N554">
        <v>6.2</v>
      </c>
      <c r="O554" s="8">
        <v>136.30000000000001</v>
      </c>
      <c r="P554" s="10">
        <f t="shared" si="40"/>
        <v>151429.30000000002</v>
      </c>
      <c r="Q554" s="8">
        <f t="shared" si="43"/>
        <v>2998.6000000000004</v>
      </c>
      <c r="R554" t="s">
        <v>29</v>
      </c>
      <c r="S554">
        <f t="shared" si="44"/>
        <v>1111</v>
      </c>
    </row>
    <row r="555" spans="1:19" x14ac:dyDescent="0.3">
      <c r="A555" t="s">
        <v>755</v>
      </c>
      <c r="B555" s="13">
        <v>45889</v>
      </c>
      <c r="C555" s="25">
        <f t="shared" si="41"/>
        <v>45870</v>
      </c>
      <c r="D555" t="s">
        <v>24</v>
      </c>
      <c r="E555" t="s">
        <v>59</v>
      </c>
      <c r="F555" t="s">
        <v>18</v>
      </c>
      <c r="G555" t="s">
        <v>19</v>
      </c>
      <c r="H555" t="s">
        <v>44</v>
      </c>
      <c r="I555">
        <v>1532</v>
      </c>
      <c r="J555">
        <v>1565</v>
      </c>
      <c r="K555">
        <v>34</v>
      </c>
      <c r="L555">
        <f t="shared" si="42"/>
        <v>1531</v>
      </c>
      <c r="M555">
        <v>7</v>
      </c>
      <c r="N555">
        <v>6.2</v>
      </c>
      <c r="O555" s="8">
        <v>136.54</v>
      </c>
      <c r="P555" s="10">
        <f t="shared" si="40"/>
        <v>213685.09999999998</v>
      </c>
      <c r="Q555" s="8">
        <f t="shared" si="43"/>
        <v>4642.3599999999997</v>
      </c>
      <c r="R555" t="s">
        <v>21</v>
      </c>
      <c r="S555">
        <f t="shared" si="44"/>
        <v>1565</v>
      </c>
    </row>
    <row r="556" spans="1:19" x14ac:dyDescent="0.3">
      <c r="A556" t="s">
        <v>41</v>
      </c>
      <c r="B556" s="13">
        <v>45971</v>
      </c>
      <c r="C556" s="25">
        <f t="shared" si="41"/>
        <v>45962</v>
      </c>
      <c r="D556" t="s">
        <v>24</v>
      </c>
      <c r="E556" t="s">
        <v>17</v>
      </c>
      <c r="F556" t="s">
        <v>43</v>
      </c>
      <c r="G556" t="s">
        <v>19</v>
      </c>
      <c r="H556" t="s">
        <v>44</v>
      </c>
      <c r="I556">
        <v>1585</v>
      </c>
      <c r="J556">
        <v>1491</v>
      </c>
      <c r="K556">
        <v>39</v>
      </c>
      <c r="L556">
        <f t="shared" si="42"/>
        <v>1452</v>
      </c>
      <c r="M556">
        <v>74.599999999999994</v>
      </c>
      <c r="N556">
        <v>6.2</v>
      </c>
      <c r="O556" s="8">
        <v>136.86000000000001</v>
      </c>
      <c r="P556" s="10">
        <f t="shared" si="40"/>
        <v>204058.26</v>
      </c>
      <c r="Q556" s="8">
        <f t="shared" si="43"/>
        <v>5337.5400000000009</v>
      </c>
      <c r="R556" t="s">
        <v>21</v>
      </c>
      <c r="S556">
        <f t="shared" si="44"/>
        <v>1491</v>
      </c>
    </row>
    <row r="557" spans="1:19" x14ac:dyDescent="0.3">
      <c r="A557" t="s">
        <v>259</v>
      </c>
      <c r="B557" s="13">
        <v>45709</v>
      </c>
      <c r="C557" s="25">
        <f t="shared" si="41"/>
        <v>45689</v>
      </c>
      <c r="D557" t="s">
        <v>32</v>
      </c>
      <c r="E557" t="s">
        <v>36</v>
      </c>
      <c r="F557" t="s">
        <v>43</v>
      </c>
      <c r="G557" t="s">
        <v>27</v>
      </c>
      <c r="H557" t="s">
        <v>37</v>
      </c>
      <c r="I557">
        <v>1371</v>
      </c>
      <c r="J557">
        <v>1382</v>
      </c>
      <c r="K557">
        <v>31</v>
      </c>
      <c r="L557">
        <f t="shared" si="42"/>
        <v>1351</v>
      </c>
      <c r="M557">
        <v>20.100000000000001</v>
      </c>
      <c r="N557">
        <v>7.1</v>
      </c>
      <c r="O557" s="8">
        <v>136.86000000000001</v>
      </c>
      <c r="P557" s="10">
        <f t="shared" si="40"/>
        <v>189140.52000000002</v>
      </c>
      <c r="Q557" s="8">
        <f t="shared" si="43"/>
        <v>4242.6600000000008</v>
      </c>
      <c r="R557" t="s">
        <v>21</v>
      </c>
      <c r="S557">
        <f t="shared" si="44"/>
        <v>1382</v>
      </c>
    </row>
    <row r="558" spans="1:19" x14ac:dyDescent="0.3">
      <c r="A558" t="s">
        <v>357</v>
      </c>
      <c r="B558" s="13">
        <v>45986</v>
      </c>
      <c r="C558" s="25">
        <f t="shared" si="41"/>
        <v>45962</v>
      </c>
      <c r="D558" t="s">
        <v>32</v>
      </c>
      <c r="E558" t="s">
        <v>17</v>
      </c>
      <c r="F558" t="s">
        <v>18</v>
      </c>
      <c r="G558" t="s">
        <v>27</v>
      </c>
      <c r="H558" t="s">
        <v>75</v>
      </c>
      <c r="I558">
        <v>904</v>
      </c>
      <c r="J558">
        <v>785</v>
      </c>
      <c r="K558">
        <v>20</v>
      </c>
      <c r="L558">
        <f t="shared" si="42"/>
        <v>765</v>
      </c>
      <c r="M558">
        <v>59.6</v>
      </c>
      <c r="N558">
        <v>6.4</v>
      </c>
      <c r="O558" s="8">
        <v>136.96</v>
      </c>
      <c r="P558" s="10">
        <f t="shared" si="40"/>
        <v>107513.60000000001</v>
      </c>
      <c r="Q558" s="8">
        <f t="shared" si="43"/>
        <v>2739.2000000000003</v>
      </c>
      <c r="R558" t="s">
        <v>21</v>
      </c>
      <c r="S558">
        <f t="shared" si="44"/>
        <v>785</v>
      </c>
    </row>
    <row r="559" spans="1:19" x14ac:dyDescent="0.3">
      <c r="A559" t="s">
        <v>590</v>
      </c>
      <c r="B559" s="13">
        <v>45953</v>
      </c>
      <c r="C559" s="25">
        <f t="shared" si="41"/>
        <v>45931</v>
      </c>
      <c r="D559" t="s">
        <v>16</v>
      </c>
      <c r="E559" t="s">
        <v>62</v>
      </c>
      <c r="F559" t="s">
        <v>43</v>
      </c>
      <c r="G559" t="s">
        <v>40</v>
      </c>
      <c r="H559" t="s">
        <v>20</v>
      </c>
      <c r="I559">
        <v>1274</v>
      </c>
      <c r="J559">
        <v>1321</v>
      </c>
      <c r="K559">
        <v>6</v>
      </c>
      <c r="L559">
        <f t="shared" si="42"/>
        <v>1315</v>
      </c>
      <c r="M559">
        <v>59.4</v>
      </c>
      <c r="N559">
        <v>8.4</v>
      </c>
      <c r="O559" s="8">
        <v>137.01</v>
      </c>
      <c r="P559" s="10">
        <f t="shared" si="40"/>
        <v>180990.21</v>
      </c>
      <c r="Q559" s="8">
        <f t="shared" si="43"/>
        <v>822.06</v>
      </c>
      <c r="R559" t="s">
        <v>29</v>
      </c>
      <c r="S559">
        <f t="shared" si="44"/>
        <v>1321</v>
      </c>
    </row>
    <row r="560" spans="1:19" x14ac:dyDescent="0.3">
      <c r="A560" t="s">
        <v>663</v>
      </c>
      <c r="B560" s="13">
        <v>45983</v>
      </c>
      <c r="C560" s="25">
        <f t="shared" si="41"/>
        <v>45962</v>
      </c>
      <c r="D560" t="s">
        <v>16</v>
      </c>
      <c r="E560" t="s">
        <v>59</v>
      </c>
      <c r="F560" t="s">
        <v>26</v>
      </c>
      <c r="G560" t="s">
        <v>19</v>
      </c>
      <c r="H560" t="s">
        <v>69</v>
      </c>
      <c r="I560">
        <v>1491</v>
      </c>
      <c r="J560">
        <v>1422</v>
      </c>
      <c r="K560">
        <v>18</v>
      </c>
      <c r="L560">
        <f t="shared" si="42"/>
        <v>1404</v>
      </c>
      <c r="M560">
        <v>19.2</v>
      </c>
      <c r="N560">
        <v>7.9</v>
      </c>
      <c r="O560" s="8">
        <v>137.32</v>
      </c>
      <c r="P560" s="10">
        <f t="shared" si="40"/>
        <v>195269.03999999998</v>
      </c>
      <c r="Q560" s="8">
        <f t="shared" si="43"/>
        <v>2471.7599999999998</v>
      </c>
      <c r="R560" t="s">
        <v>29</v>
      </c>
      <c r="S560">
        <f t="shared" si="44"/>
        <v>1422</v>
      </c>
    </row>
    <row r="561" spans="1:19" x14ac:dyDescent="0.3">
      <c r="A561" t="s">
        <v>229</v>
      </c>
      <c r="B561" s="13">
        <v>45709</v>
      </c>
      <c r="C561" s="25">
        <f t="shared" si="41"/>
        <v>45689</v>
      </c>
      <c r="D561" t="s">
        <v>32</v>
      </c>
      <c r="E561" t="s">
        <v>62</v>
      </c>
      <c r="F561" t="s">
        <v>43</v>
      </c>
      <c r="G561" t="s">
        <v>27</v>
      </c>
      <c r="H561" t="s">
        <v>20</v>
      </c>
      <c r="I561">
        <v>897</v>
      </c>
      <c r="J561">
        <v>774</v>
      </c>
      <c r="K561">
        <v>8</v>
      </c>
      <c r="L561">
        <f t="shared" si="42"/>
        <v>766</v>
      </c>
      <c r="M561">
        <v>48.5</v>
      </c>
      <c r="N561">
        <v>6.4</v>
      </c>
      <c r="O561" s="8">
        <v>137.38</v>
      </c>
      <c r="P561" s="10">
        <f t="shared" si="40"/>
        <v>106332.12</v>
      </c>
      <c r="Q561" s="8">
        <f t="shared" si="43"/>
        <v>1099.04</v>
      </c>
      <c r="R561" t="s">
        <v>29</v>
      </c>
      <c r="S561">
        <f t="shared" si="44"/>
        <v>774</v>
      </c>
    </row>
    <row r="562" spans="1:19" x14ac:dyDescent="0.3">
      <c r="A562" t="s">
        <v>669</v>
      </c>
      <c r="B562" s="13">
        <v>45876</v>
      </c>
      <c r="C562" s="25">
        <f t="shared" si="41"/>
        <v>45870</v>
      </c>
      <c r="D562" t="s">
        <v>32</v>
      </c>
      <c r="E562" t="s">
        <v>36</v>
      </c>
      <c r="F562" t="s">
        <v>18</v>
      </c>
      <c r="G562" t="s">
        <v>27</v>
      </c>
      <c r="H562" t="s">
        <v>72</v>
      </c>
      <c r="I562">
        <v>938</v>
      </c>
      <c r="J562">
        <v>973</v>
      </c>
      <c r="K562">
        <v>9</v>
      </c>
      <c r="L562">
        <f t="shared" si="42"/>
        <v>964</v>
      </c>
      <c r="M562">
        <v>56.8</v>
      </c>
      <c r="N562">
        <v>6.1</v>
      </c>
      <c r="O562" s="8">
        <v>137.55000000000001</v>
      </c>
      <c r="P562" s="10">
        <f t="shared" si="40"/>
        <v>133836.15000000002</v>
      </c>
      <c r="Q562" s="8">
        <f t="shared" si="43"/>
        <v>1237.95</v>
      </c>
      <c r="R562" t="s">
        <v>29</v>
      </c>
      <c r="S562">
        <f t="shared" si="44"/>
        <v>973</v>
      </c>
    </row>
    <row r="563" spans="1:19" x14ac:dyDescent="0.3">
      <c r="A563" t="s">
        <v>758</v>
      </c>
      <c r="B563" s="13">
        <v>45922</v>
      </c>
      <c r="C563" s="25">
        <f t="shared" si="41"/>
        <v>45901</v>
      </c>
      <c r="D563" t="s">
        <v>24</v>
      </c>
      <c r="E563" t="s">
        <v>36</v>
      </c>
      <c r="F563" t="s">
        <v>18</v>
      </c>
      <c r="G563" t="s">
        <v>19</v>
      </c>
      <c r="H563" t="s">
        <v>37</v>
      </c>
      <c r="I563">
        <v>1305</v>
      </c>
      <c r="J563">
        <v>1366</v>
      </c>
      <c r="K563">
        <v>26</v>
      </c>
      <c r="L563">
        <f t="shared" si="42"/>
        <v>1340</v>
      </c>
      <c r="M563">
        <v>37.5</v>
      </c>
      <c r="N563">
        <v>6.6</v>
      </c>
      <c r="O563" s="8">
        <v>137.91</v>
      </c>
      <c r="P563" s="10">
        <f t="shared" si="40"/>
        <v>188385.06</v>
      </c>
      <c r="Q563" s="8">
        <f t="shared" si="43"/>
        <v>3585.66</v>
      </c>
      <c r="R563" t="s">
        <v>29</v>
      </c>
      <c r="S563">
        <f t="shared" si="44"/>
        <v>1366</v>
      </c>
    </row>
    <row r="564" spans="1:19" x14ac:dyDescent="0.3">
      <c r="A564" t="s">
        <v>584</v>
      </c>
      <c r="B564" s="13">
        <v>45793</v>
      </c>
      <c r="C564" s="25">
        <f t="shared" si="41"/>
        <v>45778</v>
      </c>
      <c r="D564" t="s">
        <v>16</v>
      </c>
      <c r="E564" t="s">
        <v>59</v>
      </c>
      <c r="F564" t="s">
        <v>26</v>
      </c>
      <c r="G564" t="s">
        <v>19</v>
      </c>
      <c r="H564" t="s">
        <v>82</v>
      </c>
      <c r="I564">
        <v>1353</v>
      </c>
      <c r="J564">
        <v>1508</v>
      </c>
      <c r="K564">
        <v>13</v>
      </c>
      <c r="L564">
        <f t="shared" si="42"/>
        <v>1495</v>
      </c>
      <c r="M564">
        <v>22</v>
      </c>
      <c r="N564">
        <v>6.9</v>
      </c>
      <c r="O564" s="8">
        <v>137.91</v>
      </c>
      <c r="P564" s="10">
        <f t="shared" si="40"/>
        <v>207968.28</v>
      </c>
      <c r="Q564" s="8">
        <f t="shared" si="43"/>
        <v>1792.83</v>
      </c>
      <c r="R564" t="s">
        <v>29</v>
      </c>
      <c r="S564">
        <f t="shared" si="44"/>
        <v>1508</v>
      </c>
    </row>
    <row r="565" spans="1:19" x14ac:dyDescent="0.3">
      <c r="A565" t="s">
        <v>415</v>
      </c>
      <c r="B565" s="13">
        <v>45821</v>
      </c>
      <c r="C565" s="25">
        <f t="shared" si="41"/>
        <v>45809</v>
      </c>
      <c r="D565" t="s">
        <v>16</v>
      </c>
      <c r="E565" t="s">
        <v>25</v>
      </c>
      <c r="F565" t="s">
        <v>26</v>
      </c>
      <c r="G565" t="s">
        <v>27</v>
      </c>
      <c r="H565" t="s">
        <v>75</v>
      </c>
      <c r="I565">
        <v>1366</v>
      </c>
      <c r="J565">
        <v>1224</v>
      </c>
      <c r="K565">
        <v>4</v>
      </c>
      <c r="L565">
        <f t="shared" si="42"/>
        <v>1220</v>
      </c>
      <c r="M565">
        <v>52.5</v>
      </c>
      <c r="N565">
        <v>7</v>
      </c>
      <c r="O565" s="8">
        <v>138.03</v>
      </c>
      <c r="P565" s="10">
        <f t="shared" si="40"/>
        <v>168948.72</v>
      </c>
      <c r="Q565" s="8">
        <f t="shared" si="43"/>
        <v>552.12</v>
      </c>
      <c r="R565" t="s">
        <v>29</v>
      </c>
      <c r="S565">
        <f t="shared" si="44"/>
        <v>1224</v>
      </c>
    </row>
    <row r="566" spans="1:19" x14ac:dyDescent="0.3">
      <c r="A566" t="s">
        <v>45</v>
      </c>
      <c r="B566" s="13">
        <v>45689</v>
      </c>
      <c r="C566" s="25">
        <f t="shared" si="41"/>
        <v>45689</v>
      </c>
      <c r="D566" t="s">
        <v>32</v>
      </c>
      <c r="E566" t="s">
        <v>17</v>
      </c>
      <c r="F566" t="s">
        <v>43</v>
      </c>
      <c r="G566" t="s">
        <v>19</v>
      </c>
      <c r="H566" t="s">
        <v>20</v>
      </c>
      <c r="I566">
        <v>1496</v>
      </c>
      <c r="J566">
        <v>1260</v>
      </c>
      <c r="K566">
        <v>35</v>
      </c>
      <c r="L566">
        <f t="shared" si="42"/>
        <v>1225</v>
      </c>
      <c r="M566">
        <v>20.3</v>
      </c>
      <c r="N566">
        <v>8</v>
      </c>
      <c r="O566" s="8">
        <v>138.15</v>
      </c>
      <c r="P566" s="10">
        <f t="shared" si="40"/>
        <v>174069</v>
      </c>
      <c r="Q566" s="8">
        <f t="shared" si="43"/>
        <v>4835.25</v>
      </c>
      <c r="R566" t="s">
        <v>21</v>
      </c>
      <c r="S566">
        <f t="shared" si="44"/>
        <v>1260</v>
      </c>
    </row>
    <row r="567" spans="1:19" x14ac:dyDescent="0.3">
      <c r="A567" t="s">
        <v>628</v>
      </c>
      <c r="B567" s="13">
        <v>45984</v>
      </c>
      <c r="C567" s="25">
        <f t="shared" si="41"/>
        <v>45962</v>
      </c>
      <c r="D567" t="s">
        <v>24</v>
      </c>
      <c r="E567" t="s">
        <v>62</v>
      </c>
      <c r="F567" t="s">
        <v>26</v>
      </c>
      <c r="G567" t="s">
        <v>27</v>
      </c>
      <c r="H567" t="s">
        <v>69</v>
      </c>
      <c r="I567">
        <v>1520</v>
      </c>
      <c r="J567">
        <v>1664</v>
      </c>
      <c r="K567">
        <v>18</v>
      </c>
      <c r="L567">
        <f t="shared" si="42"/>
        <v>1646</v>
      </c>
      <c r="M567">
        <v>89.2</v>
      </c>
      <c r="N567">
        <v>7.3</v>
      </c>
      <c r="O567" s="8">
        <v>138.47999999999999</v>
      </c>
      <c r="P567" s="10">
        <f t="shared" si="40"/>
        <v>230430.71999999997</v>
      </c>
      <c r="Q567" s="8">
        <f t="shared" si="43"/>
        <v>2492.64</v>
      </c>
      <c r="R567" t="s">
        <v>29</v>
      </c>
      <c r="S567">
        <f t="shared" si="44"/>
        <v>1664</v>
      </c>
    </row>
    <row r="568" spans="1:19" x14ac:dyDescent="0.3">
      <c r="A568" t="s">
        <v>30</v>
      </c>
      <c r="B568" s="13">
        <v>45896</v>
      </c>
      <c r="C568" s="25">
        <f t="shared" si="41"/>
        <v>45870</v>
      </c>
      <c r="D568" t="s">
        <v>32</v>
      </c>
      <c r="E568" t="s">
        <v>25</v>
      </c>
      <c r="F568" t="s">
        <v>33</v>
      </c>
      <c r="G568" t="s">
        <v>19</v>
      </c>
      <c r="H568" t="s">
        <v>28</v>
      </c>
      <c r="I568">
        <v>1072</v>
      </c>
      <c r="J568">
        <v>1121</v>
      </c>
      <c r="K568">
        <v>27</v>
      </c>
      <c r="L568">
        <f t="shared" si="42"/>
        <v>1094</v>
      </c>
      <c r="M568">
        <v>24.3</v>
      </c>
      <c r="N568">
        <v>6.7</v>
      </c>
      <c r="O568" s="8">
        <v>138.5</v>
      </c>
      <c r="P568" s="10">
        <f t="shared" si="40"/>
        <v>155258.5</v>
      </c>
      <c r="Q568" s="8">
        <f t="shared" si="43"/>
        <v>3739.5</v>
      </c>
      <c r="R568" t="s">
        <v>21</v>
      </c>
      <c r="S568">
        <f t="shared" si="44"/>
        <v>1121</v>
      </c>
    </row>
    <row r="569" spans="1:19" x14ac:dyDescent="0.3">
      <c r="A569" t="s">
        <v>599</v>
      </c>
      <c r="B569" s="13">
        <v>45884</v>
      </c>
      <c r="C569" s="25">
        <f t="shared" si="41"/>
        <v>45870</v>
      </c>
      <c r="D569" t="s">
        <v>16</v>
      </c>
      <c r="E569" t="s">
        <v>17</v>
      </c>
      <c r="F569" t="s">
        <v>33</v>
      </c>
      <c r="G569" t="s">
        <v>19</v>
      </c>
      <c r="H569" t="s">
        <v>44</v>
      </c>
      <c r="I569">
        <v>1189</v>
      </c>
      <c r="J569">
        <v>1232</v>
      </c>
      <c r="K569">
        <v>23</v>
      </c>
      <c r="L569">
        <f t="shared" si="42"/>
        <v>1209</v>
      </c>
      <c r="M569">
        <v>15.9</v>
      </c>
      <c r="N569">
        <v>7.6</v>
      </c>
      <c r="O569" s="8">
        <v>138.65</v>
      </c>
      <c r="P569" s="10">
        <f t="shared" si="40"/>
        <v>170816.80000000002</v>
      </c>
      <c r="Q569" s="8">
        <f t="shared" si="43"/>
        <v>3188.9500000000003</v>
      </c>
      <c r="R569" t="s">
        <v>29</v>
      </c>
      <c r="S569">
        <f t="shared" si="44"/>
        <v>1232</v>
      </c>
    </row>
    <row r="570" spans="1:19" x14ac:dyDescent="0.3">
      <c r="A570" t="s">
        <v>243</v>
      </c>
      <c r="B570" s="13">
        <v>45830</v>
      </c>
      <c r="C570" s="25">
        <f t="shared" si="41"/>
        <v>45809</v>
      </c>
      <c r="D570" t="s">
        <v>32</v>
      </c>
      <c r="E570" t="s">
        <v>59</v>
      </c>
      <c r="F570" t="s">
        <v>18</v>
      </c>
      <c r="G570" t="s">
        <v>40</v>
      </c>
      <c r="H570" t="s">
        <v>72</v>
      </c>
      <c r="I570">
        <v>1413</v>
      </c>
      <c r="J570">
        <v>1209</v>
      </c>
      <c r="K570">
        <v>26</v>
      </c>
      <c r="L570">
        <f t="shared" si="42"/>
        <v>1183</v>
      </c>
      <c r="M570">
        <v>71.599999999999994</v>
      </c>
      <c r="N570">
        <v>7.2</v>
      </c>
      <c r="O570" s="8">
        <v>138.66</v>
      </c>
      <c r="P570" s="10">
        <f t="shared" si="40"/>
        <v>167639.94</v>
      </c>
      <c r="Q570" s="8">
        <f t="shared" si="43"/>
        <v>3605.16</v>
      </c>
      <c r="R570" t="s">
        <v>21</v>
      </c>
      <c r="S570">
        <f t="shared" si="44"/>
        <v>1209</v>
      </c>
    </row>
    <row r="571" spans="1:19" x14ac:dyDescent="0.3">
      <c r="A571" t="s">
        <v>609</v>
      </c>
      <c r="B571" s="13">
        <v>45718</v>
      </c>
      <c r="C571" s="25">
        <f t="shared" si="41"/>
        <v>45717</v>
      </c>
      <c r="D571" t="s">
        <v>24</v>
      </c>
      <c r="E571" t="s">
        <v>62</v>
      </c>
      <c r="F571" t="s">
        <v>26</v>
      </c>
      <c r="G571" t="s">
        <v>40</v>
      </c>
      <c r="H571" t="s">
        <v>37</v>
      </c>
      <c r="I571">
        <v>1068</v>
      </c>
      <c r="J571">
        <v>1136</v>
      </c>
      <c r="K571">
        <v>18</v>
      </c>
      <c r="L571">
        <f t="shared" si="42"/>
        <v>1118</v>
      </c>
      <c r="M571">
        <v>14.3</v>
      </c>
      <c r="N571">
        <v>8.4</v>
      </c>
      <c r="O571" s="8">
        <v>138.72999999999999</v>
      </c>
      <c r="P571" s="10">
        <f t="shared" si="40"/>
        <v>157597.28</v>
      </c>
      <c r="Q571" s="8">
        <f t="shared" si="43"/>
        <v>2497.14</v>
      </c>
      <c r="R571" t="s">
        <v>29</v>
      </c>
      <c r="S571">
        <f t="shared" si="44"/>
        <v>1136</v>
      </c>
    </row>
    <row r="572" spans="1:19" x14ac:dyDescent="0.3">
      <c r="A572" t="s">
        <v>911</v>
      </c>
      <c r="B572" s="13">
        <v>45692</v>
      </c>
      <c r="C572" s="25">
        <f t="shared" si="41"/>
        <v>45689</v>
      </c>
      <c r="D572" t="s">
        <v>24</v>
      </c>
      <c r="E572" t="s">
        <v>59</v>
      </c>
      <c r="F572" t="s">
        <v>33</v>
      </c>
      <c r="G572" t="s">
        <v>27</v>
      </c>
      <c r="H572" t="s">
        <v>37</v>
      </c>
      <c r="I572">
        <v>1073</v>
      </c>
      <c r="J572">
        <v>1068</v>
      </c>
      <c r="K572">
        <v>14</v>
      </c>
      <c r="L572">
        <f t="shared" si="42"/>
        <v>1054</v>
      </c>
      <c r="M572">
        <v>7.9</v>
      </c>
      <c r="N572">
        <v>7.2</v>
      </c>
      <c r="O572" s="8">
        <v>138.78</v>
      </c>
      <c r="P572" s="10">
        <f t="shared" si="40"/>
        <v>148217.04</v>
      </c>
      <c r="Q572" s="8">
        <f t="shared" si="43"/>
        <v>1942.92</v>
      </c>
      <c r="R572" t="s">
        <v>29</v>
      </c>
      <c r="S572">
        <f t="shared" si="44"/>
        <v>1068</v>
      </c>
    </row>
    <row r="573" spans="1:19" x14ac:dyDescent="0.3">
      <c r="A573" t="s">
        <v>255</v>
      </c>
      <c r="B573" s="13">
        <v>45865</v>
      </c>
      <c r="C573" s="25">
        <f t="shared" si="41"/>
        <v>45839</v>
      </c>
      <c r="D573" t="s">
        <v>16</v>
      </c>
      <c r="E573" t="s">
        <v>62</v>
      </c>
      <c r="F573" t="s">
        <v>26</v>
      </c>
      <c r="G573" t="s">
        <v>40</v>
      </c>
      <c r="H573" t="s">
        <v>72</v>
      </c>
      <c r="I573">
        <v>1647</v>
      </c>
      <c r="J573">
        <v>1637</v>
      </c>
      <c r="K573">
        <v>33</v>
      </c>
      <c r="L573">
        <f t="shared" si="42"/>
        <v>1604</v>
      </c>
      <c r="M573">
        <v>41.4</v>
      </c>
      <c r="N573">
        <v>7.8</v>
      </c>
      <c r="O573" s="8">
        <v>139.02000000000001</v>
      </c>
      <c r="P573" s="10">
        <f t="shared" si="40"/>
        <v>227575.74000000002</v>
      </c>
      <c r="Q573" s="8">
        <f t="shared" si="43"/>
        <v>4587.6600000000008</v>
      </c>
      <c r="R573" t="s">
        <v>21</v>
      </c>
      <c r="S573">
        <f t="shared" si="44"/>
        <v>1637</v>
      </c>
    </row>
    <row r="574" spans="1:19" x14ac:dyDescent="0.3">
      <c r="A574" t="s">
        <v>218</v>
      </c>
      <c r="B574" s="13">
        <v>45799</v>
      </c>
      <c r="C574" s="25">
        <f t="shared" si="41"/>
        <v>45778</v>
      </c>
      <c r="D574" t="s">
        <v>32</v>
      </c>
      <c r="E574" t="s">
        <v>25</v>
      </c>
      <c r="F574" t="s">
        <v>33</v>
      </c>
      <c r="G574" t="s">
        <v>27</v>
      </c>
      <c r="H574" t="s">
        <v>82</v>
      </c>
      <c r="I574">
        <v>1230</v>
      </c>
      <c r="J574">
        <v>1168</v>
      </c>
      <c r="K574">
        <v>40</v>
      </c>
      <c r="L574">
        <f t="shared" si="42"/>
        <v>1128</v>
      </c>
      <c r="M574">
        <v>31.5</v>
      </c>
      <c r="N574">
        <v>8.5</v>
      </c>
      <c r="O574" s="8">
        <v>139.03</v>
      </c>
      <c r="P574" s="10">
        <f t="shared" si="40"/>
        <v>162387.04</v>
      </c>
      <c r="Q574" s="8">
        <f t="shared" si="43"/>
        <v>5561.2</v>
      </c>
      <c r="R574" t="s">
        <v>21</v>
      </c>
      <c r="S574">
        <f t="shared" si="44"/>
        <v>1168</v>
      </c>
    </row>
    <row r="575" spans="1:19" x14ac:dyDescent="0.3">
      <c r="A575" t="s">
        <v>856</v>
      </c>
      <c r="B575" s="13">
        <v>45855</v>
      </c>
      <c r="C575" s="25">
        <f t="shared" si="41"/>
        <v>45839</v>
      </c>
      <c r="D575" t="s">
        <v>16</v>
      </c>
      <c r="E575" t="s">
        <v>25</v>
      </c>
      <c r="F575" t="s">
        <v>26</v>
      </c>
      <c r="G575" t="s">
        <v>27</v>
      </c>
      <c r="H575" t="s">
        <v>44</v>
      </c>
      <c r="I575">
        <v>1537</v>
      </c>
      <c r="J575">
        <v>1448</v>
      </c>
      <c r="K575">
        <v>34</v>
      </c>
      <c r="L575">
        <f t="shared" si="42"/>
        <v>1414</v>
      </c>
      <c r="M575">
        <v>57</v>
      </c>
      <c r="N575">
        <v>7.5</v>
      </c>
      <c r="O575" s="8">
        <v>139.81</v>
      </c>
      <c r="P575" s="10">
        <f t="shared" si="40"/>
        <v>202444.88</v>
      </c>
      <c r="Q575" s="8">
        <f t="shared" si="43"/>
        <v>4753.54</v>
      </c>
      <c r="R575" t="s">
        <v>21</v>
      </c>
      <c r="S575">
        <f t="shared" si="44"/>
        <v>1448</v>
      </c>
    </row>
    <row r="576" spans="1:19" x14ac:dyDescent="0.3">
      <c r="A576" t="s">
        <v>845</v>
      </c>
      <c r="B576" s="13">
        <v>45992</v>
      </c>
      <c r="C576" s="25">
        <f t="shared" si="41"/>
        <v>45992</v>
      </c>
      <c r="D576" t="s">
        <v>32</v>
      </c>
      <c r="E576" t="s">
        <v>62</v>
      </c>
      <c r="F576" t="s">
        <v>49</v>
      </c>
      <c r="G576" t="s">
        <v>40</v>
      </c>
      <c r="H576" t="s">
        <v>44</v>
      </c>
      <c r="I576">
        <v>1428</v>
      </c>
      <c r="J576">
        <v>1431</v>
      </c>
      <c r="K576">
        <v>7</v>
      </c>
      <c r="L576">
        <f t="shared" si="42"/>
        <v>1424</v>
      </c>
      <c r="M576">
        <v>165</v>
      </c>
      <c r="N576">
        <v>7.9</v>
      </c>
      <c r="O576" s="8">
        <v>140.15</v>
      </c>
      <c r="P576" s="10">
        <f t="shared" si="40"/>
        <v>200554.65</v>
      </c>
      <c r="Q576" s="8">
        <f t="shared" si="43"/>
        <v>981.05000000000007</v>
      </c>
      <c r="R576" t="s">
        <v>29</v>
      </c>
      <c r="S576">
        <f t="shared" si="44"/>
        <v>1431</v>
      </c>
    </row>
    <row r="577" spans="1:19" x14ac:dyDescent="0.3">
      <c r="A577" t="s">
        <v>388</v>
      </c>
      <c r="B577" s="13">
        <v>46009</v>
      </c>
      <c r="C577" s="25">
        <f t="shared" si="41"/>
        <v>45992</v>
      </c>
      <c r="D577" t="s">
        <v>16</v>
      </c>
      <c r="E577" t="s">
        <v>36</v>
      </c>
      <c r="F577" t="s">
        <v>43</v>
      </c>
      <c r="G577" t="s">
        <v>27</v>
      </c>
      <c r="H577" t="s">
        <v>44</v>
      </c>
      <c r="I577">
        <v>1618</v>
      </c>
      <c r="J577">
        <v>1575</v>
      </c>
      <c r="K577">
        <v>16</v>
      </c>
      <c r="L577">
        <f t="shared" si="42"/>
        <v>1559</v>
      </c>
      <c r="M577">
        <v>15</v>
      </c>
      <c r="N577">
        <v>6.7</v>
      </c>
      <c r="O577" s="8">
        <v>140.49</v>
      </c>
      <c r="P577" s="10">
        <f t="shared" si="40"/>
        <v>221271.75</v>
      </c>
      <c r="Q577" s="8">
        <f t="shared" si="43"/>
        <v>2247.84</v>
      </c>
      <c r="R577" t="s">
        <v>29</v>
      </c>
      <c r="S577">
        <f t="shared" si="44"/>
        <v>1575</v>
      </c>
    </row>
    <row r="578" spans="1:19" x14ac:dyDescent="0.3">
      <c r="A578" t="s">
        <v>325</v>
      </c>
      <c r="B578" s="13">
        <v>45861</v>
      </c>
      <c r="C578" s="25">
        <f t="shared" si="41"/>
        <v>45839</v>
      </c>
      <c r="D578" t="s">
        <v>16</v>
      </c>
      <c r="E578" t="s">
        <v>17</v>
      </c>
      <c r="F578" t="s">
        <v>18</v>
      </c>
      <c r="G578" t="s">
        <v>19</v>
      </c>
      <c r="H578" t="s">
        <v>72</v>
      </c>
      <c r="I578">
        <v>1212</v>
      </c>
      <c r="J578">
        <v>1184</v>
      </c>
      <c r="K578">
        <v>22</v>
      </c>
      <c r="L578">
        <f t="shared" si="42"/>
        <v>1162</v>
      </c>
      <c r="M578">
        <v>21.9</v>
      </c>
      <c r="N578">
        <v>7.3</v>
      </c>
      <c r="O578" s="8">
        <v>140.61000000000001</v>
      </c>
      <c r="P578" s="10">
        <f t="shared" ref="P578:P601" si="45">J578*O578</f>
        <v>166482.24000000002</v>
      </c>
      <c r="Q578" s="8">
        <f t="shared" si="43"/>
        <v>3093.42</v>
      </c>
      <c r="R578" t="s">
        <v>29</v>
      </c>
      <c r="S578">
        <f t="shared" si="44"/>
        <v>1184</v>
      </c>
    </row>
    <row r="579" spans="1:19" x14ac:dyDescent="0.3">
      <c r="A579" t="s">
        <v>752</v>
      </c>
      <c r="B579" s="13">
        <v>45860</v>
      </c>
      <c r="C579" s="25">
        <f t="shared" ref="C579:C601" si="46">DATE(YEAR(B579), MONTH(B579), 1 )</f>
        <v>45839</v>
      </c>
      <c r="D579" t="s">
        <v>16</v>
      </c>
      <c r="E579" t="s">
        <v>36</v>
      </c>
      <c r="F579" t="s">
        <v>26</v>
      </c>
      <c r="G579" t="s">
        <v>19</v>
      </c>
      <c r="H579" t="s">
        <v>20</v>
      </c>
      <c r="I579">
        <v>803</v>
      </c>
      <c r="J579">
        <v>808</v>
      </c>
      <c r="K579">
        <v>15</v>
      </c>
      <c r="L579">
        <f t="shared" ref="L579:L588" si="47">J579 -K579</f>
        <v>793</v>
      </c>
      <c r="M579">
        <v>8.4</v>
      </c>
      <c r="N579">
        <v>7.2</v>
      </c>
      <c r="O579" s="8">
        <v>140.72</v>
      </c>
      <c r="P579" s="10">
        <f t="shared" si="45"/>
        <v>113701.75999999999</v>
      </c>
      <c r="Q579" s="8">
        <f t="shared" ref="Q579:Q601" si="48">K579*O579</f>
        <v>2110.8000000000002</v>
      </c>
      <c r="R579" t="s">
        <v>29</v>
      </c>
      <c r="S579">
        <f t="shared" ref="S579:S601" si="49">L579  + K579</f>
        <v>808</v>
      </c>
    </row>
    <row r="580" spans="1:19" x14ac:dyDescent="0.3">
      <c r="A580" t="s">
        <v>133</v>
      </c>
      <c r="B580" s="13">
        <v>45983</v>
      </c>
      <c r="C580" s="25">
        <f>DATE(YEAR(B580), MONTH(B580), 1 )</f>
        <v>45962</v>
      </c>
      <c r="D580" t="s">
        <v>16</v>
      </c>
      <c r="E580" t="s">
        <v>59</v>
      </c>
      <c r="F580" t="s">
        <v>18</v>
      </c>
      <c r="G580" t="s">
        <v>19</v>
      </c>
      <c r="H580" t="s">
        <v>69</v>
      </c>
      <c r="I580">
        <v>1225</v>
      </c>
      <c r="J580">
        <v>1263</v>
      </c>
      <c r="K580">
        <v>26</v>
      </c>
      <c r="L580">
        <f t="shared" si="47"/>
        <v>1237</v>
      </c>
      <c r="M580">
        <v>120.1</v>
      </c>
      <c r="N580">
        <v>7.6</v>
      </c>
      <c r="O580" s="8">
        <v>141.16999999999999</v>
      </c>
      <c r="P580" s="10">
        <f t="shared" si="45"/>
        <v>178297.71</v>
      </c>
      <c r="Q580" s="8">
        <f t="shared" si="48"/>
        <v>3670.4199999999996</v>
      </c>
      <c r="R580" t="s">
        <v>21</v>
      </c>
      <c r="S580">
        <f t="shared" si="49"/>
        <v>1263</v>
      </c>
    </row>
    <row r="581" spans="1:19" x14ac:dyDescent="0.3">
      <c r="A581" t="s">
        <v>597</v>
      </c>
      <c r="B581" s="13">
        <v>45764</v>
      </c>
      <c r="C581" s="25">
        <f t="shared" si="46"/>
        <v>45748</v>
      </c>
      <c r="D581" t="s">
        <v>24</v>
      </c>
      <c r="E581" t="s">
        <v>62</v>
      </c>
      <c r="F581" t="s">
        <v>18</v>
      </c>
      <c r="G581" t="s">
        <v>40</v>
      </c>
      <c r="H581" t="s">
        <v>28</v>
      </c>
      <c r="I581">
        <v>1754</v>
      </c>
      <c r="J581">
        <v>1832</v>
      </c>
      <c r="K581">
        <v>36</v>
      </c>
      <c r="L581">
        <f t="shared" si="47"/>
        <v>1796</v>
      </c>
      <c r="M581">
        <v>84.7</v>
      </c>
      <c r="N581">
        <v>6.9</v>
      </c>
      <c r="O581" s="8">
        <v>141.18</v>
      </c>
      <c r="P581" s="10">
        <f t="shared" si="45"/>
        <v>258641.76</v>
      </c>
      <c r="Q581" s="8">
        <f t="shared" si="48"/>
        <v>5082.4800000000005</v>
      </c>
      <c r="R581" t="s">
        <v>29</v>
      </c>
      <c r="S581">
        <f t="shared" si="49"/>
        <v>1832</v>
      </c>
    </row>
    <row r="582" spans="1:19" x14ac:dyDescent="0.3">
      <c r="A582" t="s">
        <v>743</v>
      </c>
      <c r="B582" s="13">
        <v>45848</v>
      </c>
      <c r="C582" s="25">
        <f t="shared" si="46"/>
        <v>45839</v>
      </c>
      <c r="D582" t="s">
        <v>32</v>
      </c>
      <c r="E582" t="s">
        <v>62</v>
      </c>
      <c r="F582" t="s">
        <v>43</v>
      </c>
      <c r="G582" t="s">
        <v>40</v>
      </c>
      <c r="H582" t="s">
        <v>82</v>
      </c>
      <c r="I582">
        <v>845</v>
      </c>
      <c r="J582">
        <v>901</v>
      </c>
      <c r="K582">
        <v>28</v>
      </c>
      <c r="L582">
        <f t="shared" si="47"/>
        <v>873</v>
      </c>
      <c r="M582">
        <v>54.3</v>
      </c>
      <c r="N582">
        <v>7.2</v>
      </c>
      <c r="O582" s="8">
        <v>141.36000000000001</v>
      </c>
      <c r="P582" s="10">
        <f t="shared" si="45"/>
        <v>127365.36000000002</v>
      </c>
      <c r="Q582" s="8">
        <f t="shared" si="48"/>
        <v>3958.0800000000004</v>
      </c>
      <c r="R582" t="s">
        <v>21</v>
      </c>
      <c r="S582">
        <f t="shared" si="49"/>
        <v>901</v>
      </c>
    </row>
    <row r="583" spans="1:19" x14ac:dyDescent="0.3">
      <c r="A583" t="s">
        <v>634</v>
      </c>
      <c r="B583" s="13">
        <v>45829</v>
      </c>
      <c r="C583" s="25">
        <f t="shared" si="46"/>
        <v>45809</v>
      </c>
      <c r="D583" t="s">
        <v>32</v>
      </c>
      <c r="E583" t="s">
        <v>17</v>
      </c>
      <c r="F583" t="s">
        <v>18</v>
      </c>
      <c r="G583" t="s">
        <v>27</v>
      </c>
      <c r="H583" t="s">
        <v>75</v>
      </c>
      <c r="I583">
        <v>1316</v>
      </c>
      <c r="J583">
        <v>1453</v>
      </c>
      <c r="K583">
        <v>12</v>
      </c>
      <c r="L583">
        <f t="shared" si="47"/>
        <v>1441</v>
      </c>
      <c r="M583">
        <v>28.3</v>
      </c>
      <c r="N583">
        <v>7.6</v>
      </c>
      <c r="O583" s="8">
        <v>141.44</v>
      </c>
      <c r="P583" s="10">
        <f t="shared" si="45"/>
        <v>205512.32000000001</v>
      </c>
      <c r="Q583" s="8">
        <f t="shared" si="48"/>
        <v>1697.28</v>
      </c>
      <c r="R583" t="s">
        <v>29</v>
      </c>
      <c r="S583">
        <f t="shared" si="49"/>
        <v>1453</v>
      </c>
    </row>
    <row r="584" spans="1:19" x14ac:dyDescent="0.3">
      <c r="A584" t="s">
        <v>421</v>
      </c>
      <c r="B584" s="13">
        <v>45914</v>
      </c>
      <c r="C584" s="25">
        <f t="shared" si="46"/>
        <v>45901</v>
      </c>
      <c r="D584" t="s">
        <v>32</v>
      </c>
      <c r="E584" t="s">
        <v>17</v>
      </c>
      <c r="F584" t="s">
        <v>18</v>
      </c>
      <c r="G584" t="s">
        <v>27</v>
      </c>
      <c r="H584" t="s">
        <v>82</v>
      </c>
      <c r="I584">
        <v>1041</v>
      </c>
      <c r="J584">
        <v>982</v>
      </c>
      <c r="K584">
        <v>21</v>
      </c>
      <c r="L584">
        <f t="shared" si="47"/>
        <v>961</v>
      </c>
      <c r="M584">
        <v>19.100000000000001</v>
      </c>
      <c r="N584">
        <v>6.4</v>
      </c>
      <c r="O584" s="8">
        <v>141.49</v>
      </c>
      <c r="P584" s="10">
        <f t="shared" si="45"/>
        <v>138943.18000000002</v>
      </c>
      <c r="Q584" s="8">
        <f t="shared" si="48"/>
        <v>2971.29</v>
      </c>
      <c r="R584" t="s">
        <v>21</v>
      </c>
      <c r="S584">
        <f t="shared" si="49"/>
        <v>982</v>
      </c>
    </row>
    <row r="585" spans="1:19" x14ac:dyDescent="0.3">
      <c r="A585" t="s">
        <v>344</v>
      </c>
      <c r="B585" s="13">
        <v>45666</v>
      </c>
      <c r="C585" s="25">
        <f t="shared" si="46"/>
        <v>45658</v>
      </c>
      <c r="D585" t="s">
        <v>24</v>
      </c>
      <c r="E585" t="s">
        <v>25</v>
      </c>
      <c r="F585" t="s">
        <v>33</v>
      </c>
      <c r="G585" t="s">
        <v>19</v>
      </c>
      <c r="H585" t="s">
        <v>20</v>
      </c>
      <c r="I585">
        <v>1137</v>
      </c>
      <c r="J585">
        <v>963</v>
      </c>
      <c r="K585">
        <v>24</v>
      </c>
      <c r="L585">
        <f t="shared" si="47"/>
        <v>939</v>
      </c>
      <c r="M585" t="str">
        <f xml:space="preserve"> ""</f>
        <v/>
      </c>
      <c r="N585">
        <v>8.1</v>
      </c>
      <c r="O585" s="8">
        <v>141.94</v>
      </c>
      <c r="P585" s="10">
        <f t="shared" si="45"/>
        <v>136688.22</v>
      </c>
      <c r="Q585" s="8">
        <f t="shared" si="48"/>
        <v>3406.56</v>
      </c>
      <c r="R585" t="s">
        <v>21</v>
      </c>
      <c r="S585">
        <f t="shared" si="49"/>
        <v>963</v>
      </c>
    </row>
    <row r="586" spans="1:19" x14ac:dyDescent="0.3">
      <c r="A586" t="s">
        <v>936</v>
      </c>
      <c r="B586" s="13">
        <v>45942</v>
      </c>
      <c r="C586" s="25">
        <f t="shared" si="46"/>
        <v>45931</v>
      </c>
      <c r="D586" t="s">
        <v>16</v>
      </c>
      <c r="E586" t="s">
        <v>25</v>
      </c>
      <c r="F586" t="s">
        <v>49</v>
      </c>
      <c r="G586" t="s">
        <v>19</v>
      </c>
      <c r="H586" t="s">
        <v>72</v>
      </c>
      <c r="I586">
        <v>1774</v>
      </c>
      <c r="J586">
        <v>1529</v>
      </c>
      <c r="K586">
        <v>31</v>
      </c>
      <c r="L586">
        <f t="shared" si="47"/>
        <v>1498</v>
      </c>
      <c r="M586">
        <v>67.7</v>
      </c>
      <c r="N586">
        <v>6.6</v>
      </c>
      <c r="O586" s="8">
        <v>141.97999999999999</v>
      </c>
      <c r="P586" s="10">
        <f t="shared" si="45"/>
        <v>217087.41999999998</v>
      </c>
      <c r="Q586" s="8">
        <f t="shared" si="48"/>
        <v>4401.38</v>
      </c>
      <c r="R586" t="s">
        <v>21</v>
      </c>
      <c r="S586">
        <f t="shared" si="49"/>
        <v>1529</v>
      </c>
    </row>
    <row r="587" spans="1:19" x14ac:dyDescent="0.3">
      <c r="A587" t="s">
        <v>692</v>
      </c>
      <c r="B587" s="13">
        <v>45721</v>
      </c>
      <c r="C587" s="25">
        <f t="shared" si="46"/>
        <v>45717</v>
      </c>
      <c r="D587" t="s">
        <v>32</v>
      </c>
      <c r="E587" t="s">
        <v>25</v>
      </c>
      <c r="F587" t="s">
        <v>49</v>
      </c>
      <c r="G587" t="s">
        <v>27</v>
      </c>
      <c r="H587" t="s">
        <v>37</v>
      </c>
      <c r="I587">
        <v>854</v>
      </c>
      <c r="J587">
        <v>888</v>
      </c>
      <c r="K587">
        <v>21</v>
      </c>
      <c r="L587">
        <f t="shared" si="47"/>
        <v>867</v>
      </c>
      <c r="M587">
        <v>40.200000000000003</v>
      </c>
      <c r="N587">
        <v>6.5</v>
      </c>
      <c r="O587" s="8">
        <v>142.36000000000001</v>
      </c>
      <c r="P587" s="10">
        <f t="shared" si="45"/>
        <v>126415.68000000001</v>
      </c>
      <c r="Q587" s="8">
        <f t="shared" si="48"/>
        <v>2989.5600000000004</v>
      </c>
      <c r="R587" t="s">
        <v>21</v>
      </c>
      <c r="S587">
        <f t="shared" si="49"/>
        <v>888</v>
      </c>
    </row>
    <row r="588" spans="1:19" x14ac:dyDescent="0.3">
      <c r="A588" t="s">
        <v>87</v>
      </c>
      <c r="B588" s="13">
        <v>45996</v>
      </c>
      <c r="C588" s="25">
        <f t="shared" si="46"/>
        <v>45992</v>
      </c>
      <c r="D588" t="s">
        <v>16</v>
      </c>
      <c r="E588" t="s">
        <v>59</v>
      </c>
      <c r="F588" t="s">
        <v>18</v>
      </c>
      <c r="G588" t="s">
        <v>27</v>
      </c>
      <c r="H588" t="s">
        <v>44</v>
      </c>
      <c r="I588">
        <v>998</v>
      </c>
      <c r="J588">
        <v>944</v>
      </c>
      <c r="K588">
        <v>5</v>
      </c>
      <c r="L588">
        <f t="shared" si="47"/>
        <v>939</v>
      </c>
      <c r="M588">
        <v>3.9</v>
      </c>
      <c r="N588">
        <v>6.5</v>
      </c>
      <c r="O588" s="8">
        <v>142.46</v>
      </c>
      <c r="P588" s="10">
        <f t="shared" si="45"/>
        <v>134482.24000000002</v>
      </c>
      <c r="Q588" s="8">
        <f t="shared" si="48"/>
        <v>712.30000000000007</v>
      </c>
      <c r="R588" t="s">
        <v>29</v>
      </c>
      <c r="S588">
        <f t="shared" si="49"/>
        <v>944</v>
      </c>
    </row>
    <row r="589" spans="1:19" x14ac:dyDescent="0.3">
      <c r="A589" t="s">
        <v>491</v>
      </c>
      <c r="B589" s="13">
        <v>45870</v>
      </c>
      <c r="C589" s="25">
        <f t="shared" si="46"/>
        <v>45870</v>
      </c>
      <c r="D589" t="s">
        <v>16</v>
      </c>
      <c r="E589" t="s">
        <v>17</v>
      </c>
      <c r="F589" t="s">
        <v>18</v>
      </c>
      <c r="G589" t="s">
        <v>27</v>
      </c>
      <c r="H589" t="s">
        <v>44</v>
      </c>
      <c r="I589">
        <v>1079</v>
      </c>
      <c r="J589">
        <v>1045</v>
      </c>
      <c r="K589">
        <v>24</v>
      </c>
      <c r="L589">
        <f t="shared" ref="L589:L601" si="50">J589 -K589</f>
        <v>1021</v>
      </c>
      <c r="M589">
        <v>43.9</v>
      </c>
      <c r="N589">
        <v>8.3000000000000007</v>
      </c>
      <c r="O589" s="8">
        <v>142.59</v>
      </c>
      <c r="P589" s="10">
        <f t="shared" si="45"/>
        <v>149006.55000000002</v>
      </c>
      <c r="Q589" s="8">
        <f t="shared" si="48"/>
        <v>3422.16</v>
      </c>
      <c r="R589" t="s">
        <v>21</v>
      </c>
      <c r="S589">
        <f t="shared" si="49"/>
        <v>1045</v>
      </c>
    </row>
    <row r="590" spans="1:19" x14ac:dyDescent="0.3">
      <c r="A590" t="s">
        <v>60</v>
      </c>
      <c r="B590" s="13">
        <v>45926</v>
      </c>
      <c r="C590" s="25">
        <f t="shared" si="46"/>
        <v>45901</v>
      </c>
      <c r="D590" t="s">
        <v>16</v>
      </c>
      <c r="E590" t="s">
        <v>62</v>
      </c>
      <c r="F590" t="s">
        <v>26</v>
      </c>
      <c r="G590" t="s">
        <v>40</v>
      </c>
      <c r="H590" t="str">
        <f>"Not Found"</f>
        <v>Not Found</v>
      </c>
      <c r="I590">
        <v>840</v>
      </c>
      <c r="J590">
        <v>743</v>
      </c>
      <c r="K590">
        <v>13</v>
      </c>
      <c r="L590">
        <f t="shared" si="50"/>
        <v>730</v>
      </c>
      <c r="M590">
        <v>14.9</v>
      </c>
      <c r="N590">
        <v>6.9</v>
      </c>
      <c r="O590" s="8">
        <v>143.30000000000001</v>
      </c>
      <c r="P590" s="10">
        <f t="shared" si="45"/>
        <v>106471.90000000001</v>
      </c>
      <c r="Q590" s="8">
        <f t="shared" si="48"/>
        <v>1862.9</v>
      </c>
      <c r="R590" t="s">
        <v>29</v>
      </c>
      <c r="S590">
        <f t="shared" si="49"/>
        <v>743</v>
      </c>
    </row>
    <row r="591" spans="1:19" x14ac:dyDescent="0.3">
      <c r="A591" t="s">
        <v>727</v>
      </c>
      <c r="B591" s="13">
        <v>45865</v>
      </c>
      <c r="C591" s="25">
        <f t="shared" si="46"/>
        <v>45839</v>
      </c>
      <c r="D591" t="s">
        <v>24</v>
      </c>
      <c r="E591" t="s">
        <v>25</v>
      </c>
      <c r="F591" t="s">
        <v>49</v>
      </c>
      <c r="G591" t="s">
        <v>40</v>
      </c>
      <c r="H591" t="s">
        <v>82</v>
      </c>
      <c r="I591">
        <v>785</v>
      </c>
      <c r="J591">
        <v>701</v>
      </c>
      <c r="K591">
        <v>3</v>
      </c>
      <c r="L591">
        <f t="shared" si="50"/>
        <v>698</v>
      </c>
      <c r="M591">
        <v>64.2</v>
      </c>
      <c r="N591">
        <v>7.5</v>
      </c>
      <c r="O591" s="8">
        <v>143.30000000000001</v>
      </c>
      <c r="P591" s="10">
        <f t="shared" si="45"/>
        <v>100453.3</v>
      </c>
      <c r="Q591" s="8">
        <f t="shared" si="48"/>
        <v>429.90000000000003</v>
      </c>
      <c r="R591" t="s">
        <v>29</v>
      </c>
      <c r="S591">
        <f t="shared" si="49"/>
        <v>701</v>
      </c>
    </row>
    <row r="592" spans="1:19" x14ac:dyDescent="0.3">
      <c r="A592" t="s">
        <v>671</v>
      </c>
      <c r="B592" s="13">
        <v>45920</v>
      </c>
      <c r="C592" s="25">
        <f t="shared" si="46"/>
        <v>45901</v>
      </c>
      <c r="D592" t="s">
        <v>24</v>
      </c>
      <c r="E592" t="s">
        <v>59</v>
      </c>
      <c r="F592" t="s">
        <v>43</v>
      </c>
      <c r="G592" t="s">
        <v>27</v>
      </c>
      <c r="H592" t="s">
        <v>28</v>
      </c>
      <c r="I592">
        <v>1138</v>
      </c>
      <c r="J592">
        <v>1093</v>
      </c>
      <c r="K592">
        <v>24</v>
      </c>
      <c r="L592">
        <f t="shared" si="50"/>
        <v>1069</v>
      </c>
      <c r="M592">
        <v>29.3</v>
      </c>
      <c r="N592">
        <v>7.5</v>
      </c>
      <c r="O592" s="8">
        <v>143.31</v>
      </c>
      <c r="P592" s="10">
        <f t="shared" si="45"/>
        <v>156637.83000000002</v>
      </c>
      <c r="Q592" s="8">
        <f t="shared" si="48"/>
        <v>3439.44</v>
      </c>
      <c r="R592" t="s">
        <v>21</v>
      </c>
      <c r="S592">
        <f t="shared" si="49"/>
        <v>1093</v>
      </c>
    </row>
    <row r="593" spans="1:19" x14ac:dyDescent="0.3">
      <c r="A593" t="s">
        <v>565</v>
      </c>
      <c r="B593" s="13">
        <v>45923</v>
      </c>
      <c r="C593" s="25">
        <f t="shared" si="46"/>
        <v>45901</v>
      </c>
      <c r="D593" t="s">
        <v>24</v>
      </c>
      <c r="E593" t="s">
        <v>59</v>
      </c>
      <c r="F593" t="s">
        <v>54</v>
      </c>
      <c r="G593" t="s">
        <v>40</v>
      </c>
      <c r="H593" t="s">
        <v>69</v>
      </c>
      <c r="I593">
        <v>1101</v>
      </c>
      <c r="J593">
        <v>886</v>
      </c>
      <c r="K593">
        <v>3</v>
      </c>
      <c r="L593">
        <f t="shared" si="50"/>
        <v>883</v>
      </c>
      <c r="M593">
        <v>39.700000000000003</v>
      </c>
      <c r="N593">
        <v>7.9</v>
      </c>
      <c r="O593" s="8">
        <v>143.37</v>
      </c>
      <c r="P593" s="10">
        <f t="shared" si="45"/>
        <v>127025.82</v>
      </c>
      <c r="Q593" s="8">
        <f t="shared" si="48"/>
        <v>430.11</v>
      </c>
      <c r="R593" t="s">
        <v>29</v>
      </c>
      <c r="S593">
        <f t="shared" si="49"/>
        <v>886</v>
      </c>
    </row>
    <row r="594" spans="1:19" x14ac:dyDescent="0.3">
      <c r="A594" t="s">
        <v>235</v>
      </c>
      <c r="B594" s="13">
        <v>45660</v>
      </c>
      <c r="C594" s="25">
        <f t="shared" si="46"/>
        <v>45658</v>
      </c>
      <c r="D594" t="s">
        <v>16</v>
      </c>
      <c r="E594" t="s">
        <v>25</v>
      </c>
      <c r="F594" t="s">
        <v>26</v>
      </c>
      <c r="G594" t="s">
        <v>19</v>
      </c>
      <c r="H594" t="s">
        <v>69</v>
      </c>
      <c r="I594">
        <v>1310</v>
      </c>
      <c r="J594">
        <v>1321</v>
      </c>
      <c r="K594">
        <v>26</v>
      </c>
      <c r="L594">
        <f t="shared" si="50"/>
        <v>1295</v>
      </c>
      <c r="M594">
        <v>76</v>
      </c>
      <c r="N594">
        <v>6.5</v>
      </c>
      <c r="O594" s="8">
        <v>143.55000000000001</v>
      </c>
      <c r="P594" s="10">
        <f t="shared" si="45"/>
        <v>189629.55000000002</v>
      </c>
      <c r="Q594" s="8">
        <f t="shared" si="48"/>
        <v>3732.3</v>
      </c>
      <c r="R594" t="s">
        <v>29</v>
      </c>
      <c r="S594">
        <f t="shared" si="49"/>
        <v>1321</v>
      </c>
    </row>
    <row r="595" spans="1:19" x14ac:dyDescent="0.3">
      <c r="A595" t="s">
        <v>886</v>
      </c>
      <c r="B595" s="13">
        <v>45853</v>
      </c>
      <c r="C595" s="25">
        <f t="shared" si="46"/>
        <v>45839</v>
      </c>
      <c r="D595" t="s">
        <v>32</v>
      </c>
      <c r="E595" t="s">
        <v>17</v>
      </c>
      <c r="F595" t="s">
        <v>43</v>
      </c>
      <c r="G595" t="s">
        <v>19</v>
      </c>
      <c r="H595" t="s">
        <v>28</v>
      </c>
      <c r="I595">
        <v>757</v>
      </c>
      <c r="J595">
        <v>619</v>
      </c>
      <c r="K595">
        <v>6</v>
      </c>
      <c r="L595">
        <f t="shared" si="50"/>
        <v>613</v>
      </c>
      <c r="M595">
        <v>1.5</v>
      </c>
      <c r="N595">
        <v>7.2</v>
      </c>
      <c r="O595" s="8">
        <v>143.79</v>
      </c>
      <c r="P595" s="10">
        <f t="shared" si="45"/>
        <v>89006.01</v>
      </c>
      <c r="Q595" s="8">
        <f t="shared" si="48"/>
        <v>862.74</v>
      </c>
      <c r="R595" t="s">
        <v>29</v>
      </c>
      <c r="S595">
        <f t="shared" si="49"/>
        <v>619</v>
      </c>
    </row>
    <row r="596" spans="1:19" x14ac:dyDescent="0.3">
      <c r="A596" t="s">
        <v>635</v>
      </c>
      <c r="B596" s="13">
        <v>45773</v>
      </c>
      <c r="C596" s="25">
        <f t="shared" si="46"/>
        <v>45748</v>
      </c>
      <c r="D596" t="s">
        <v>32</v>
      </c>
      <c r="E596" t="s">
        <v>17</v>
      </c>
      <c r="F596" t="s">
        <v>33</v>
      </c>
      <c r="G596" t="s">
        <v>19</v>
      </c>
      <c r="H596" t="s">
        <v>20</v>
      </c>
      <c r="I596">
        <v>1481</v>
      </c>
      <c r="J596">
        <v>1265</v>
      </c>
      <c r="K596">
        <v>12</v>
      </c>
      <c r="L596">
        <f t="shared" si="50"/>
        <v>1253</v>
      </c>
      <c r="M596">
        <v>3.5</v>
      </c>
      <c r="N596">
        <v>7.3</v>
      </c>
      <c r="O596" s="8">
        <v>143.84</v>
      </c>
      <c r="P596" s="10">
        <f t="shared" si="45"/>
        <v>181957.6</v>
      </c>
      <c r="Q596" s="8">
        <f t="shared" si="48"/>
        <v>1726.08</v>
      </c>
      <c r="R596" t="s">
        <v>29</v>
      </c>
      <c r="S596">
        <f t="shared" si="49"/>
        <v>1265</v>
      </c>
    </row>
    <row r="597" spans="1:19" x14ac:dyDescent="0.3">
      <c r="A597" t="s">
        <v>645</v>
      </c>
      <c r="B597" s="13">
        <v>45692</v>
      </c>
      <c r="C597" s="25">
        <f t="shared" si="46"/>
        <v>45689</v>
      </c>
      <c r="D597" t="s">
        <v>24</v>
      </c>
      <c r="E597" t="s">
        <v>62</v>
      </c>
      <c r="F597" t="s">
        <v>33</v>
      </c>
      <c r="G597" t="s">
        <v>19</v>
      </c>
      <c r="H597" t="s">
        <v>69</v>
      </c>
      <c r="I597">
        <v>1468</v>
      </c>
      <c r="J597">
        <v>1531</v>
      </c>
      <c r="K597">
        <v>37</v>
      </c>
      <c r="L597">
        <f t="shared" si="50"/>
        <v>1494</v>
      </c>
      <c r="M597">
        <v>75.3</v>
      </c>
      <c r="N597">
        <v>8.1</v>
      </c>
      <c r="O597" s="8">
        <v>143.86000000000001</v>
      </c>
      <c r="P597" s="10">
        <f t="shared" si="45"/>
        <v>220249.66000000003</v>
      </c>
      <c r="Q597" s="8">
        <f t="shared" si="48"/>
        <v>5322.8200000000006</v>
      </c>
      <c r="R597" t="s">
        <v>21</v>
      </c>
      <c r="S597">
        <f t="shared" si="49"/>
        <v>1531</v>
      </c>
    </row>
    <row r="598" spans="1:19" x14ac:dyDescent="0.3">
      <c r="A598" t="s">
        <v>189</v>
      </c>
      <c r="B598" s="13">
        <v>45740</v>
      </c>
      <c r="C598" s="25">
        <f t="shared" si="46"/>
        <v>45717</v>
      </c>
      <c r="D598" t="s">
        <v>16</v>
      </c>
      <c r="E598" t="s">
        <v>25</v>
      </c>
      <c r="F598" t="s">
        <v>43</v>
      </c>
      <c r="G598" t="s">
        <v>40</v>
      </c>
      <c r="H598" t="s">
        <v>72</v>
      </c>
      <c r="I598">
        <v>882</v>
      </c>
      <c r="J598">
        <v>847</v>
      </c>
      <c r="K598">
        <v>7</v>
      </c>
      <c r="L598">
        <f t="shared" si="50"/>
        <v>840</v>
      </c>
      <c r="M598">
        <v>38</v>
      </c>
      <c r="N598">
        <v>7.3</v>
      </c>
      <c r="O598" s="8">
        <v>143.96</v>
      </c>
      <c r="P598" s="10">
        <f t="shared" si="45"/>
        <v>121934.12000000001</v>
      </c>
      <c r="Q598" s="8">
        <f t="shared" si="48"/>
        <v>1007.72</v>
      </c>
      <c r="R598" t="s">
        <v>29</v>
      </c>
      <c r="S598">
        <f t="shared" si="49"/>
        <v>847</v>
      </c>
    </row>
    <row r="599" spans="1:19" x14ac:dyDescent="0.3">
      <c r="A599" t="s">
        <v>924</v>
      </c>
      <c r="B599" s="13">
        <v>45963</v>
      </c>
      <c r="C599" s="25">
        <f t="shared" si="46"/>
        <v>45962</v>
      </c>
      <c r="D599" t="s">
        <v>24</v>
      </c>
      <c r="E599" t="s">
        <v>62</v>
      </c>
      <c r="F599" t="s">
        <v>33</v>
      </c>
      <c r="G599" t="s">
        <v>40</v>
      </c>
      <c r="H599" t="s">
        <v>75</v>
      </c>
      <c r="I599">
        <v>1485</v>
      </c>
      <c r="J599">
        <v>1402</v>
      </c>
      <c r="K599">
        <v>47</v>
      </c>
      <c r="L599">
        <f t="shared" si="50"/>
        <v>1355</v>
      </c>
      <c r="M599">
        <v>28.2</v>
      </c>
      <c r="N599">
        <v>7.8</v>
      </c>
      <c r="O599" s="8">
        <v>144.44999999999999</v>
      </c>
      <c r="P599" s="10">
        <f t="shared" si="45"/>
        <v>202518.9</v>
      </c>
      <c r="Q599" s="8">
        <f t="shared" si="48"/>
        <v>6789.15</v>
      </c>
      <c r="R599" t="s">
        <v>21</v>
      </c>
      <c r="S599">
        <f t="shared" si="49"/>
        <v>1402</v>
      </c>
    </row>
    <row r="600" spans="1:19" x14ac:dyDescent="0.3">
      <c r="A600" t="s">
        <v>67</v>
      </c>
      <c r="B600" s="13">
        <v>45944</v>
      </c>
      <c r="C600" s="25">
        <f t="shared" si="46"/>
        <v>45931</v>
      </c>
      <c r="D600" t="s">
        <v>24</v>
      </c>
      <c r="E600" t="s">
        <v>59</v>
      </c>
      <c r="F600" t="s">
        <v>33</v>
      </c>
      <c r="G600" t="s">
        <v>19</v>
      </c>
      <c r="H600" t="s">
        <v>69</v>
      </c>
      <c r="I600">
        <v>1347</v>
      </c>
      <c r="J600">
        <v>1186</v>
      </c>
      <c r="K600">
        <v>33</v>
      </c>
      <c r="L600">
        <f t="shared" si="50"/>
        <v>1153</v>
      </c>
      <c r="M600">
        <v>45.5</v>
      </c>
      <c r="N600">
        <v>6.3</v>
      </c>
      <c r="O600" s="8">
        <v>144.62</v>
      </c>
      <c r="P600" s="10">
        <f t="shared" si="45"/>
        <v>171519.32</v>
      </c>
      <c r="Q600" s="8">
        <f t="shared" si="48"/>
        <v>4772.46</v>
      </c>
      <c r="R600" t="s">
        <v>21</v>
      </c>
      <c r="S600">
        <f t="shared" si="49"/>
        <v>1186</v>
      </c>
    </row>
    <row r="601" spans="1:19" x14ac:dyDescent="0.3">
      <c r="A601" t="s">
        <v>676</v>
      </c>
      <c r="B601" s="13">
        <v>45760</v>
      </c>
      <c r="C601" s="25">
        <f t="shared" si="46"/>
        <v>45748</v>
      </c>
      <c r="D601" t="s">
        <v>32</v>
      </c>
      <c r="E601" t="s">
        <v>59</v>
      </c>
      <c r="F601" t="s">
        <v>33</v>
      </c>
      <c r="G601" t="s">
        <v>27</v>
      </c>
      <c r="H601" t="s">
        <v>44</v>
      </c>
      <c r="I601">
        <v>830</v>
      </c>
      <c r="J601">
        <v>783</v>
      </c>
      <c r="K601">
        <v>3</v>
      </c>
      <c r="L601">
        <f t="shared" si="50"/>
        <v>780</v>
      </c>
      <c r="M601">
        <v>87.4</v>
      </c>
      <c r="N601">
        <v>7.8</v>
      </c>
      <c r="O601" s="8">
        <v>144.91999999999999</v>
      </c>
      <c r="P601" s="10">
        <f t="shared" si="45"/>
        <v>113472.35999999999</v>
      </c>
      <c r="Q601" s="8">
        <f t="shared" si="48"/>
        <v>434.76</v>
      </c>
      <c r="R601" t="s">
        <v>29</v>
      </c>
      <c r="S601">
        <f t="shared" si="49"/>
        <v>783</v>
      </c>
    </row>
  </sheetData>
  <sortState ref="A2:R601">
    <sortCondition ref="D2:D601"/>
  </sortState>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4F0A-FA6A-4E7D-BEF6-2DD720AD04A5}">
  <dimension ref="A5:P40"/>
  <sheetViews>
    <sheetView topLeftCell="A10" workbookViewId="0">
      <selection activeCell="B33" sqref="B33"/>
    </sheetView>
  </sheetViews>
  <sheetFormatPr defaultRowHeight="14.4" x14ac:dyDescent="0.3"/>
  <cols>
    <col min="1" max="1" width="23.6640625" bestFit="1" customWidth="1"/>
    <col min="2" max="2" width="16.44140625" bestFit="1" customWidth="1"/>
    <col min="15" max="15" width="24.109375" bestFit="1" customWidth="1"/>
    <col min="16" max="16" width="16.44140625" bestFit="1" customWidth="1"/>
  </cols>
  <sheetData>
    <row r="5" spans="1:16" x14ac:dyDescent="0.3">
      <c r="O5" s="4" t="s">
        <v>1885</v>
      </c>
      <c r="P5" t="s">
        <v>1895</v>
      </c>
    </row>
    <row r="6" spans="1:16" x14ac:dyDescent="0.3">
      <c r="O6" s="5" t="s">
        <v>49</v>
      </c>
      <c r="P6" s="6">
        <v>74245283.950000003</v>
      </c>
    </row>
    <row r="7" spans="1:16" x14ac:dyDescent="0.3">
      <c r="O7" s="5" t="s">
        <v>33</v>
      </c>
      <c r="P7" s="6">
        <v>75045757.510000005</v>
      </c>
    </row>
    <row r="8" spans="1:16" x14ac:dyDescent="0.3">
      <c r="O8" s="5" t="s">
        <v>987</v>
      </c>
      <c r="P8" s="6">
        <v>77042225.390000015</v>
      </c>
    </row>
    <row r="9" spans="1:16" x14ac:dyDescent="0.3">
      <c r="O9" s="5" t="s">
        <v>990</v>
      </c>
      <c r="P9" s="6">
        <v>80650055.279999986</v>
      </c>
    </row>
    <row r="10" spans="1:16" x14ac:dyDescent="0.3">
      <c r="O10" s="5" t="s">
        <v>43</v>
      </c>
      <c r="P10" s="6">
        <v>93209629.309999987</v>
      </c>
    </row>
    <row r="11" spans="1:16" x14ac:dyDescent="0.3">
      <c r="O11" s="5" t="s">
        <v>962</v>
      </c>
      <c r="P11" s="6">
        <v>93950585.339999929</v>
      </c>
    </row>
    <row r="12" spans="1:16" x14ac:dyDescent="0.3">
      <c r="O12" s="5" t="s">
        <v>1886</v>
      </c>
      <c r="P12" s="6">
        <v>494143536.77999991</v>
      </c>
    </row>
    <row r="14" spans="1:16" x14ac:dyDescent="0.3">
      <c r="A14" s="4" t="s">
        <v>1885</v>
      </c>
      <c r="B14" t="s">
        <v>1895</v>
      </c>
    </row>
    <row r="15" spans="1:16" x14ac:dyDescent="0.3">
      <c r="A15" s="5" t="s">
        <v>984</v>
      </c>
      <c r="B15" s="6">
        <v>46498625.210000016</v>
      </c>
    </row>
    <row r="16" spans="1:16" x14ac:dyDescent="0.3">
      <c r="A16" s="5" t="s">
        <v>1011</v>
      </c>
      <c r="B16" s="6">
        <v>53941138.149999984</v>
      </c>
    </row>
    <row r="17" spans="1:6" x14ac:dyDescent="0.3">
      <c r="A17" s="5" t="s">
        <v>1021</v>
      </c>
      <c r="B17" s="6">
        <v>59618211.960000023</v>
      </c>
    </row>
    <row r="18" spans="1:6" x14ac:dyDescent="0.3">
      <c r="A18" s="5" t="s">
        <v>955</v>
      </c>
      <c r="B18" s="6">
        <v>63112612.629999988</v>
      </c>
    </row>
    <row r="19" spans="1:6" x14ac:dyDescent="0.3">
      <c r="A19" s="5" t="s">
        <v>968</v>
      </c>
      <c r="B19" s="6">
        <v>64184535.929999962</v>
      </c>
    </row>
    <row r="20" spans="1:6" x14ac:dyDescent="0.3">
      <c r="A20" s="5" t="s">
        <v>1003</v>
      </c>
      <c r="B20" s="6">
        <v>65315238.63000001</v>
      </c>
    </row>
    <row r="21" spans="1:6" x14ac:dyDescent="0.3">
      <c r="A21" s="5" t="s">
        <v>975</v>
      </c>
      <c r="B21" s="6">
        <v>66927256.000000015</v>
      </c>
    </row>
    <row r="22" spans="1:6" x14ac:dyDescent="0.3">
      <c r="A22" s="5" t="s">
        <v>961</v>
      </c>
      <c r="B22" s="6">
        <v>74545918.270000041</v>
      </c>
    </row>
    <row r="23" spans="1:6" x14ac:dyDescent="0.3">
      <c r="A23" s="5" t="s">
        <v>1886</v>
      </c>
      <c r="B23" s="6">
        <v>494143536.77999997</v>
      </c>
    </row>
    <row r="26" spans="1:6" x14ac:dyDescent="0.3">
      <c r="A26" s="4" t="s">
        <v>1885</v>
      </c>
      <c r="B26" t="s">
        <v>1895</v>
      </c>
    </row>
    <row r="27" spans="1:6" x14ac:dyDescent="0.3">
      <c r="A27" s="5" t="s">
        <v>1911</v>
      </c>
      <c r="B27" s="6">
        <v>494143536.78000015</v>
      </c>
    </row>
    <row r="28" spans="1:6" x14ac:dyDescent="0.3">
      <c r="A28" s="17" t="s">
        <v>1899</v>
      </c>
      <c r="B28" s="6">
        <v>48197059.580000006</v>
      </c>
      <c r="E28" t="s">
        <v>1899</v>
      </c>
      <c r="F28">
        <v>48197059.580000006</v>
      </c>
    </row>
    <row r="29" spans="1:6" x14ac:dyDescent="0.3">
      <c r="A29" s="17" t="s">
        <v>1900</v>
      </c>
      <c r="B29" s="6">
        <v>33269048.969999999</v>
      </c>
      <c r="E29" t="s">
        <v>1900</v>
      </c>
      <c r="F29">
        <v>33269048.969999999</v>
      </c>
    </row>
    <row r="30" spans="1:6" x14ac:dyDescent="0.3">
      <c r="A30" s="17" t="s">
        <v>1901</v>
      </c>
      <c r="B30" s="6">
        <v>33355121.879999988</v>
      </c>
      <c r="E30" t="s">
        <v>1901</v>
      </c>
      <c r="F30">
        <v>33355121.879999988</v>
      </c>
    </row>
    <row r="31" spans="1:6" x14ac:dyDescent="0.3">
      <c r="A31" s="17" t="s">
        <v>1902</v>
      </c>
      <c r="B31" s="6">
        <v>50942904.460000008</v>
      </c>
      <c r="E31" t="s">
        <v>1902</v>
      </c>
      <c r="F31">
        <v>50942904.460000008</v>
      </c>
    </row>
    <row r="32" spans="1:6" x14ac:dyDescent="0.3">
      <c r="A32" s="17" t="s">
        <v>1903</v>
      </c>
      <c r="B32" s="6">
        <v>42780304.040000014</v>
      </c>
      <c r="E32" t="s">
        <v>1903</v>
      </c>
      <c r="F32">
        <v>42780304.040000014</v>
      </c>
    </row>
    <row r="33" spans="1:6" x14ac:dyDescent="0.3">
      <c r="A33" s="17" t="s">
        <v>1904</v>
      </c>
      <c r="B33" s="6">
        <v>33782492.950000003</v>
      </c>
      <c r="E33" t="s">
        <v>1904</v>
      </c>
      <c r="F33">
        <v>33782492.950000003</v>
      </c>
    </row>
    <row r="34" spans="1:6" x14ac:dyDescent="0.3">
      <c r="A34" s="17" t="s">
        <v>1905</v>
      </c>
      <c r="B34" s="6">
        <v>47325464.630000018</v>
      </c>
      <c r="E34" t="s">
        <v>1905</v>
      </c>
      <c r="F34">
        <v>47325464.630000018</v>
      </c>
    </row>
    <row r="35" spans="1:6" x14ac:dyDescent="0.3">
      <c r="A35" s="17" t="s">
        <v>1906</v>
      </c>
      <c r="B35" s="6">
        <v>41669861.43</v>
      </c>
      <c r="E35" t="s">
        <v>1906</v>
      </c>
      <c r="F35">
        <v>41669861.43</v>
      </c>
    </row>
    <row r="36" spans="1:6" x14ac:dyDescent="0.3">
      <c r="A36" s="17" t="s">
        <v>1907</v>
      </c>
      <c r="B36" s="6">
        <v>34687339.040000007</v>
      </c>
      <c r="E36" t="s">
        <v>1907</v>
      </c>
      <c r="F36">
        <v>34687339.040000007</v>
      </c>
    </row>
    <row r="37" spans="1:6" x14ac:dyDescent="0.3">
      <c r="A37" s="17" t="s">
        <v>1908</v>
      </c>
      <c r="B37" s="6">
        <v>48246913.030000001</v>
      </c>
      <c r="E37" t="s">
        <v>1908</v>
      </c>
      <c r="F37">
        <v>48246913.030000001</v>
      </c>
    </row>
    <row r="38" spans="1:6" x14ac:dyDescent="0.3">
      <c r="A38" s="17" t="s">
        <v>1909</v>
      </c>
      <c r="B38" s="6">
        <v>33378978.799999997</v>
      </c>
      <c r="E38" t="s">
        <v>1909</v>
      </c>
      <c r="F38">
        <v>33378978.799999997</v>
      </c>
    </row>
    <row r="39" spans="1:6" x14ac:dyDescent="0.3">
      <c r="A39" s="17" t="s">
        <v>1910</v>
      </c>
      <c r="B39" s="6">
        <v>46508047.970000006</v>
      </c>
      <c r="E39" t="s">
        <v>1910</v>
      </c>
      <c r="F39">
        <v>46508047.970000006</v>
      </c>
    </row>
    <row r="40" spans="1:6" x14ac:dyDescent="0.3">
      <c r="A40" s="5" t="s">
        <v>1886</v>
      </c>
      <c r="B40" s="6">
        <v>494143536.78000015</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01"/>
  <sheetViews>
    <sheetView topLeftCell="L773" workbookViewId="0">
      <selection sqref="A1:U801"/>
    </sheetView>
  </sheetViews>
  <sheetFormatPr defaultRowHeight="14.4" x14ac:dyDescent="0.3"/>
  <cols>
    <col min="1" max="1" width="13" customWidth="1"/>
    <col min="2" max="2" width="12" style="13" customWidth="1"/>
    <col min="3" max="3" width="14.33203125" style="16" bestFit="1" customWidth="1"/>
    <col min="4" max="5" width="27" customWidth="1"/>
    <col min="6" max="6" width="16" customWidth="1"/>
    <col min="7" max="8" width="12" customWidth="1"/>
    <col min="9" max="9" width="16" customWidth="1"/>
    <col min="10" max="10" width="16" style="3" customWidth="1"/>
    <col min="11" max="11" width="17" style="3" customWidth="1"/>
    <col min="12" max="12" width="13" customWidth="1"/>
    <col min="13" max="13" width="23" customWidth="1"/>
    <col min="14" max="14" width="23" style="16" customWidth="1"/>
    <col min="15" max="16" width="22" customWidth="1"/>
    <col min="17" max="17" width="17" customWidth="1"/>
    <col min="18" max="19" width="20" style="8" customWidth="1"/>
    <col min="20" max="20" width="20" style="6" customWidth="1"/>
    <col min="21" max="21" width="20" style="20" customWidth="1"/>
  </cols>
  <sheetData>
    <row r="1" spans="1:21" ht="30" customHeight="1" x14ac:dyDescent="0.3">
      <c r="A1" s="1" t="s">
        <v>939</v>
      </c>
      <c r="B1" s="12" t="s">
        <v>940</v>
      </c>
      <c r="C1" s="15" t="s">
        <v>1898</v>
      </c>
      <c r="D1" s="1" t="s">
        <v>941</v>
      </c>
      <c r="E1" s="1" t="s">
        <v>942</v>
      </c>
      <c r="F1" s="1" t="s">
        <v>943</v>
      </c>
      <c r="G1" s="1" t="s">
        <v>944</v>
      </c>
      <c r="H1" s="1" t="s">
        <v>945</v>
      </c>
      <c r="I1" s="1" t="s">
        <v>946</v>
      </c>
      <c r="J1" s="2" t="s">
        <v>947</v>
      </c>
      <c r="K1" s="2" t="s">
        <v>948</v>
      </c>
      <c r="L1" s="1" t="s">
        <v>949</v>
      </c>
      <c r="M1" s="1" t="s">
        <v>950</v>
      </c>
      <c r="N1" s="15" t="s">
        <v>1896</v>
      </c>
      <c r="O1" s="1" t="s">
        <v>951</v>
      </c>
      <c r="P1" s="1" t="s">
        <v>1897</v>
      </c>
      <c r="Q1" s="1" t="s">
        <v>952</v>
      </c>
      <c r="R1" s="7" t="s">
        <v>953</v>
      </c>
      <c r="S1" s="14" t="s">
        <v>1894</v>
      </c>
      <c r="T1" s="18" t="s">
        <v>1912</v>
      </c>
      <c r="U1" s="19" t="s">
        <v>1913</v>
      </c>
    </row>
    <row r="2" spans="1:21" x14ac:dyDescent="0.3">
      <c r="A2" t="s">
        <v>954</v>
      </c>
      <c r="B2" s="13" t="s">
        <v>683</v>
      </c>
      <c r="C2" s="16">
        <f>DATE(YEAR(B2), MONTH(B2), 1)</f>
        <v>45748</v>
      </c>
      <c r="D2" t="s">
        <v>955</v>
      </c>
      <c r="E2" t="s">
        <v>43</v>
      </c>
      <c r="F2" t="s">
        <v>956</v>
      </c>
      <c r="G2" t="s">
        <v>957</v>
      </c>
      <c r="H2" t="s">
        <v>958</v>
      </c>
      <c r="I2">
        <v>1086</v>
      </c>
      <c r="J2" s="3">
        <v>742.25</v>
      </c>
      <c r="K2" s="3">
        <v>806083.5</v>
      </c>
      <c r="L2">
        <v>406</v>
      </c>
      <c r="M2" t="s">
        <v>167</v>
      </c>
      <c r="N2" s="16">
        <f>DATE(YEAR(M2), MONTH(M2),1)</f>
        <v>45748</v>
      </c>
      <c r="O2" t="s">
        <v>343</v>
      </c>
      <c r="P2" t="str">
        <f>TEXT(O2, "mmmm yyyy")</f>
        <v>May 2025</v>
      </c>
      <c r="Q2" t="s">
        <v>959</v>
      </c>
      <c r="R2" s="8">
        <v>19455.45</v>
      </c>
      <c r="S2" s="8">
        <f>K2 +R2</f>
        <v>825538.95</v>
      </c>
      <c r="T2" s="6">
        <f>O2 -M2</f>
        <v>4</v>
      </c>
      <c r="U2" s="20">
        <f>O2 - B2</f>
        <v>6</v>
      </c>
    </row>
    <row r="3" spans="1:21" x14ac:dyDescent="0.3">
      <c r="A3" t="s">
        <v>960</v>
      </c>
      <c r="B3" s="13" t="s">
        <v>74</v>
      </c>
      <c r="C3" s="16">
        <f t="shared" ref="C3:C66" si="0">DATE(YEAR(B3), MONTH(B3), 1)</f>
        <v>45689</v>
      </c>
      <c r="D3" t="s">
        <v>961</v>
      </c>
      <c r="E3" t="s">
        <v>962</v>
      </c>
      <c r="F3" t="s">
        <v>963</v>
      </c>
      <c r="G3" t="s">
        <v>964</v>
      </c>
      <c r="H3" t="s">
        <v>965</v>
      </c>
      <c r="I3">
        <v>2027</v>
      </c>
      <c r="J3" s="3">
        <v>782.42</v>
      </c>
      <c r="K3" s="3">
        <v>1585965.34</v>
      </c>
      <c r="L3">
        <v>80</v>
      </c>
      <c r="M3" t="s">
        <v>182</v>
      </c>
      <c r="N3" s="16">
        <f t="shared" ref="N3:N66" si="1">DATE(YEAR(M3), MONTH(M3),1)</f>
        <v>45689</v>
      </c>
      <c r="O3" t="s">
        <v>182</v>
      </c>
      <c r="P3" t="str">
        <f t="shared" ref="P3:P66" si="2">TEXT(O3, "mmmm yyyy")</f>
        <v>February 2025</v>
      </c>
      <c r="Q3" t="s">
        <v>966</v>
      </c>
      <c r="R3" s="8">
        <v>4650.55</v>
      </c>
      <c r="S3" s="8">
        <f t="shared" ref="S3:S66" si="3">K3 +R3</f>
        <v>1590615.8900000001</v>
      </c>
      <c r="T3" s="6">
        <f>O3 -M3</f>
        <v>0</v>
      </c>
    </row>
    <row r="4" spans="1:21" x14ac:dyDescent="0.3">
      <c r="A4" t="s">
        <v>967</v>
      </c>
      <c r="B4" s="13" t="s">
        <v>221</v>
      </c>
      <c r="C4" s="16">
        <f t="shared" si="0"/>
        <v>45962</v>
      </c>
      <c r="D4" t="s">
        <v>968</v>
      </c>
      <c r="E4" t="s">
        <v>43</v>
      </c>
      <c r="F4" t="s">
        <v>963</v>
      </c>
      <c r="G4" t="s">
        <v>964</v>
      </c>
      <c r="H4" t="s">
        <v>965</v>
      </c>
      <c r="I4">
        <v>758</v>
      </c>
      <c r="J4" s="3">
        <v>643.51</v>
      </c>
      <c r="K4" s="3">
        <v>487780.58</v>
      </c>
      <c r="L4">
        <v>697</v>
      </c>
      <c r="M4" t="s">
        <v>418</v>
      </c>
      <c r="N4" s="16">
        <f t="shared" si="1"/>
        <v>45962</v>
      </c>
      <c r="O4" t="s">
        <v>169</v>
      </c>
      <c r="P4" t="str">
        <f t="shared" si="2"/>
        <v>November 2025</v>
      </c>
      <c r="Q4" t="s">
        <v>959</v>
      </c>
      <c r="R4" s="8">
        <v>26836.9</v>
      </c>
      <c r="S4" s="8">
        <f t="shared" si="3"/>
        <v>514617.48000000004</v>
      </c>
      <c r="T4" s="6">
        <f t="shared" ref="T4:T67" si="4">O4 -M4</f>
        <v>1</v>
      </c>
    </row>
    <row r="5" spans="1:21" x14ac:dyDescent="0.3">
      <c r="A5" t="s">
        <v>969</v>
      </c>
      <c r="B5" s="13" t="s">
        <v>970</v>
      </c>
      <c r="C5" s="16">
        <f t="shared" si="0"/>
        <v>45658</v>
      </c>
      <c r="D5" t="s">
        <v>968</v>
      </c>
      <c r="E5" t="s">
        <v>962</v>
      </c>
      <c r="F5" t="s">
        <v>971</v>
      </c>
      <c r="G5" t="s">
        <v>972</v>
      </c>
      <c r="H5" t="s">
        <v>973</v>
      </c>
      <c r="I5">
        <v>2247</v>
      </c>
      <c r="J5" s="3">
        <v>178.61</v>
      </c>
      <c r="K5" s="3">
        <v>401336.67</v>
      </c>
      <c r="L5">
        <v>652</v>
      </c>
      <c r="M5" t="s">
        <v>613</v>
      </c>
      <c r="N5" s="16">
        <f t="shared" si="1"/>
        <v>45658</v>
      </c>
      <c r="O5" t="s">
        <v>861</v>
      </c>
      <c r="P5" t="str">
        <f t="shared" si="2"/>
        <v>January 2025</v>
      </c>
      <c r="Q5" t="s">
        <v>959</v>
      </c>
      <c r="R5" s="8">
        <v>33466</v>
      </c>
      <c r="S5" s="8">
        <f t="shared" si="3"/>
        <v>434802.67</v>
      </c>
      <c r="T5" s="6">
        <f t="shared" si="4"/>
        <v>4</v>
      </c>
    </row>
    <row r="6" spans="1:21" x14ac:dyDescent="0.3">
      <c r="A6" t="s">
        <v>974</v>
      </c>
      <c r="B6" s="13" t="s">
        <v>141</v>
      </c>
      <c r="C6" s="16">
        <f t="shared" si="0"/>
        <v>45717</v>
      </c>
      <c r="D6" t="s">
        <v>975</v>
      </c>
      <c r="E6" t="s">
        <v>33</v>
      </c>
      <c r="F6" t="s">
        <v>956</v>
      </c>
      <c r="G6" t="s">
        <v>976</v>
      </c>
      <c r="H6" t="s">
        <v>977</v>
      </c>
      <c r="I6">
        <v>256</v>
      </c>
      <c r="J6" s="3">
        <v>100.81</v>
      </c>
      <c r="K6" s="3">
        <v>25807.360000000001</v>
      </c>
      <c r="L6">
        <v>152</v>
      </c>
      <c r="M6" t="s">
        <v>233</v>
      </c>
      <c r="N6" s="16">
        <f t="shared" si="1"/>
        <v>45717</v>
      </c>
      <c r="O6" t="s">
        <v>978</v>
      </c>
      <c r="P6" t="str">
        <f t="shared" si="2"/>
        <v>March 2025</v>
      </c>
      <c r="Q6" t="s">
        <v>959</v>
      </c>
      <c r="R6" s="8">
        <v>6973.76</v>
      </c>
      <c r="S6" s="8">
        <f t="shared" si="3"/>
        <v>32781.120000000003</v>
      </c>
      <c r="T6" s="6">
        <f t="shared" si="4"/>
        <v>3</v>
      </c>
    </row>
    <row r="7" spans="1:21" x14ac:dyDescent="0.3">
      <c r="A7" t="s">
        <v>979</v>
      </c>
      <c r="B7" s="13" t="s">
        <v>978</v>
      </c>
      <c r="C7" s="16">
        <f t="shared" si="0"/>
        <v>45717</v>
      </c>
      <c r="D7" t="s">
        <v>968</v>
      </c>
      <c r="E7" t="s">
        <v>43</v>
      </c>
      <c r="F7" t="s">
        <v>980</v>
      </c>
      <c r="G7" t="s">
        <v>981</v>
      </c>
      <c r="H7" t="s">
        <v>982</v>
      </c>
      <c r="I7">
        <v>1140</v>
      </c>
      <c r="J7" s="3">
        <v>548.84</v>
      </c>
      <c r="K7" s="3">
        <v>625677.6</v>
      </c>
      <c r="L7">
        <v>718</v>
      </c>
      <c r="M7" t="s">
        <v>298</v>
      </c>
      <c r="N7" s="16">
        <f t="shared" si="1"/>
        <v>45717</v>
      </c>
      <c r="O7" t="s">
        <v>298</v>
      </c>
      <c r="P7" t="str">
        <f t="shared" si="2"/>
        <v>March 2025</v>
      </c>
      <c r="Q7" t="s">
        <v>966</v>
      </c>
      <c r="R7" s="8">
        <v>38968.9</v>
      </c>
      <c r="S7" s="8">
        <f t="shared" si="3"/>
        <v>664646.5</v>
      </c>
      <c r="T7" s="6">
        <f t="shared" si="4"/>
        <v>0</v>
      </c>
    </row>
    <row r="8" spans="1:21" x14ac:dyDescent="0.3">
      <c r="A8" t="s">
        <v>983</v>
      </c>
      <c r="B8" s="13" t="s">
        <v>469</v>
      </c>
      <c r="C8" s="16">
        <f t="shared" si="0"/>
        <v>45717</v>
      </c>
      <c r="D8" t="s">
        <v>984</v>
      </c>
      <c r="E8" t="s">
        <v>33</v>
      </c>
      <c r="F8" t="s">
        <v>963</v>
      </c>
      <c r="G8" t="s">
        <v>985</v>
      </c>
      <c r="H8" t="s">
        <v>958</v>
      </c>
      <c r="I8">
        <v>2494</v>
      </c>
      <c r="J8" s="3">
        <v>344.5</v>
      </c>
      <c r="K8" s="3">
        <v>859183</v>
      </c>
      <c r="L8">
        <v>527</v>
      </c>
      <c r="M8" t="s">
        <v>839</v>
      </c>
      <c r="N8" s="16">
        <f t="shared" si="1"/>
        <v>45717</v>
      </c>
      <c r="O8" t="s">
        <v>141</v>
      </c>
      <c r="P8" t="str">
        <f t="shared" si="2"/>
        <v>March 2025</v>
      </c>
      <c r="Q8" t="s">
        <v>959</v>
      </c>
      <c r="R8" s="8">
        <v>23343.439999999999</v>
      </c>
      <c r="S8" s="8">
        <f t="shared" si="3"/>
        <v>882526.44</v>
      </c>
      <c r="T8" s="6">
        <f t="shared" si="4"/>
        <v>1</v>
      </c>
    </row>
    <row r="9" spans="1:21" x14ac:dyDescent="0.3">
      <c r="A9" t="s">
        <v>986</v>
      </c>
      <c r="B9" s="13" t="s">
        <v>350</v>
      </c>
      <c r="C9" s="16">
        <f t="shared" si="0"/>
        <v>45931</v>
      </c>
      <c r="D9" t="s">
        <v>975</v>
      </c>
      <c r="E9" t="s">
        <v>987</v>
      </c>
      <c r="F9" t="s">
        <v>971</v>
      </c>
      <c r="G9" t="s">
        <v>988</v>
      </c>
      <c r="H9" t="s">
        <v>982</v>
      </c>
      <c r="I9">
        <v>2353</v>
      </c>
      <c r="J9" s="3">
        <v>581.47</v>
      </c>
      <c r="K9" s="3">
        <v>1368198.91</v>
      </c>
      <c r="L9">
        <v>33</v>
      </c>
      <c r="M9" t="s">
        <v>23</v>
      </c>
      <c r="N9" s="16">
        <f t="shared" si="1"/>
        <v>45931</v>
      </c>
      <c r="O9" t="s">
        <v>23</v>
      </c>
      <c r="P9" t="str">
        <f t="shared" si="2"/>
        <v>October 2025</v>
      </c>
      <c r="Q9" t="s">
        <v>966</v>
      </c>
      <c r="R9" s="8">
        <v>1885.39</v>
      </c>
      <c r="S9" s="8">
        <f t="shared" si="3"/>
        <v>1370084.2999999998</v>
      </c>
      <c r="T9" s="6">
        <f t="shared" si="4"/>
        <v>0</v>
      </c>
    </row>
    <row r="10" spans="1:21" x14ac:dyDescent="0.3">
      <c r="A10" t="s">
        <v>989</v>
      </c>
      <c r="B10" s="13" t="s">
        <v>316</v>
      </c>
      <c r="C10" s="16">
        <f t="shared" si="0"/>
        <v>45748</v>
      </c>
      <c r="D10" t="s">
        <v>961</v>
      </c>
      <c r="E10" t="s">
        <v>990</v>
      </c>
      <c r="F10" t="s">
        <v>971</v>
      </c>
      <c r="G10" t="s">
        <v>991</v>
      </c>
      <c r="H10" t="s">
        <v>992</v>
      </c>
      <c r="I10">
        <v>57</v>
      </c>
      <c r="J10" s="3">
        <v>574.82000000000005</v>
      </c>
      <c r="K10" s="3">
        <v>32764.74</v>
      </c>
      <c r="L10">
        <v>327</v>
      </c>
      <c r="M10" t="s">
        <v>539</v>
      </c>
      <c r="N10" s="16">
        <f t="shared" si="1"/>
        <v>45748</v>
      </c>
      <c r="O10" t="s">
        <v>598</v>
      </c>
      <c r="P10" t="str">
        <f t="shared" si="2"/>
        <v>April 2025</v>
      </c>
      <c r="Q10" t="s">
        <v>959</v>
      </c>
      <c r="R10" s="8">
        <v>14949.71</v>
      </c>
      <c r="S10" s="8">
        <f t="shared" si="3"/>
        <v>47714.45</v>
      </c>
      <c r="T10" s="6">
        <f t="shared" si="4"/>
        <v>3</v>
      </c>
    </row>
    <row r="11" spans="1:21" x14ac:dyDescent="0.3">
      <c r="A11" t="s">
        <v>993</v>
      </c>
      <c r="B11" s="13" t="s">
        <v>498</v>
      </c>
      <c r="C11" s="16">
        <f t="shared" si="0"/>
        <v>45870</v>
      </c>
      <c r="D11" t="s">
        <v>975</v>
      </c>
      <c r="E11" t="s">
        <v>990</v>
      </c>
      <c r="F11" t="s">
        <v>956</v>
      </c>
      <c r="G11" t="s">
        <v>994</v>
      </c>
      <c r="H11" t="s">
        <v>973</v>
      </c>
      <c r="I11">
        <v>2070</v>
      </c>
      <c r="J11" s="3">
        <v>515.96</v>
      </c>
      <c r="K11" s="3">
        <v>1068037.2</v>
      </c>
      <c r="L11">
        <v>44</v>
      </c>
      <c r="M11" t="s">
        <v>833</v>
      </c>
      <c r="N11" s="16">
        <f t="shared" si="1"/>
        <v>45870</v>
      </c>
      <c r="O11" t="s">
        <v>833</v>
      </c>
      <c r="P11" t="str">
        <f t="shared" si="2"/>
        <v>August 2025</v>
      </c>
      <c r="Q11" t="s">
        <v>966</v>
      </c>
      <c r="R11" s="8">
        <v>2194.5500000000002</v>
      </c>
      <c r="S11" s="8">
        <f t="shared" si="3"/>
        <v>1070231.75</v>
      </c>
      <c r="T11" s="6">
        <f t="shared" si="4"/>
        <v>0</v>
      </c>
    </row>
    <row r="12" spans="1:21" x14ac:dyDescent="0.3">
      <c r="A12" t="s">
        <v>995</v>
      </c>
      <c r="B12" s="13" t="s">
        <v>340</v>
      </c>
      <c r="C12" s="16">
        <f t="shared" si="0"/>
        <v>45748</v>
      </c>
      <c r="D12" t="s">
        <v>968</v>
      </c>
      <c r="E12" t="s">
        <v>987</v>
      </c>
      <c r="F12" t="s">
        <v>980</v>
      </c>
      <c r="G12" t="s">
        <v>996</v>
      </c>
      <c r="H12" t="s">
        <v>977</v>
      </c>
      <c r="I12">
        <v>194</v>
      </c>
      <c r="J12" s="3">
        <v>678.94</v>
      </c>
      <c r="K12" s="3">
        <v>131714.35999999999</v>
      </c>
      <c r="L12">
        <v>280</v>
      </c>
      <c r="M12" t="s">
        <v>167</v>
      </c>
      <c r="N12" s="16">
        <f t="shared" si="1"/>
        <v>45748</v>
      </c>
      <c r="O12" t="s">
        <v>340</v>
      </c>
      <c r="P12" t="str">
        <f t="shared" si="2"/>
        <v>April 2025</v>
      </c>
      <c r="Q12" t="s">
        <v>966</v>
      </c>
      <c r="R12" s="8">
        <v>16904.29</v>
      </c>
      <c r="S12" s="8">
        <f t="shared" si="3"/>
        <v>148618.65</v>
      </c>
      <c r="T12" s="6">
        <f t="shared" si="4"/>
        <v>-1</v>
      </c>
    </row>
    <row r="13" spans="1:21" x14ac:dyDescent="0.3">
      <c r="A13" t="s">
        <v>997</v>
      </c>
      <c r="B13" s="13" t="s">
        <v>340</v>
      </c>
      <c r="C13" s="16">
        <f t="shared" si="0"/>
        <v>45748</v>
      </c>
      <c r="D13" t="s">
        <v>961</v>
      </c>
      <c r="E13" t="s">
        <v>33</v>
      </c>
      <c r="F13" t="s">
        <v>963</v>
      </c>
      <c r="G13" t="s">
        <v>998</v>
      </c>
      <c r="H13" t="s">
        <v>992</v>
      </c>
      <c r="I13">
        <v>215</v>
      </c>
      <c r="J13" s="3">
        <v>450.32</v>
      </c>
      <c r="K13" s="3">
        <v>96818.8</v>
      </c>
      <c r="L13">
        <v>34</v>
      </c>
      <c r="M13" t="s">
        <v>167</v>
      </c>
      <c r="N13" s="16">
        <f t="shared" si="1"/>
        <v>45748</v>
      </c>
      <c r="O13" t="s">
        <v>340</v>
      </c>
      <c r="P13" t="str">
        <f t="shared" si="2"/>
        <v>April 2025</v>
      </c>
      <c r="Q13" t="s">
        <v>966</v>
      </c>
      <c r="R13" s="8">
        <v>1212.9000000000001</v>
      </c>
      <c r="S13" s="8">
        <f t="shared" si="3"/>
        <v>98031.7</v>
      </c>
      <c r="T13" s="6">
        <f t="shared" si="4"/>
        <v>-1</v>
      </c>
    </row>
    <row r="14" spans="1:21" x14ac:dyDescent="0.3">
      <c r="A14" t="s">
        <v>999</v>
      </c>
      <c r="B14" s="13" t="s">
        <v>176</v>
      </c>
      <c r="C14" s="16">
        <f t="shared" si="0"/>
        <v>45931</v>
      </c>
      <c r="D14" t="s">
        <v>961</v>
      </c>
      <c r="E14" t="s">
        <v>33</v>
      </c>
      <c r="F14" t="s">
        <v>963</v>
      </c>
      <c r="G14" t="s">
        <v>998</v>
      </c>
      <c r="H14" t="s">
        <v>1000</v>
      </c>
      <c r="I14">
        <v>1303</v>
      </c>
      <c r="J14" s="3">
        <v>738.92</v>
      </c>
      <c r="K14" s="3">
        <v>962812.76</v>
      </c>
      <c r="L14">
        <v>645</v>
      </c>
      <c r="M14" t="s">
        <v>928</v>
      </c>
      <c r="N14" s="16">
        <f t="shared" si="1"/>
        <v>45931</v>
      </c>
      <c r="O14" t="s">
        <v>215</v>
      </c>
      <c r="P14" t="str">
        <f t="shared" si="2"/>
        <v>October 2025</v>
      </c>
      <c r="Q14" t="s">
        <v>959</v>
      </c>
      <c r="R14" s="8">
        <v>26655.26</v>
      </c>
      <c r="S14" s="8">
        <f t="shared" si="3"/>
        <v>989468.02</v>
      </c>
      <c r="T14" s="6">
        <f t="shared" si="4"/>
        <v>1</v>
      </c>
    </row>
    <row r="15" spans="1:21" x14ac:dyDescent="0.3">
      <c r="A15" t="s">
        <v>1001</v>
      </c>
      <c r="B15" s="13" t="s">
        <v>1002</v>
      </c>
      <c r="C15" s="16">
        <f t="shared" si="0"/>
        <v>45839</v>
      </c>
      <c r="D15" t="s">
        <v>1003</v>
      </c>
      <c r="E15" t="s">
        <v>990</v>
      </c>
      <c r="F15" t="s">
        <v>956</v>
      </c>
      <c r="G15" t="s">
        <v>1004</v>
      </c>
      <c r="H15" t="s">
        <v>1000</v>
      </c>
      <c r="I15">
        <v>1839</v>
      </c>
      <c r="J15" s="3">
        <v>856.94</v>
      </c>
      <c r="K15" s="3">
        <v>1575912.66</v>
      </c>
      <c r="L15">
        <v>714</v>
      </c>
      <c r="M15" t="s">
        <v>98</v>
      </c>
      <c r="N15" s="16">
        <f t="shared" si="1"/>
        <v>45839</v>
      </c>
      <c r="O15" t="s">
        <v>1005</v>
      </c>
      <c r="P15" t="str">
        <f t="shared" si="2"/>
        <v>July 2025</v>
      </c>
      <c r="Q15" t="s">
        <v>959</v>
      </c>
      <c r="R15" s="8">
        <v>41035.449999999997</v>
      </c>
      <c r="S15" s="8">
        <f t="shared" si="3"/>
        <v>1616948.1099999999</v>
      </c>
      <c r="T15" s="6">
        <f t="shared" si="4"/>
        <v>1</v>
      </c>
    </row>
    <row r="16" spans="1:21" x14ac:dyDescent="0.3">
      <c r="A16" t="s">
        <v>1006</v>
      </c>
      <c r="B16" s="13" t="s">
        <v>326</v>
      </c>
      <c r="C16" s="16">
        <f t="shared" si="0"/>
        <v>45839</v>
      </c>
      <c r="D16" t="s">
        <v>1003</v>
      </c>
      <c r="E16" t="s">
        <v>987</v>
      </c>
      <c r="F16" t="s">
        <v>956</v>
      </c>
      <c r="G16" t="s">
        <v>996</v>
      </c>
      <c r="H16" t="s">
        <v>977</v>
      </c>
      <c r="I16">
        <v>498</v>
      </c>
      <c r="J16" s="3">
        <v>103.44</v>
      </c>
      <c r="K16" s="3">
        <v>51513.120000000003</v>
      </c>
      <c r="L16">
        <v>504</v>
      </c>
      <c r="M16" t="s">
        <v>1007</v>
      </c>
      <c r="N16" s="16">
        <f t="shared" si="1"/>
        <v>45839</v>
      </c>
      <c r="O16" t="s">
        <v>277</v>
      </c>
      <c r="P16" t="str">
        <f t="shared" si="2"/>
        <v>July 2025</v>
      </c>
      <c r="Q16" t="s">
        <v>959</v>
      </c>
      <c r="R16" s="8">
        <v>27050.67</v>
      </c>
      <c r="S16" s="8">
        <f t="shared" si="3"/>
        <v>78563.790000000008</v>
      </c>
      <c r="T16" s="6">
        <f t="shared" si="4"/>
        <v>4</v>
      </c>
    </row>
    <row r="17" spans="1:20" x14ac:dyDescent="0.3">
      <c r="A17" t="s">
        <v>1008</v>
      </c>
      <c r="B17" s="13" t="s">
        <v>42</v>
      </c>
      <c r="C17" s="16">
        <f t="shared" si="0"/>
        <v>45962</v>
      </c>
      <c r="D17" t="s">
        <v>1003</v>
      </c>
      <c r="E17" t="s">
        <v>33</v>
      </c>
      <c r="F17" t="s">
        <v>980</v>
      </c>
      <c r="G17" t="s">
        <v>988</v>
      </c>
      <c r="H17" t="s">
        <v>977</v>
      </c>
      <c r="I17">
        <v>2383</v>
      </c>
      <c r="J17" s="3">
        <v>313.37</v>
      </c>
      <c r="K17" s="3">
        <v>746760.71</v>
      </c>
      <c r="L17">
        <v>508</v>
      </c>
      <c r="M17" t="s">
        <v>714</v>
      </c>
      <c r="N17" s="16">
        <f t="shared" si="1"/>
        <v>45962</v>
      </c>
      <c r="O17" t="s">
        <v>714</v>
      </c>
      <c r="P17" t="str">
        <f t="shared" si="2"/>
        <v>November 2025</v>
      </c>
      <c r="Q17" t="s">
        <v>966</v>
      </c>
      <c r="R17" s="8">
        <v>25212</v>
      </c>
      <c r="S17" s="8">
        <f t="shared" si="3"/>
        <v>771972.71</v>
      </c>
      <c r="T17" s="6">
        <f t="shared" si="4"/>
        <v>0</v>
      </c>
    </row>
    <row r="18" spans="1:20" x14ac:dyDescent="0.3">
      <c r="A18" t="s">
        <v>1009</v>
      </c>
      <c r="B18" s="13" t="s">
        <v>1010</v>
      </c>
      <c r="C18" s="16">
        <f t="shared" si="0"/>
        <v>45992</v>
      </c>
      <c r="D18" t="s">
        <v>1011</v>
      </c>
      <c r="E18" t="s">
        <v>43</v>
      </c>
      <c r="F18" t="s">
        <v>956</v>
      </c>
      <c r="G18" t="s">
        <v>1012</v>
      </c>
      <c r="H18" t="s">
        <v>958</v>
      </c>
      <c r="I18">
        <v>1666</v>
      </c>
      <c r="J18" s="3">
        <v>881.88</v>
      </c>
      <c r="K18" s="3">
        <v>1469212.08</v>
      </c>
      <c r="L18">
        <v>716</v>
      </c>
      <c r="M18" t="s">
        <v>361</v>
      </c>
      <c r="N18" s="16">
        <f t="shared" si="1"/>
        <v>45992</v>
      </c>
      <c r="O18" t="s">
        <v>361</v>
      </c>
      <c r="P18" t="str">
        <f t="shared" si="2"/>
        <v>December 2025</v>
      </c>
      <c r="Q18" t="s">
        <v>966</v>
      </c>
      <c r="R18" s="8">
        <v>36442.120000000003</v>
      </c>
      <c r="S18" s="8">
        <f t="shared" si="3"/>
        <v>1505654.2000000002</v>
      </c>
      <c r="T18" s="6">
        <f t="shared" si="4"/>
        <v>0</v>
      </c>
    </row>
    <row r="19" spans="1:20" x14ac:dyDescent="0.3">
      <c r="A19" t="s">
        <v>1013</v>
      </c>
      <c r="B19" s="13" t="s">
        <v>35</v>
      </c>
      <c r="C19" s="16">
        <f t="shared" si="0"/>
        <v>45809</v>
      </c>
      <c r="D19" t="s">
        <v>1003</v>
      </c>
      <c r="E19" t="s">
        <v>43</v>
      </c>
      <c r="F19" t="s">
        <v>963</v>
      </c>
      <c r="G19" t="s">
        <v>998</v>
      </c>
      <c r="H19" t="s">
        <v>982</v>
      </c>
      <c r="I19">
        <v>409</v>
      </c>
      <c r="J19" s="3">
        <v>414.33</v>
      </c>
      <c r="K19" s="3">
        <v>169460.97</v>
      </c>
      <c r="L19">
        <v>40</v>
      </c>
      <c r="M19" t="s">
        <v>100</v>
      </c>
      <c r="N19" s="16">
        <f t="shared" si="1"/>
        <v>45809</v>
      </c>
      <c r="O19" t="s">
        <v>132</v>
      </c>
      <c r="P19" t="str">
        <f t="shared" si="2"/>
        <v>June 2025</v>
      </c>
      <c r="Q19" t="s">
        <v>959</v>
      </c>
      <c r="R19" s="8">
        <v>1578.88</v>
      </c>
      <c r="S19" s="8">
        <f t="shared" si="3"/>
        <v>171039.85</v>
      </c>
      <c r="T19" s="6">
        <f t="shared" si="4"/>
        <v>1</v>
      </c>
    </row>
    <row r="20" spans="1:20" x14ac:dyDescent="0.3">
      <c r="A20" t="s">
        <v>1014</v>
      </c>
      <c r="B20" s="13" t="s">
        <v>195</v>
      </c>
      <c r="C20" s="16">
        <f t="shared" si="0"/>
        <v>45992</v>
      </c>
      <c r="D20" t="s">
        <v>1003</v>
      </c>
      <c r="E20" t="s">
        <v>962</v>
      </c>
      <c r="F20" t="s">
        <v>980</v>
      </c>
      <c r="G20" t="s">
        <v>1015</v>
      </c>
      <c r="H20" t="s">
        <v>965</v>
      </c>
      <c r="I20">
        <v>1497</v>
      </c>
      <c r="J20" s="3">
        <v>190.09</v>
      </c>
      <c r="K20" s="3">
        <v>284564.73</v>
      </c>
      <c r="L20">
        <v>315</v>
      </c>
      <c r="M20" t="s">
        <v>1016</v>
      </c>
      <c r="N20" s="16">
        <f t="shared" si="1"/>
        <v>45992</v>
      </c>
      <c r="O20" t="s">
        <v>528</v>
      </c>
      <c r="P20" t="str">
        <f t="shared" si="2"/>
        <v>December 2025</v>
      </c>
      <c r="Q20" t="s">
        <v>959</v>
      </c>
      <c r="R20" s="8">
        <v>11247.91</v>
      </c>
      <c r="S20" s="8">
        <f t="shared" si="3"/>
        <v>295812.63999999996</v>
      </c>
      <c r="T20" s="6">
        <f t="shared" si="4"/>
        <v>4</v>
      </c>
    </row>
    <row r="21" spans="1:20" x14ac:dyDescent="0.3">
      <c r="A21" t="s">
        <v>1017</v>
      </c>
      <c r="B21" s="13" t="s">
        <v>503</v>
      </c>
      <c r="C21" s="16">
        <f t="shared" si="0"/>
        <v>45992</v>
      </c>
      <c r="D21" t="s">
        <v>968</v>
      </c>
      <c r="E21" t="s">
        <v>987</v>
      </c>
      <c r="F21" t="s">
        <v>980</v>
      </c>
      <c r="G21" t="s">
        <v>981</v>
      </c>
      <c r="H21" t="s">
        <v>1018</v>
      </c>
      <c r="I21">
        <v>1329</v>
      </c>
      <c r="J21" s="3">
        <v>318.69</v>
      </c>
      <c r="K21" s="3">
        <v>423539.01</v>
      </c>
      <c r="L21">
        <v>225</v>
      </c>
      <c r="M21" t="s">
        <v>380</v>
      </c>
      <c r="N21" s="16">
        <f t="shared" si="1"/>
        <v>45992</v>
      </c>
      <c r="O21" t="s">
        <v>163</v>
      </c>
      <c r="P21" t="str">
        <f t="shared" si="2"/>
        <v>December 2025</v>
      </c>
      <c r="Q21" t="s">
        <v>959</v>
      </c>
      <c r="R21" s="8">
        <v>13435.31</v>
      </c>
      <c r="S21" s="8">
        <f t="shared" si="3"/>
        <v>436974.32</v>
      </c>
      <c r="T21" s="6">
        <f t="shared" si="4"/>
        <v>3</v>
      </c>
    </row>
    <row r="22" spans="1:20" x14ac:dyDescent="0.3">
      <c r="A22" t="s">
        <v>1019</v>
      </c>
      <c r="B22" s="13" t="s">
        <v>1020</v>
      </c>
      <c r="C22" s="16">
        <f t="shared" si="0"/>
        <v>45839</v>
      </c>
      <c r="D22" t="s">
        <v>1021</v>
      </c>
      <c r="E22" t="s">
        <v>962</v>
      </c>
      <c r="F22" t="s">
        <v>963</v>
      </c>
      <c r="G22" t="s">
        <v>1015</v>
      </c>
      <c r="H22" t="s">
        <v>982</v>
      </c>
      <c r="I22">
        <v>793</v>
      </c>
      <c r="J22" s="3">
        <v>176.88</v>
      </c>
      <c r="K22" s="3">
        <v>140265.84</v>
      </c>
      <c r="L22">
        <v>595</v>
      </c>
      <c r="M22" t="s">
        <v>739</v>
      </c>
      <c r="N22" s="16">
        <f t="shared" si="1"/>
        <v>45839</v>
      </c>
      <c r="O22" t="s">
        <v>739</v>
      </c>
      <c r="P22" t="str">
        <f t="shared" si="2"/>
        <v>July 2025</v>
      </c>
      <c r="Q22" t="s">
        <v>966</v>
      </c>
      <c r="R22" s="8">
        <v>33039.15</v>
      </c>
      <c r="S22" s="8">
        <f t="shared" si="3"/>
        <v>173304.99</v>
      </c>
      <c r="T22" s="6">
        <f t="shared" si="4"/>
        <v>0</v>
      </c>
    </row>
    <row r="23" spans="1:20" x14ac:dyDescent="0.3">
      <c r="A23" t="s">
        <v>1022</v>
      </c>
      <c r="B23" s="13" t="s">
        <v>403</v>
      </c>
      <c r="C23" s="16">
        <f t="shared" si="0"/>
        <v>45748</v>
      </c>
      <c r="D23" t="s">
        <v>975</v>
      </c>
      <c r="E23" t="s">
        <v>33</v>
      </c>
      <c r="F23" t="s">
        <v>980</v>
      </c>
      <c r="G23" t="s">
        <v>981</v>
      </c>
      <c r="H23" t="s">
        <v>1023</v>
      </c>
      <c r="I23">
        <v>1321</v>
      </c>
      <c r="J23" s="3">
        <v>603.65</v>
      </c>
      <c r="K23" s="3">
        <v>797421.65</v>
      </c>
      <c r="L23">
        <v>49</v>
      </c>
      <c r="M23" t="s">
        <v>398</v>
      </c>
      <c r="N23" s="16">
        <f>DATE(YEAR(M23), MONTH(M23),1)</f>
        <v>45748</v>
      </c>
      <c r="O23" t="s">
        <v>398</v>
      </c>
      <c r="P23" t="str">
        <f t="shared" si="2"/>
        <v>April 2025</v>
      </c>
      <c r="Q23" t="s">
        <v>966</v>
      </c>
      <c r="R23" s="8">
        <v>0</v>
      </c>
      <c r="S23" s="8">
        <f t="shared" si="3"/>
        <v>797421.65</v>
      </c>
      <c r="T23" s="6">
        <f t="shared" si="4"/>
        <v>0</v>
      </c>
    </row>
    <row r="24" spans="1:20" x14ac:dyDescent="0.3">
      <c r="A24" t="s">
        <v>1024</v>
      </c>
      <c r="B24" s="13" t="s">
        <v>530</v>
      </c>
      <c r="C24" s="16">
        <f t="shared" si="0"/>
        <v>45778</v>
      </c>
      <c r="D24" t="s">
        <v>984</v>
      </c>
      <c r="E24" t="s">
        <v>33</v>
      </c>
      <c r="F24" t="s">
        <v>980</v>
      </c>
      <c r="G24" t="s">
        <v>972</v>
      </c>
      <c r="H24" t="s">
        <v>982</v>
      </c>
      <c r="I24">
        <v>434</v>
      </c>
      <c r="J24" s="3">
        <v>710.45</v>
      </c>
      <c r="K24" s="3">
        <v>308335.3</v>
      </c>
      <c r="L24">
        <v>494</v>
      </c>
      <c r="M24" t="s">
        <v>387</v>
      </c>
      <c r="N24" s="16">
        <f t="shared" si="1"/>
        <v>45778</v>
      </c>
      <c r="O24" t="s">
        <v>343</v>
      </c>
      <c r="P24" t="str">
        <f t="shared" si="2"/>
        <v>May 2025</v>
      </c>
      <c r="Q24" t="s">
        <v>966</v>
      </c>
      <c r="R24" s="8">
        <v>20933.05</v>
      </c>
      <c r="S24" s="8">
        <f t="shared" si="3"/>
        <v>329268.34999999998</v>
      </c>
      <c r="T24" s="6">
        <f t="shared" si="4"/>
        <v>-1</v>
      </c>
    </row>
    <row r="25" spans="1:20" x14ac:dyDescent="0.3">
      <c r="A25" t="s">
        <v>1025</v>
      </c>
      <c r="B25" s="13" t="s">
        <v>23</v>
      </c>
      <c r="C25" s="16">
        <f t="shared" si="0"/>
        <v>45931</v>
      </c>
      <c r="D25" t="s">
        <v>968</v>
      </c>
      <c r="E25" t="s">
        <v>43</v>
      </c>
      <c r="F25" t="s">
        <v>980</v>
      </c>
      <c r="G25" t="s">
        <v>1026</v>
      </c>
      <c r="H25" t="s">
        <v>1018</v>
      </c>
      <c r="I25">
        <v>1197</v>
      </c>
      <c r="J25" s="3">
        <v>554.19000000000005</v>
      </c>
      <c r="K25" s="3">
        <v>663365.43000000005</v>
      </c>
      <c r="L25">
        <v>403</v>
      </c>
      <c r="M25" t="s">
        <v>138</v>
      </c>
      <c r="N25" s="16">
        <f t="shared" si="1"/>
        <v>45931</v>
      </c>
      <c r="O25" t="s">
        <v>1027</v>
      </c>
      <c r="P25" t="str">
        <f t="shared" si="2"/>
        <v>October 2025</v>
      </c>
      <c r="Q25" t="s">
        <v>959</v>
      </c>
      <c r="R25" s="8">
        <v>15883.27</v>
      </c>
      <c r="S25" s="8">
        <f t="shared" si="3"/>
        <v>679248.70000000007</v>
      </c>
      <c r="T25" s="6">
        <f t="shared" si="4"/>
        <v>4</v>
      </c>
    </row>
    <row r="26" spans="1:20" x14ac:dyDescent="0.3">
      <c r="A26" t="s">
        <v>1028</v>
      </c>
      <c r="B26" s="13" t="s">
        <v>441</v>
      </c>
      <c r="C26" s="16">
        <f t="shared" si="0"/>
        <v>45809</v>
      </c>
      <c r="D26" t="s">
        <v>1021</v>
      </c>
      <c r="E26" t="s">
        <v>49</v>
      </c>
      <c r="F26" t="s">
        <v>963</v>
      </c>
      <c r="G26" t="s">
        <v>981</v>
      </c>
      <c r="H26" t="s">
        <v>977</v>
      </c>
      <c r="I26">
        <v>960</v>
      </c>
      <c r="J26" s="3">
        <v>89.7</v>
      </c>
      <c r="K26" s="3">
        <v>86112</v>
      </c>
      <c r="L26">
        <v>518</v>
      </c>
      <c r="M26" t="s">
        <v>147</v>
      </c>
      <c r="N26" s="16">
        <f t="shared" si="1"/>
        <v>45839</v>
      </c>
      <c r="O26" t="s">
        <v>147</v>
      </c>
      <c r="P26" t="str">
        <f t="shared" si="2"/>
        <v>July 2025</v>
      </c>
      <c r="Q26" t="s">
        <v>966</v>
      </c>
      <c r="R26" s="8">
        <v>28972.41</v>
      </c>
      <c r="S26" s="8">
        <f t="shared" si="3"/>
        <v>115084.41</v>
      </c>
      <c r="T26" s="6">
        <f t="shared" si="4"/>
        <v>0</v>
      </c>
    </row>
    <row r="27" spans="1:20" x14ac:dyDescent="0.3">
      <c r="A27" t="s">
        <v>1029</v>
      </c>
      <c r="B27" s="13" t="s">
        <v>528</v>
      </c>
      <c r="C27" s="16">
        <f t="shared" si="0"/>
        <v>45992</v>
      </c>
      <c r="D27" t="s">
        <v>975</v>
      </c>
      <c r="E27" t="s">
        <v>43</v>
      </c>
      <c r="F27" t="s">
        <v>980</v>
      </c>
      <c r="G27" t="s">
        <v>972</v>
      </c>
      <c r="H27" t="s">
        <v>1018</v>
      </c>
      <c r="I27">
        <v>1360</v>
      </c>
      <c r="J27" s="3">
        <v>56.95</v>
      </c>
      <c r="K27" s="3">
        <v>77452</v>
      </c>
      <c r="L27">
        <v>219</v>
      </c>
      <c r="M27" t="s">
        <v>503</v>
      </c>
      <c r="N27" s="16">
        <f t="shared" si="1"/>
        <v>45992</v>
      </c>
      <c r="O27" t="s">
        <v>503</v>
      </c>
      <c r="P27" t="str">
        <f t="shared" si="2"/>
        <v>December 2025</v>
      </c>
      <c r="Q27" t="s">
        <v>966</v>
      </c>
      <c r="R27" s="8">
        <v>8731.18</v>
      </c>
      <c r="S27" s="8">
        <f t="shared" si="3"/>
        <v>86183.18</v>
      </c>
      <c r="T27" s="6">
        <f t="shared" si="4"/>
        <v>0</v>
      </c>
    </row>
    <row r="28" spans="1:20" x14ac:dyDescent="0.3">
      <c r="A28" t="s">
        <v>1030</v>
      </c>
      <c r="B28" s="13" t="s">
        <v>71</v>
      </c>
      <c r="C28" s="16">
        <f t="shared" si="0"/>
        <v>45839</v>
      </c>
      <c r="D28" t="s">
        <v>968</v>
      </c>
      <c r="E28" t="s">
        <v>990</v>
      </c>
      <c r="F28" t="s">
        <v>971</v>
      </c>
      <c r="G28" t="s">
        <v>988</v>
      </c>
      <c r="H28" t="s">
        <v>992</v>
      </c>
      <c r="I28">
        <v>1553</v>
      </c>
      <c r="J28" s="3">
        <v>240.31</v>
      </c>
      <c r="K28" s="3">
        <v>373201.43</v>
      </c>
      <c r="L28">
        <v>264</v>
      </c>
      <c r="M28" t="s">
        <v>871</v>
      </c>
      <c r="N28" s="16">
        <f t="shared" si="1"/>
        <v>45839</v>
      </c>
      <c r="O28" t="s">
        <v>871</v>
      </c>
      <c r="P28" t="str">
        <f t="shared" si="2"/>
        <v>July 2025</v>
      </c>
      <c r="Q28" t="s">
        <v>966</v>
      </c>
      <c r="R28" s="8">
        <v>10224.41</v>
      </c>
      <c r="S28" s="8">
        <f t="shared" si="3"/>
        <v>383425.83999999997</v>
      </c>
      <c r="T28" s="6">
        <f t="shared" si="4"/>
        <v>0</v>
      </c>
    </row>
    <row r="29" spans="1:20" x14ac:dyDescent="0.3">
      <c r="A29" t="s">
        <v>1031</v>
      </c>
      <c r="B29" s="13" t="s">
        <v>473</v>
      </c>
      <c r="C29" s="16">
        <f t="shared" si="0"/>
        <v>45689</v>
      </c>
      <c r="D29" t="s">
        <v>955</v>
      </c>
      <c r="E29" t="s">
        <v>962</v>
      </c>
      <c r="F29" t="s">
        <v>956</v>
      </c>
      <c r="G29" t="s">
        <v>957</v>
      </c>
      <c r="H29" t="s">
        <v>1018</v>
      </c>
      <c r="I29">
        <v>630</v>
      </c>
      <c r="J29" s="3">
        <v>70.510000000000005</v>
      </c>
      <c r="K29" s="3">
        <v>44421.3</v>
      </c>
      <c r="L29">
        <v>692</v>
      </c>
      <c r="M29" t="s">
        <v>754</v>
      </c>
      <c r="N29" s="16">
        <f t="shared" si="1"/>
        <v>45689</v>
      </c>
      <c r="O29" t="s">
        <v>1032</v>
      </c>
      <c r="P29" t="str">
        <f t="shared" si="2"/>
        <v>February 2025</v>
      </c>
      <c r="Q29" t="s">
        <v>959</v>
      </c>
      <c r="R29" s="8">
        <v>0</v>
      </c>
      <c r="S29" s="8">
        <f t="shared" si="3"/>
        <v>44421.3</v>
      </c>
      <c r="T29" s="6">
        <f t="shared" si="4"/>
        <v>3</v>
      </c>
    </row>
    <row r="30" spans="1:20" x14ac:dyDescent="0.3">
      <c r="A30" t="s">
        <v>1033</v>
      </c>
      <c r="B30" s="13" t="s">
        <v>648</v>
      </c>
      <c r="C30" s="16">
        <f t="shared" si="0"/>
        <v>45901</v>
      </c>
      <c r="D30" t="s">
        <v>968</v>
      </c>
      <c r="E30" t="s">
        <v>49</v>
      </c>
      <c r="F30" t="s">
        <v>971</v>
      </c>
      <c r="G30" t="s">
        <v>1004</v>
      </c>
      <c r="H30" t="s">
        <v>1034</v>
      </c>
      <c r="I30">
        <v>1461</v>
      </c>
      <c r="J30" s="3">
        <v>530.09</v>
      </c>
      <c r="K30" s="3">
        <v>774461.49</v>
      </c>
      <c r="L30">
        <v>582</v>
      </c>
      <c r="M30" t="s">
        <v>798</v>
      </c>
      <c r="N30" s="16">
        <f t="shared" si="1"/>
        <v>45931</v>
      </c>
      <c r="O30" t="s">
        <v>798</v>
      </c>
      <c r="P30" t="str">
        <f t="shared" si="2"/>
        <v>October 2025</v>
      </c>
      <c r="Q30" t="s">
        <v>966</v>
      </c>
      <c r="R30" s="8">
        <v>25112.26</v>
      </c>
      <c r="S30" s="8">
        <f t="shared" si="3"/>
        <v>799573.75</v>
      </c>
      <c r="T30" s="6">
        <f t="shared" si="4"/>
        <v>0</v>
      </c>
    </row>
    <row r="31" spans="1:20" x14ac:dyDescent="0.3">
      <c r="A31" t="s">
        <v>1035</v>
      </c>
      <c r="B31" s="13" t="s">
        <v>396</v>
      </c>
      <c r="C31" s="16">
        <f t="shared" si="0"/>
        <v>45809</v>
      </c>
      <c r="D31" t="s">
        <v>961</v>
      </c>
      <c r="E31" t="s">
        <v>987</v>
      </c>
      <c r="F31" t="s">
        <v>971</v>
      </c>
      <c r="G31" t="s">
        <v>1036</v>
      </c>
      <c r="H31" t="s">
        <v>992</v>
      </c>
      <c r="I31">
        <v>150</v>
      </c>
      <c r="J31" s="3">
        <v>314.06</v>
      </c>
      <c r="K31" s="3">
        <v>47109</v>
      </c>
      <c r="L31">
        <v>123</v>
      </c>
      <c r="M31" t="s">
        <v>252</v>
      </c>
      <c r="N31" s="16">
        <f t="shared" si="1"/>
        <v>45809</v>
      </c>
      <c r="O31" t="s">
        <v>396</v>
      </c>
      <c r="P31" t="str">
        <f t="shared" si="2"/>
        <v>June 2025</v>
      </c>
      <c r="Q31" t="s">
        <v>966</v>
      </c>
      <c r="R31" s="8">
        <v>5826.21</v>
      </c>
      <c r="S31" s="8">
        <f t="shared" si="3"/>
        <v>52935.21</v>
      </c>
      <c r="T31" s="6">
        <f t="shared" si="4"/>
        <v>-1</v>
      </c>
    </row>
    <row r="32" spans="1:20" x14ac:dyDescent="0.3">
      <c r="A32" t="s">
        <v>1037</v>
      </c>
      <c r="B32" s="13" t="s">
        <v>156</v>
      </c>
      <c r="C32" s="16">
        <f t="shared" si="0"/>
        <v>45901</v>
      </c>
      <c r="D32" t="s">
        <v>1021</v>
      </c>
      <c r="E32" t="s">
        <v>33</v>
      </c>
      <c r="F32" t="s">
        <v>980</v>
      </c>
      <c r="G32" t="s">
        <v>1038</v>
      </c>
      <c r="H32" t="s">
        <v>958</v>
      </c>
      <c r="I32">
        <v>984</v>
      </c>
      <c r="J32" s="3">
        <v>463.4</v>
      </c>
      <c r="K32" s="3">
        <v>455985.6</v>
      </c>
      <c r="L32">
        <v>215</v>
      </c>
      <c r="M32" t="s">
        <v>184</v>
      </c>
      <c r="N32" s="16">
        <f t="shared" si="1"/>
        <v>45901</v>
      </c>
      <c r="O32" t="s">
        <v>708</v>
      </c>
      <c r="P32" t="str">
        <f t="shared" si="2"/>
        <v>September 2025</v>
      </c>
      <c r="Q32" t="s">
        <v>959</v>
      </c>
      <c r="R32" s="8">
        <v>13177.12</v>
      </c>
      <c r="S32" s="8">
        <f t="shared" si="3"/>
        <v>469162.72</v>
      </c>
      <c r="T32" s="6">
        <f t="shared" si="4"/>
        <v>3</v>
      </c>
    </row>
    <row r="33" spans="1:20" x14ac:dyDescent="0.3">
      <c r="A33" t="s">
        <v>1039</v>
      </c>
      <c r="B33" s="13" t="s">
        <v>289</v>
      </c>
      <c r="C33" s="16">
        <f t="shared" si="0"/>
        <v>45870</v>
      </c>
      <c r="D33" t="s">
        <v>1011</v>
      </c>
      <c r="E33" t="s">
        <v>987</v>
      </c>
      <c r="F33" t="s">
        <v>956</v>
      </c>
      <c r="G33" t="s">
        <v>1040</v>
      </c>
      <c r="H33" t="s">
        <v>1000</v>
      </c>
      <c r="I33">
        <v>1651</v>
      </c>
      <c r="J33" s="3">
        <v>609.69000000000005</v>
      </c>
      <c r="K33" s="3">
        <v>1006598.19</v>
      </c>
      <c r="L33">
        <v>247</v>
      </c>
      <c r="M33" t="s">
        <v>377</v>
      </c>
      <c r="N33" s="16">
        <f t="shared" si="1"/>
        <v>45870</v>
      </c>
      <c r="O33" t="s">
        <v>377</v>
      </c>
      <c r="P33" t="str">
        <f t="shared" si="2"/>
        <v>August 2025</v>
      </c>
      <c r="Q33" t="s">
        <v>966</v>
      </c>
      <c r="R33" s="8">
        <v>12540.12</v>
      </c>
      <c r="S33" s="8">
        <f t="shared" si="3"/>
        <v>1019138.3099999999</v>
      </c>
      <c r="T33" s="6">
        <f t="shared" si="4"/>
        <v>0</v>
      </c>
    </row>
    <row r="34" spans="1:20" x14ac:dyDescent="0.3">
      <c r="A34" t="s">
        <v>1041</v>
      </c>
      <c r="B34" s="13" t="s">
        <v>448</v>
      </c>
      <c r="C34" s="16">
        <f t="shared" si="0"/>
        <v>45748</v>
      </c>
      <c r="D34" t="s">
        <v>968</v>
      </c>
      <c r="E34" t="s">
        <v>962</v>
      </c>
      <c r="F34" t="s">
        <v>971</v>
      </c>
      <c r="G34" t="s">
        <v>1042</v>
      </c>
      <c r="H34" t="s">
        <v>1018</v>
      </c>
      <c r="I34">
        <v>160</v>
      </c>
      <c r="J34" s="3">
        <v>749.95</v>
      </c>
      <c r="K34" s="3">
        <v>119992</v>
      </c>
      <c r="L34">
        <v>529</v>
      </c>
      <c r="M34" t="s">
        <v>208</v>
      </c>
      <c r="N34" s="16">
        <f t="shared" si="1"/>
        <v>45748</v>
      </c>
      <c r="O34" t="s">
        <v>208</v>
      </c>
      <c r="P34" t="str">
        <f t="shared" si="2"/>
        <v>April 2025</v>
      </c>
      <c r="Q34" t="s">
        <v>966</v>
      </c>
      <c r="R34" s="8">
        <v>32360.28</v>
      </c>
      <c r="S34" s="8">
        <f t="shared" si="3"/>
        <v>152352.28</v>
      </c>
      <c r="T34" s="6">
        <f t="shared" si="4"/>
        <v>0</v>
      </c>
    </row>
    <row r="35" spans="1:20" x14ac:dyDescent="0.3">
      <c r="A35" t="s">
        <v>1043</v>
      </c>
      <c r="B35" s="13" t="s">
        <v>266</v>
      </c>
      <c r="C35" s="16">
        <f t="shared" si="0"/>
        <v>45901</v>
      </c>
      <c r="D35" t="s">
        <v>955</v>
      </c>
      <c r="E35" t="s">
        <v>43</v>
      </c>
      <c r="F35" t="s">
        <v>956</v>
      </c>
      <c r="G35" t="s">
        <v>1015</v>
      </c>
      <c r="H35" t="s">
        <v>1034</v>
      </c>
      <c r="I35">
        <v>478</v>
      </c>
      <c r="J35" s="3">
        <v>174.37</v>
      </c>
      <c r="K35" s="3">
        <v>83348.86</v>
      </c>
      <c r="L35">
        <v>433</v>
      </c>
      <c r="M35" t="s">
        <v>557</v>
      </c>
      <c r="N35" s="16">
        <f t="shared" si="1"/>
        <v>45901</v>
      </c>
      <c r="O35" t="s">
        <v>156</v>
      </c>
      <c r="P35" t="str">
        <f t="shared" si="2"/>
        <v>September 2025</v>
      </c>
      <c r="Q35" t="s">
        <v>959</v>
      </c>
      <c r="R35" s="8">
        <v>17907.939999999999</v>
      </c>
      <c r="S35" s="8">
        <f t="shared" si="3"/>
        <v>101256.8</v>
      </c>
      <c r="T35" s="6">
        <f t="shared" si="4"/>
        <v>4</v>
      </c>
    </row>
    <row r="36" spans="1:20" x14ac:dyDescent="0.3">
      <c r="A36" t="s">
        <v>1044</v>
      </c>
      <c r="B36" s="13" t="s">
        <v>53</v>
      </c>
      <c r="C36" s="16">
        <f t="shared" si="0"/>
        <v>45689</v>
      </c>
      <c r="D36" t="s">
        <v>955</v>
      </c>
      <c r="E36" t="s">
        <v>43</v>
      </c>
      <c r="F36" t="s">
        <v>963</v>
      </c>
      <c r="G36" t="s">
        <v>1045</v>
      </c>
      <c r="H36" t="s">
        <v>973</v>
      </c>
      <c r="I36">
        <v>2269</v>
      </c>
      <c r="J36" s="3">
        <v>283.22000000000003</v>
      </c>
      <c r="K36" s="3">
        <v>642626.18000000005</v>
      </c>
      <c r="L36">
        <v>28</v>
      </c>
      <c r="M36" t="s">
        <v>206</v>
      </c>
      <c r="N36" s="16">
        <f t="shared" si="1"/>
        <v>45689</v>
      </c>
      <c r="O36" t="s">
        <v>206</v>
      </c>
      <c r="P36" t="str">
        <f t="shared" si="2"/>
        <v>February 2025</v>
      </c>
      <c r="Q36" t="s">
        <v>966</v>
      </c>
      <c r="R36" s="8">
        <v>1474.85</v>
      </c>
      <c r="S36" s="8">
        <f t="shared" si="3"/>
        <v>644101.03</v>
      </c>
      <c r="T36" s="6">
        <f t="shared" si="4"/>
        <v>0</v>
      </c>
    </row>
    <row r="37" spans="1:20" x14ac:dyDescent="0.3">
      <c r="A37" t="s">
        <v>1046</v>
      </c>
      <c r="B37" s="13" t="s">
        <v>668</v>
      </c>
      <c r="C37" s="16">
        <f t="shared" si="0"/>
        <v>45778</v>
      </c>
      <c r="D37" t="s">
        <v>955</v>
      </c>
      <c r="E37" t="s">
        <v>33</v>
      </c>
      <c r="F37" t="s">
        <v>971</v>
      </c>
      <c r="G37" t="s">
        <v>1040</v>
      </c>
      <c r="H37" t="s">
        <v>977</v>
      </c>
      <c r="I37">
        <v>1364</v>
      </c>
      <c r="J37" s="3">
        <v>248.35</v>
      </c>
      <c r="K37" s="3">
        <v>338749.4</v>
      </c>
      <c r="L37">
        <v>470</v>
      </c>
      <c r="M37" t="s">
        <v>642</v>
      </c>
      <c r="N37" s="16">
        <f t="shared" si="1"/>
        <v>45778</v>
      </c>
      <c r="O37" t="s">
        <v>642</v>
      </c>
      <c r="P37" t="str">
        <f t="shared" si="2"/>
        <v>May 2025</v>
      </c>
      <c r="Q37" t="s">
        <v>966</v>
      </c>
      <c r="R37" s="8">
        <v>24519.82</v>
      </c>
      <c r="S37" s="8">
        <f t="shared" si="3"/>
        <v>363269.22000000003</v>
      </c>
      <c r="T37" s="6">
        <f t="shared" si="4"/>
        <v>0</v>
      </c>
    </row>
    <row r="38" spans="1:20" x14ac:dyDescent="0.3">
      <c r="A38" t="s">
        <v>1047</v>
      </c>
      <c r="B38" s="13" t="s">
        <v>1048</v>
      </c>
      <c r="C38" s="16">
        <f t="shared" si="0"/>
        <v>45962</v>
      </c>
      <c r="D38" t="s">
        <v>1003</v>
      </c>
      <c r="E38" t="s">
        <v>43</v>
      </c>
      <c r="F38" t="s">
        <v>971</v>
      </c>
      <c r="G38" t="s">
        <v>1015</v>
      </c>
      <c r="H38" t="s">
        <v>965</v>
      </c>
      <c r="I38">
        <v>1987</v>
      </c>
      <c r="J38" s="3">
        <v>251.47</v>
      </c>
      <c r="K38" s="3">
        <v>499670.89</v>
      </c>
      <c r="L38">
        <v>296</v>
      </c>
      <c r="M38" t="s">
        <v>1049</v>
      </c>
      <c r="N38" s="16">
        <f t="shared" si="1"/>
        <v>45962</v>
      </c>
      <c r="O38" t="s">
        <v>829</v>
      </c>
      <c r="P38" t="str">
        <f t="shared" si="2"/>
        <v>November 2025</v>
      </c>
      <c r="Q38" t="s">
        <v>959</v>
      </c>
      <c r="R38" s="8">
        <v>11255.9</v>
      </c>
      <c r="S38" s="8">
        <f t="shared" si="3"/>
        <v>510926.79000000004</v>
      </c>
      <c r="T38" s="6">
        <f t="shared" si="4"/>
        <v>3</v>
      </c>
    </row>
    <row r="39" spans="1:20" x14ac:dyDescent="0.3">
      <c r="A39" t="s">
        <v>1050</v>
      </c>
      <c r="B39" s="13" t="s">
        <v>275</v>
      </c>
      <c r="C39" s="16">
        <f t="shared" si="0"/>
        <v>45931</v>
      </c>
      <c r="D39" t="s">
        <v>975</v>
      </c>
      <c r="E39" t="s">
        <v>990</v>
      </c>
      <c r="F39" t="s">
        <v>963</v>
      </c>
      <c r="G39" t="s">
        <v>1051</v>
      </c>
      <c r="H39" t="s">
        <v>977</v>
      </c>
      <c r="I39">
        <v>756</v>
      </c>
      <c r="J39" s="3">
        <v>501.25</v>
      </c>
      <c r="K39" s="3">
        <v>378945</v>
      </c>
      <c r="L39">
        <v>718</v>
      </c>
      <c r="M39" t="s">
        <v>23</v>
      </c>
      <c r="N39" s="16">
        <f t="shared" si="1"/>
        <v>45931</v>
      </c>
      <c r="O39" t="s">
        <v>68</v>
      </c>
      <c r="P39" t="str">
        <f t="shared" si="2"/>
        <v>October 2025</v>
      </c>
      <c r="Q39" t="s">
        <v>959</v>
      </c>
      <c r="R39" s="8">
        <v>27208.39</v>
      </c>
      <c r="S39" s="8">
        <f t="shared" si="3"/>
        <v>406153.39</v>
      </c>
      <c r="T39" s="6">
        <f t="shared" si="4"/>
        <v>4</v>
      </c>
    </row>
    <row r="40" spans="1:20" x14ac:dyDescent="0.3">
      <c r="A40" t="s">
        <v>1052</v>
      </c>
      <c r="B40" s="13" t="s">
        <v>236</v>
      </c>
      <c r="C40" s="16">
        <f t="shared" si="0"/>
        <v>45658</v>
      </c>
      <c r="D40" t="s">
        <v>975</v>
      </c>
      <c r="E40" t="s">
        <v>33</v>
      </c>
      <c r="F40" t="s">
        <v>963</v>
      </c>
      <c r="G40" t="s">
        <v>1012</v>
      </c>
      <c r="H40" t="s">
        <v>958</v>
      </c>
      <c r="I40">
        <v>715</v>
      </c>
      <c r="J40" s="3">
        <v>350.75</v>
      </c>
      <c r="K40" s="3">
        <v>250786.25</v>
      </c>
      <c r="L40">
        <v>717</v>
      </c>
      <c r="M40" t="s">
        <v>691</v>
      </c>
      <c r="N40" s="16">
        <f t="shared" si="1"/>
        <v>45658</v>
      </c>
      <c r="O40" t="s">
        <v>345</v>
      </c>
      <c r="P40" t="str">
        <f t="shared" si="2"/>
        <v>January 2025</v>
      </c>
      <c r="Q40" t="s">
        <v>959</v>
      </c>
      <c r="R40" s="8">
        <v>40012.26</v>
      </c>
      <c r="S40" s="8">
        <f t="shared" si="3"/>
        <v>290798.51</v>
      </c>
      <c r="T40" s="6">
        <f t="shared" si="4"/>
        <v>3</v>
      </c>
    </row>
    <row r="41" spans="1:20" x14ac:dyDescent="0.3">
      <c r="A41" t="s">
        <v>1053</v>
      </c>
      <c r="B41" s="13" t="s">
        <v>132</v>
      </c>
      <c r="C41" s="16">
        <f t="shared" si="0"/>
        <v>45809</v>
      </c>
      <c r="D41" t="s">
        <v>968</v>
      </c>
      <c r="E41" t="s">
        <v>43</v>
      </c>
      <c r="F41" t="s">
        <v>971</v>
      </c>
      <c r="G41" t="s">
        <v>994</v>
      </c>
      <c r="H41" t="s">
        <v>1034</v>
      </c>
      <c r="I41">
        <v>96</v>
      </c>
      <c r="J41" s="3">
        <v>434.04</v>
      </c>
      <c r="K41" s="3">
        <v>41667.839999999997</v>
      </c>
      <c r="L41">
        <v>558</v>
      </c>
      <c r="M41" t="s">
        <v>79</v>
      </c>
      <c r="N41" s="16">
        <f t="shared" si="1"/>
        <v>45809</v>
      </c>
      <c r="O41" t="s">
        <v>79</v>
      </c>
      <c r="P41" t="str">
        <f t="shared" si="2"/>
        <v>June 2025</v>
      </c>
      <c r="Q41" t="s">
        <v>966</v>
      </c>
      <c r="R41" s="8">
        <v>25518.34</v>
      </c>
      <c r="S41" s="8">
        <f t="shared" si="3"/>
        <v>67186.179999999993</v>
      </c>
      <c r="T41" s="6">
        <f t="shared" si="4"/>
        <v>0</v>
      </c>
    </row>
    <row r="42" spans="1:20" x14ac:dyDescent="0.3">
      <c r="A42" t="s">
        <v>1054</v>
      </c>
      <c r="B42" s="13" t="s">
        <v>482</v>
      </c>
      <c r="C42" s="16">
        <f t="shared" si="0"/>
        <v>45931</v>
      </c>
      <c r="D42" t="s">
        <v>984</v>
      </c>
      <c r="E42" t="s">
        <v>33</v>
      </c>
      <c r="F42" t="s">
        <v>956</v>
      </c>
      <c r="G42" t="s">
        <v>1015</v>
      </c>
      <c r="H42" t="s">
        <v>982</v>
      </c>
      <c r="I42">
        <v>1058</v>
      </c>
      <c r="J42" s="3">
        <v>205.5</v>
      </c>
      <c r="K42" s="3">
        <v>217419</v>
      </c>
      <c r="L42">
        <v>286</v>
      </c>
      <c r="M42" t="s">
        <v>176</v>
      </c>
      <c r="N42" s="16">
        <f t="shared" si="1"/>
        <v>45931</v>
      </c>
      <c r="O42" t="s">
        <v>1055</v>
      </c>
      <c r="P42" t="str">
        <f t="shared" si="2"/>
        <v>October 2025</v>
      </c>
      <c r="Q42" t="s">
        <v>959</v>
      </c>
      <c r="R42" s="8">
        <v>13992.47</v>
      </c>
      <c r="S42" s="8">
        <f t="shared" si="3"/>
        <v>231411.47</v>
      </c>
      <c r="T42" s="6">
        <f t="shared" si="4"/>
        <v>1</v>
      </c>
    </row>
    <row r="43" spans="1:20" x14ac:dyDescent="0.3">
      <c r="A43" t="s">
        <v>1056</v>
      </c>
      <c r="B43" s="13" t="s">
        <v>42</v>
      </c>
      <c r="C43" s="16">
        <f t="shared" si="0"/>
        <v>45962</v>
      </c>
      <c r="D43" t="s">
        <v>984</v>
      </c>
      <c r="E43" t="s">
        <v>990</v>
      </c>
      <c r="F43" t="s">
        <v>980</v>
      </c>
      <c r="G43" t="s">
        <v>1057</v>
      </c>
      <c r="H43" t="s">
        <v>973</v>
      </c>
      <c r="I43">
        <v>2200</v>
      </c>
      <c r="J43" s="3">
        <v>149.32</v>
      </c>
      <c r="K43" s="3">
        <v>328504</v>
      </c>
      <c r="L43">
        <v>431</v>
      </c>
      <c r="M43" t="s">
        <v>714</v>
      </c>
      <c r="N43" s="16">
        <f t="shared" si="1"/>
        <v>45962</v>
      </c>
      <c r="O43" t="s">
        <v>714</v>
      </c>
      <c r="P43" t="str">
        <f t="shared" si="2"/>
        <v>November 2025</v>
      </c>
      <c r="Q43" t="s">
        <v>966</v>
      </c>
      <c r="R43" s="8">
        <v>18559.14</v>
      </c>
      <c r="S43" s="8">
        <f t="shared" si="3"/>
        <v>347063.14</v>
      </c>
      <c r="T43" s="6">
        <f t="shared" si="4"/>
        <v>0</v>
      </c>
    </row>
    <row r="44" spans="1:20" x14ac:dyDescent="0.3">
      <c r="A44" t="s">
        <v>1058</v>
      </c>
      <c r="B44" s="13" t="s">
        <v>1059</v>
      </c>
      <c r="C44" s="16">
        <f t="shared" si="0"/>
        <v>45870</v>
      </c>
      <c r="D44" t="s">
        <v>1003</v>
      </c>
      <c r="E44" t="s">
        <v>49</v>
      </c>
      <c r="F44" t="s">
        <v>980</v>
      </c>
      <c r="G44" t="s">
        <v>991</v>
      </c>
      <c r="H44" t="s">
        <v>1000</v>
      </c>
      <c r="I44">
        <v>1920</v>
      </c>
      <c r="J44" s="3">
        <v>254.7</v>
      </c>
      <c r="K44" s="3">
        <v>489024</v>
      </c>
      <c r="L44">
        <v>532</v>
      </c>
      <c r="M44" t="s">
        <v>1060</v>
      </c>
      <c r="N44" s="16">
        <f t="shared" si="1"/>
        <v>45870</v>
      </c>
      <c r="O44" t="s">
        <v>118</v>
      </c>
      <c r="P44" t="str">
        <f t="shared" si="2"/>
        <v>August 2025</v>
      </c>
      <c r="Q44" t="s">
        <v>959</v>
      </c>
      <c r="R44" s="8">
        <v>30837.47</v>
      </c>
      <c r="S44" s="8">
        <f t="shared" si="3"/>
        <v>519861.47</v>
      </c>
      <c r="T44" s="6">
        <f t="shared" si="4"/>
        <v>3</v>
      </c>
    </row>
    <row r="45" spans="1:20" x14ac:dyDescent="0.3">
      <c r="A45" t="s">
        <v>1061</v>
      </c>
      <c r="B45" s="13" t="s">
        <v>165</v>
      </c>
      <c r="C45" s="16">
        <f t="shared" si="0"/>
        <v>45778</v>
      </c>
      <c r="D45" t="s">
        <v>1003</v>
      </c>
      <c r="E45" t="s">
        <v>43</v>
      </c>
      <c r="F45" t="s">
        <v>980</v>
      </c>
      <c r="G45" t="s">
        <v>998</v>
      </c>
      <c r="H45" t="s">
        <v>1018</v>
      </c>
      <c r="I45">
        <v>1847</v>
      </c>
      <c r="J45" s="3">
        <v>521.99</v>
      </c>
      <c r="K45" s="3">
        <v>964115.53</v>
      </c>
      <c r="L45">
        <v>48</v>
      </c>
      <c r="M45" t="s">
        <v>802</v>
      </c>
      <c r="N45" s="16">
        <f t="shared" si="1"/>
        <v>45778</v>
      </c>
      <c r="O45" t="s">
        <v>802</v>
      </c>
      <c r="P45" t="str">
        <f t="shared" si="2"/>
        <v>May 2025</v>
      </c>
      <c r="Q45" t="s">
        <v>966</v>
      </c>
      <c r="R45" s="8">
        <v>2393.7800000000002</v>
      </c>
      <c r="S45" s="8">
        <f t="shared" si="3"/>
        <v>966509.31</v>
      </c>
      <c r="T45" s="6">
        <f t="shared" si="4"/>
        <v>0</v>
      </c>
    </row>
    <row r="46" spans="1:20" x14ac:dyDescent="0.3">
      <c r="A46" t="s">
        <v>1062</v>
      </c>
      <c r="B46" s="13" t="s">
        <v>1063</v>
      </c>
      <c r="C46" s="16">
        <f t="shared" si="0"/>
        <v>45901</v>
      </c>
      <c r="D46" t="s">
        <v>961</v>
      </c>
      <c r="E46" t="s">
        <v>990</v>
      </c>
      <c r="F46" t="s">
        <v>971</v>
      </c>
      <c r="G46" t="s">
        <v>996</v>
      </c>
      <c r="H46" t="s">
        <v>1034</v>
      </c>
      <c r="I46">
        <v>1938</v>
      </c>
      <c r="J46" s="3">
        <v>316.14</v>
      </c>
      <c r="K46" s="3">
        <v>612679.31999999995</v>
      </c>
      <c r="L46">
        <v>446</v>
      </c>
      <c r="M46" t="s">
        <v>873</v>
      </c>
      <c r="N46" s="16">
        <f t="shared" si="1"/>
        <v>45901</v>
      </c>
      <c r="O46" t="s">
        <v>156</v>
      </c>
      <c r="P46" t="str">
        <f t="shared" si="2"/>
        <v>September 2025</v>
      </c>
      <c r="Q46" t="s">
        <v>959</v>
      </c>
      <c r="R46" s="8">
        <v>16694.439999999999</v>
      </c>
      <c r="S46" s="8">
        <f t="shared" si="3"/>
        <v>629373.75999999989</v>
      </c>
      <c r="T46" s="6">
        <f t="shared" si="4"/>
        <v>1</v>
      </c>
    </row>
    <row r="47" spans="1:20" x14ac:dyDescent="0.3">
      <c r="A47" t="s">
        <v>1064</v>
      </c>
      <c r="B47" s="13" t="s">
        <v>438</v>
      </c>
      <c r="C47" s="16">
        <f t="shared" si="0"/>
        <v>45658</v>
      </c>
      <c r="D47" t="s">
        <v>975</v>
      </c>
      <c r="E47" t="s">
        <v>990</v>
      </c>
      <c r="F47" t="s">
        <v>971</v>
      </c>
      <c r="G47" t="s">
        <v>981</v>
      </c>
      <c r="H47" t="s">
        <v>973</v>
      </c>
      <c r="I47">
        <v>1682</v>
      </c>
      <c r="J47" s="3">
        <v>785.16</v>
      </c>
      <c r="K47" s="3">
        <v>1320639.1200000001</v>
      </c>
      <c r="L47">
        <v>510</v>
      </c>
      <c r="M47" t="s">
        <v>717</v>
      </c>
      <c r="N47" s="16">
        <f t="shared" si="1"/>
        <v>45658</v>
      </c>
      <c r="O47" t="s">
        <v>345</v>
      </c>
      <c r="P47" t="str">
        <f t="shared" si="2"/>
        <v>January 2025</v>
      </c>
      <c r="Q47" t="s">
        <v>966</v>
      </c>
      <c r="R47" s="8">
        <v>18258.03</v>
      </c>
      <c r="S47" s="8">
        <f t="shared" si="3"/>
        <v>1338897.1500000001</v>
      </c>
      <c r="T47" s="6">
        <f t="shared" si="4"/>
        <v>-1</v>
      </c>
    </row>
    <row r="48" spans="1:20" x14ac:dyDescent="0.3">
      <c r="A48" t="s">
        <v>1065</v>
      </c>
      <c r="B48" s="13" t="s">
        <v>802</v>
      </c>
      <c r="C48" s="16">
        <f t="shared" si="0"/>
        <v>45778</v>
      </c>
      <c r="D48" t="s">
        <v>984</v>
      </c>
      <c r="E48" t="s">
        <v>990</v>
      </c>
      <c r="F48" t="s">
        <v>956</v>
      </c>
      <c r="G48" t="s">
        <v>1057</v>
      </c>
      <c r="H48" t="s">
        <v>958</v>
      </c>
      <c r="I48">
        <v>2475</v>
      </c>
      <c r="J48" s="3">
        <v>466.92</v>
      </c>
      <c r="K48" s="3">
        <v>1155627</v>
      </c>
      <c r="L48">
        <v>116</v>
      </c>
      <c r="M48" t="s">
        <v>462</v>
      </c>
      <c r="N48" s="16">
        <f t="shared" si="1"/>
        <v>45809</v>
      </c>
      <c r="O48" t="s">
        <v>807</v>
      </c>
      <c r="P48" t="str">
        <f t="shared" si="2"/>
        <v>June 2025</v>
      </c>
      <c r="Q48" t="s">
        <v>959</v>
      </c>
      <c r="R48" s="8">
        <v>4850.05</v>
      </c>
      <c r="S48" s="8">
        <f t="shared" si="3"/>
        <v>1160477.05</v>
      </c>
      <c r="T48" s="6">
        <f t="shared" si="4"/>
        <v>4</v>
      </c>
    </row>
    <row r="49" spans="1:20" x14ac:dyDescent="0.3">
      <c r="A49" t="s">
        <v>1066</v>
      </c>
      <c r="B49" s="13" t="s">
        <v>74</v>
      </c>
      <c r="C49" s="16">
        <f t="shared" si="0"/>
        <v>45689</v>
      </c>
      <c r="D49" t="s">
        <v>1021</v>
      </c>
      <c r="E49" t="s">
        <v>990</v>
      </c>
      <c r="F49" t="s">
        <v>956</v>
      </c>
      <c r="G49" t="s">
        <v>998</v>
      </c>
      <c r="H49" t="s">
        <v>973</v>
      </c>
      <c r="I49">
        <v>1828</v>
      </c>
      <c r="J49" s="3">
        <v>287.61</v>
      </c>
      <c r="K49" s="3">
        <v>525751.07999999996</v>
      </c>
      <c r="L49">
        <v>169</v>
      </c>
      <c r="M49" t="s">
        <v>182</v>
      </c>
      <c r="N49" s="16">
        <f t="shared" si="1"/>
        <v>45689</v>
      </c>
      <c r="O49" t="s">
        <v>74</v>
      </c>
      <c r="P49" t="str">
        <f t="shared" si="2"/>
        <v>February 2025</v>
      </c>
      <c r="Q49" t="s">
        <v>966</v>
      </c>
      <c r="R49" s="8">
        <v>8998.44</v>
      </c>
      <c r="S49" s="8">
        <f t="shared" si="3"/>
        <v>534749.5199999999</v>
      </c>
      <c r="T49" s="6">
        <f t="shared" si="4"/>
        <v>-1</v>
      </c>
    </row>
    <row r="50" spans="1:20" x14ac:dyDescent="0.3">
      <c r="A50" t="s">
        <v>1067</v>
      </c>
      <c r="B50" s="13" t="s">
        <v>383</v>
      </c>
      <c r="C50" s="16">
        <f t="shared" si="0"/>
        <v>45778</v>
      </c>
      <c r="D50" t="s">
        <v>975</v>
      </c>
      <c r="E50" t="s">
        <v>49</v>
      </c>
      <c r="F50" t="s">
        <v>956</v>
      </c>
      <c r="G50" t="s">
        <v>1068</v>
      </c>
      <c r="H50" t="s">
        <v>973</v>
      </c>
      <c r="I50">
        <v>663</v>
      </c>
      <c r="J50" s="3">
        <v>682.92</v>
      </c>
      <c r="K50" s="3">
        <v>452775.96</v>
      </c>
      <c r="L50">
        <v>622</v>
      </c>
      <c r="M50" t="s">
        <v>1069</v>
      </c>
      <c r="N50" s="16">
        <f t="shared" si="1"/>
        <v>45778</v>
      </c>
      <c r="O50" t="s">
        <v>293</v>
      </c>
      <c r="P50" t="str">
        <f t="shared" si="2"/>
        <v>May 2025</v>
      </c>
      <c r="Q50" t="s">
        <v>966</v>
      </c>
      <c r="R50" s="8">
        <v>33588.550000000003</v>
      </c>
      <c r="S50" s="8">
        <f t="shared" si="3"/>
        <v>486364.51</v>
      </c>
      <c r="T50" s="6">
        <f t="shared" si="4"/>
        <v>-1</v>
      </c>
    </row>
    <row r="51" spans="1:20" x14ac:dyDescent="0.3">
      <c r="A51" t="s">
        <v>1070</v>
      </c>
      <c r="B51" s="13" t="s">
        <v>1071</v>
      </c>
      <c r="C51" s="16">
        <f t="shared" si="0"/>
        <v>45870</v>
      </c>
      <c r="D51" t="s">
        <v>961</v>
      </c>
      <c r="E51" t="s">
        <v>33</v>
      </c>
      <c r="F51" t="s">
        <v>956</v>
      </c>
      <c r="G51" t="s">
        <v>1072</v>
      </c>
      <c r="H51" t="s">
        <v>982</v>
      </c>
      <c r="I51">
        <v>2476</v>
      </c>
      <c r="J51" s="3">
        <v>252.44</v>
      </c>
      <c r="K51" s="3">
        <v>625041.43999999994</v>
      </c>
      <c r="L51">
        <v>21</v>
      </c>
      <c r="M51" t="s">
        <v>456</v>
      </c>
      <c r="N51" s="16">
        <f t="shared" si="1"/>
        <v>45870</v>
      </c>
      <c r="O51" t="s">
        <v>456</v>
      </c>
      <c r="P51" t="str">
        <f t="shared" si="2"/>
        <v>August 2025</v>
      </c>
      <c r="Q51" t="s">
        <v>966</v>
      </c>
      <c r="R51" s="8">
        <v>1109.55</v>
      </c>
      <c r="S51" s="8">
        <f t="shared" si="3"/>
        <v>626150.99</v>
      </c>
      <c r="T51" s="6">
        <f t="shared" si="4"/>
        <v>0</v>
      </c>
    </row>
    <row r="52" spans="1:20" x14ac:dyDescent="0.3">
      <c r="A52" t="s">
        <v>1073</v>
      </c>
      <c r="B52" s="13" t="s">
        <v>296</v>
      </c>
      <c r="C52" s="16">
        <f t="shared" si="0"/>
        <v>45992</v>
      </c>
      <c r="D52" t="s">
        <v>1011</v>
      </c>
      <c r="E52" t="s">
        <v>49</v>
      </c>
      <c r="F52" t="s">
        <v>971</v>
      </c>
      <c r="G52" t="s">
        <v>1042</v>
      </c>
      <c r="H52" t="s">
        <v>973</v>
      </c>
      <c r="I52">
        <v>1900</v>
      </c>
      <c r="J52" s="3">
        <v>76.77</v>
      </c>
      <c r="K52" s="3">
        <v>145863</v>
      </c>
      <c r="L52">
        <v>461</v>
      </c>
      <c r="M52" t="s">
        <v>1074</v>
      </c>
      <c r="N52" s="16">
        <f t="shared" si="1"/>
        <v>45992</v>
      </c>
      <c r="O52" t="s">
        <v>1074</v>
      </c>
      <c r="P52" t="str">
        <f t="shared" si="2"/>
        <v>December 2025</v>
      </c>
      <c r="Q52" t="s">
        <v>966</v>
      </c>
      <c r="R52" s="8">
        <v>27042.86</v>
      </c>
      <c r="S52" s="8">
        <f t="shared" si="3"/>
        <v>172905.86</v>
      </c>
      <c r="T52" s="6">
        <f t="shared" si="4"/>
        <v>0</v>
      </c>
    </row>
    <row r="53" spans="1:20" x14ac:dyDescent="0.3">
      <c r="A53" t="s">
        <v>1075</v>
      </c>
      <c r="B53" s="13" t="s">
        <v>543</v>
      </c>
      <c r="C53" s="16">
        <f t="shared" si="0"/>
        <v>45931</v>
      </c>
      <c r="D53" t="s">
        <v>955</v>
      </c>
      <c r="E53" t="s">
        <v>990</v>
      </c>
      <c r="F53" t="s">
        <v>956</v>
      </c>
      <c r="G53" t="s">
        <v>1068</v>
      </c>
      <c r="H53" t="s">
        <v>973</v>
      </c>
      <c r="I53">
        <v>448</v>
      </c>
      <c r="J53" s="3">
        <v>356.39</v>
      </c>
      <c r="K53" s="3">
        <v>159662.72</v>
      </c>
      <c r="L53">
        <v>323</v>
      </c>
      <c r="M53" t="s">
        <v>114</v>
      </c>
      <c r="N53" s="16">
        <f t="shared" si="1"/>
        <v>45931</v>
      </c>
      <c r="O53" t="s">
        <v>925</v>
      </c>
      <c r="P53" t="str">
        <f t="shared" si="2"/>
        <v>November 2025</v>
      </c>
      <c r="Q53" t="s">
        <v>959</v>
      </c>
      <c r="R53" s="8">
        <v>11994.56</v>
      </c>
      <c r="S53" s="8">
        <f t="shared" si="3"/>
        <v>171657.28</v>
      </c>
      <c r="T53" s="6">
        <f t="shared" si="4"/>
        <v>3</v>
      </c>
    </row>
    <row r="54" spans="1:20" x14ac:dyDescent="0.3">
      <c r="A54" t="s">
        <v>1076</v>
      </c>
      <c r="B54" s="13" t="s">
        <v>913</v>
      </c>
      <c r="C54" s="16">
        <f t="shared" si="0"/>
        <v>45962</v>
      </c>
      <c r="D54" t="s">
        <v>968</v>
      </c>
      <c r="E54" t="s">
        <v>43</v>
      </c>
      <c r="F54" t="s">
        <v>980</v>
      </c>
      <c r="G54" t="s">
        <v>1026</v>
      </c>
      <c r="H54" t="s">
        <v>973</v>
      </c>
      <c r="I54">
        <v>1249</v>
      </c>
      <c r="J54" s="3">
        <v>109.41</v>
      </c>
      <c r="K54" s="3">
        <v>136653.09</v>
      </c>
      <c r="L54">
        <v>494</v>
      </c>
      <c r="M54" t="s">
        <v>77</v>
      </c>
      <c r="N54" s="16">
        <f t="shared" si="1"/>
        <v>45962</v>
      </c>
      <c r="O54" t="s">
        <v>778</v>
      </c>
      <c r="P54" t="str">
        <f t="shared" si="2"/>
        <v>November 2025</v>
      </c>
      <c r="Q54" t="s">
        <v>959</v>
      </c>
      <c r="R54" s="8">
        <v>30378.080000000002</v>
      </c>
      <c r="S54" s="8">
        <f t="shared" si="3"/>
        <v>167031.16999999998</v>
      </c>
      <c r="T54" s="6">
        <f t="shared" si="4"/>
        <v>3</v>
      </c>
    </row>
    <row r="55" spans="1:20" x14ac:dyDescent="0.3">
      <c r="A55" t="s">
        <v>1077</v>
      </c>
      <c r="B55" s="13" t="s">
        <v>1063</v>
      </c>
      <c r="C55" s="16">
        <f t="shared" si="0"/>
        <v>45901</v>
      </c>
      <c r="D55" t="s">
        <v>975</v>
      </c>
      <c r="E55" t="s">
        <v>987</v>
      </c>
      <c r="F55" t="s">
        <v>971</v>
      </c>
      <c r="G55" t="s">
        <v>1078</v>
      </c>
      <c r="H55" t="s">
        <v>1034</v>
      </c>
      <c r="I55">
        <v>1697</v>
      </c>
      <c r="J55" s="3">
        <v>702.55</v>
      </c>
      <c r="K55" s="3">
        <v>1192227.3500000001</v>
      </c>
      <c r="L55">
        <v>65</v>
      </c>
      <c r="M55" t="s">
        <v>136</v>
      </c>
      <c r="N55" s="16">
        <f t="shared" si="1"/>
        <v>45901</v>
      </c>
      <c r="O55" t="s">
        <v>156</v>
      </c>
      <c r="P55" t="str">
        <f t="shared" si="2"/>
        <v>September 2025</v>
      </c>
      <c r="Q55" t="s">
        <v>959</v>
      </c>
      <c r="R55" s="8">
        <v>3825.63</v>
      </c>
      <c r="S55" s="8">
        <f t="shared" si="3"/>
        <v>1196052.98</v>
      </c>
      <c r="T55" s="6">
        <f t="shared" si="4"/>
        <v>2</v>
      </c>
    </row>
    <row r="56" spans="1:20" x14ac:dyDescent="0.3">
      <c r="A56" t="s">
        <v>1079</v>
      </c>
      <c r="B56" s="13" t="s">
        <v>536</v>
      </c>
      <c r="C56" s="16">
        <f t="shared" si="0"/>
        <v>45962</v>
      </c>
      <c r="D56" t="s">
        <v>961</v>
      </c>
      <c r="E56" t="s">
        <v>43</v>
      </c>
      <c r="F56" t="s">
        <v>956</v>
      </c>
      <c r="G56" t="s">
        <v>1051</v>
      </c>
      <c r="H56" t="s">
        <v>1000</v>
      </c>
      <c r="I56">
        <v>627</v>
      </c>
      <c r="J56" s="3">
        <v>469.71</v>
      </c>
      <c r="K56" s="3">
        <v>294508.17</v>
      </c>
      <c r="L56">
        <v>699</v>
      </c>
      <c r="M56" t="s">
        <v>270</v>
      </c>
      <c r="N56" s="16">
        <f t="shared" si="1"/>
        <v>45962</v>
      </c>
      <c r="O56" t="s">
        <v>270</v>
      </c>
      <c r="P56" t="str">
        <f t="shared" si="2"/>
        <v>November 2025</v>
      </c>
      <c r="Q56" t="s">
        <v>966</v>
      </c>
      <c r="R56" s="8">
        <v>42923.6</v>
      </c>
      <c r="S56" s="8">
        <f t="shared" si="3"/>
        <v>337431.76999999996</v>
      </c>
      <c r="T56" s="6">
        <f t="shared" si="4"/>
        <v>0</v>
      </c>
    </row>
    <row r="57" spans="1:20" x14ac:dyDescent="0.3">
      <c r="A57" t="s">
        <v>1080</v>
      </c>
      <c r="B57" s="13" t="s">
        <v>1048</v>
      </c>
      <c r="C57" s="16">
        <f t="shared" si="0"/>
        <v>45962</v>
      </c>
      <c r="D57" t="s">
        <v>975</v>
      </c>
      <c r="E57" t="s">
        <v>33</v>
      </c>
      <c r="F57" t="s">
        <v>980</v>
      </c>
      <c r="G57" t="s">
        <v>985</v>
      </c>
      <c r="H57" t="s">
        <v>1000</v>
      </c>
      <c r="I57">
        <v>1115</v>
      </c>
      <c r="J57" s="3">
        <v>200.45</v>
      </c>
      <c r="K57" s="3">
        <v>223501.75</v>
      </c>
      <c r="L57">
        <v>660</v>
      </c>
      <c r="M57" t="s">
        <v>673</v>
      </c>
      <c r="N57" s="16">
        <f t="shared" si="1"/>
        <v>45962</v>
      </c>
      <c r="O57" t="s">
        <v>1081</v>
      </c>
      <c r="P57" t="str">
        <f t="shared" si="2"/>
        <v>November 2025</v>
      </c>
      <c r="Q57" t="s">
        <v>959</v>
      </c>
      <c r="R57" s="8">
        <v>39548.120000000003</v>
      </c>
      <c r="S57" s="8">
        <f t="shared" si="3"/>
        <v>263049.87</v>
      </c>
      <c r="T57" s="6">
        <f t="shared" si="4"/>
        <v>1</v>
      </c>
    </row>
    <row r="58" spans="1:20" x14ac:dyDescent="0.3">
      <c r="A58" t="s">
        <v>1082</v>
      </c>
      <c r="B58" s="13" t="s">
        <v>896</v>
      </c>
      <c r="C58" s="16">
        <f t="shared" si="0"/>
        <v>45870</v>
      </c>
      <c r="D58" t="s">
        <v>1003</v>
      </c>
      <c r="E58" t="s">
        <v>987</v>
      </c>
      <c r="F58" t="s">
        <v>956</v>
      </c>
      <c r="G58" t="s">
        <v>1051</v>
      </c>
      <c r="H58" t="s">
        <v>1000</v>
      </c>
      <c r="I58">
        <v>2468</v>
      </c>
      <c r="J58" s="3">
        <v>602.20000000000005</v>
      </c>
      <c r="K58" s="3">
        <v>1486229.6</v>
      </c>
      <c r="L58">
        <v>272</v>
      </c>
      <c r="M58" t="s">
        <v>92</v>
      </c>
      <c r="N58" s="16">
        <f t="shared" si="1"/>
        <v>45870</v>
      </c>
      <c r="O58" t="s">
        <v>31</v>
      </c>
      <c r="P58" t="str">
        <f t="shared" si="2"/>
        <v>August 2025</v>
      </c>
      <c r="Q58" t="s">
        <v>959</v>
      </c>
      <c r="R58" s="8">
        <v>11119.51</v>
      </c>
      <c r="S58" s="8">
        <f t="shared" si="3"/>
        <v>1497349.11</v>
      </c>
      <c r="T58" s="6">
        <f t="shared" si="4"/>
        <v>3</v>
      </c>
    </row>
    <row r="59" spans="1:20" x14ac:dyDescent="0.3">
      <c r="A59" t="s">
        <v>1083</v>
      </c>
      <c r="B59" s="13" t="s">
        <v>443</v>
      </c>
      <c r="C59" s="16">
        <f t="shared" si="0"/>
        <v>45901</v>
      </c>
      <c r="D59" t="s">
        <v>955</v>
      </c>
      <c r="E59" t="s">
        <v>33</v>
      </c>
      <c r="F59" t="s">
        <v>963</v>
      </c>
      <c r="G59" t="s">
        <v>988</v>
      </c>
      <c r="H59" t="s">
        <v>1018</v>
      </c>
      <c r="I59">
        <v>310</v>
      </c>
      <c r="J59" s="3">
        <v>877.13</v>
      </c>
      <c r="K59" s="3">
        <v>271910.3</v>
      </c>
      <c r="L59">
        <v>122</v>
      </c>
      <c r="M59" t="s">
        <v>352</v>
      </c>
      <c r="N59" s="16">
        <f t="shared" si="1"/>
        <v>45901</v>
      </c>
      <c r="O59" t="s">
        <v>566</v>
      </c>
      <c r="P59" t="str">
        <f t="shared" si="2"/>
        <v>September 2025</v>
      </c>
      <c r="Q59" t="s">
        <v>959</v>
      </c>
      <c r="R59" s="8">
        <v>5808.36</v>
      </c>
      <c r="S59" s="8">
        <f t="shared" si="3"/>
        <v>277718.65999999997</v>
      </c>
      <c r="T59" s="6">
        <f t="shared" si="4"/>
        <v>2</v>
      </c>
    </row>
    <row r="60" spans="1:20" x14ac:dyDescent="0.3">
      <c r="A60" t="s">
        <v>1084</v>
      </c>
      <c r="B60" s="13" t="s">
        <v>428</v>
      </c>
      <c r="C60" s="16">
        <f t="shared" si="0"/>
        <v>45931</v>
      </c>
      <c r="D60" t="s">
        <v>975</v>
      </c>
      <c r="E60" t="s">
        <v>49</v>
      </c>
      <c r="F60" t="s">
        <v>956</v>
      </c>
      <c r="G60" t="s">
        <v>972</v>
      </c>
      <c r="H60" t="s">
        <v>973</v>
      </c>
      <c r="I60">
        <v>841</v>
      </c>
      <c r="J60" s="3">
        <v>290.19</v>
      </c>
      <c r="K60" s="3">
        <v>244049.79</v>
      </c>
      <c r="L60">
        <v>425</v>
      </c>
      <c r="M60" t="s">
        <v>338</v>
      </c>
      <c r="N60" s="16">
        <f t="shared" si="1"/>
        <v>45931</v>
      </c>
      <c r="O60" t="s">
        <v>338</v>
      </c>
      <c r="P60" t="str">
        <f t="shared" si="2"/>
        <v>October 2025</v>
      </c>
      <c r="Q60" t="s">
        <v>966</v>
      </c>
      <c r="R60" s="8">
        <v>20752.34</v>
      </c>
      <c r="S60" s="8">
        <f t="shared" si="3"/>
        <v>264802.13</v>
      </c>
      <c r="T60" s="6">
        <f t="shared" si="4"/>
        <v>0</v>
      </c>
    </row>
    <row r="61" spans="1:20" x14ac:dyDescent="0.3">
      <c r="A61" t="s">
        <v>1085</v>
      </c>
      <c r="B61" s="13" t="s">
        <v>539</v>
      </c>
      <c r="C61" s="16">
        <f t="shared" si="0"/>
        <v>45748</v>
      </c>
      <c r="D61" t="s">
        <v>955</v>
      </c>
      <c r="E61" t="s">
        <v>987</v>
      </c>
      <c r="F61" t="s">
        <v>963</v>
      </c>
      <c r="G61" t="s">
        <v>994</v>
      </c>
      <c r="H61" t="s">
        <v>1000</v>
      </c>
      <c r="I61">
        <v>577</v>
      </c>
      <c r="J61" s="3">
        <v>847.51</v>
      </c>
      <c r="K61" s="3">
        <v>489013.27</v>
      </c>
      <c r="L61">
        <v>545</v>
      </c>
      <c r="M61" t="s">
        <v>223</v>
      </c>
      <c r="N61" s="16">
        <f t="shared" si="1"/>
        <v>45748</v>
      </c>
      <c r="O61" t="s">
        <v>745</v>
      </c>
      <c r="P61" t="str">
        <f t="shared" si="2"/>
        <v>April 2025</v>
      </c>
      <c r="Q61" t="s">
        <v>966</v>
      </c>
      <c r="R61" s="8">
        <v>28240.25</v>
      </c>
      <c r="S61" s="8">
        <f t="shared" si="3"/>
        <v>517253.52</v>
      </c>
      <c r="T61" s="6">
        <f t="shared" si="4"/>
        <v>-1</v>
      </c>
    </row>
    <row r="62" spans="1:20" x14ac:dyDescent="0.3">
      <c r="A62" t="s">
        <v>1086</v>
      </c>
      <c r="B62" s="13" t="s">
        <v>116</v>
      </c>
      <c r="C62" s="16">
        <f t="shared" si="0"/>
        <v>45748</v>
      </c>
      <c r="D62" t="s">
        <v>968</v>
      </c>
      <c r="E62" t="s">
        <v>987</v>
      </c>
      <c r="F62" t="s">
        <v>980</v>
      </c>
      <c r="G62" t="s">
        <v>1087</v>
      </c>
      <c r="H62" t="s">
        <v>1023</v>
      </c>
      <c r="I62">
        <v>2132</v>
      </c>
      <c r="J62" s="3">
        <v>327.94</v>
      </c>
      <c r="K62" s="3">
        <v>699168.08</v>
      </c>
      <c r="L62">
        <v>351</v>
      </c>
      <c r="M62" t="s">
        <v>539</v>
      </c>
      <c r="N62" s="16">
        <f t="shared" si="1"/>
        <v>45748</v>
      </c>
      <c r="O62" t="s">
        <v>539</v>
      </c>
      <c r="P62" t="str">
        <f t="shared" si="2"/>
        <v>April 2025</v>
      </c>
      <c r="Q62" t="s">
        <v>966</v>
      </c>
      <c r="R62" s="8">
        <v>16523.099999999999</v>
      </c>
      <c r="S62" s="8">
        <f t="shared" si="3"/>
        <v>715691.17999999993</v>
      </c>
      <c r="T62" s="6">
        <f t="shared" si="4"/>
        <v>0</v>
      </c>
    </row>
    <row r="63" spans="1:20" x14ac:dyDescent="0.3">
      <c r="A63" t="s">
        <v>1088</v>
      </c>
      <c r="B63" s="13" t="s">
        <v>1060</v>
      </c>
      <c r="C63" s="16">
        <f t="shared" si="0"/>
        <v>45870</v>
      </c>
      <c r="D63" t="s">
        <v>1021</v>
      </c>
      <c r="E63" t="s">
        <v>990</v>
      </c>
      <c r="F63" t="s">
        <v>980</v>
      </c>
      <c r="G63" t="s">
        <v>988</v>
      </c>
      <c r="H63" t="s">
        <v>1034</v>
      </c>
      <c r="I63">
        <v>848</v>
      </c>
      <c r="J63" s="3">
        <v>276.94</v>
      </c>
      <c r="K63" s="3">
        <v>234845.12</v>
      </c>
      <c r="L63">
        <v>511</v>
      </c>
      <c r="M63" t="s">
        <v>203</v>
      </c>
      <c r="N63" s="16">
        <f t="shared" si="1"/>
        <v>45870</v>
      </c>
      <c r="O63" t="s">
        <v>203</v>
      </c>
      <c r="P63" t="str">
        <f t="shared" si="2"/>
        <v>August 2025</v>
      </c>
      <c r="Q63" t="s">
        <v>966</v>
      </c>
      <c r="R63" s="8">
        <v>27401.51</v>
      </c>
      <c r="S63" s="8">
        <f t="shared" si="3"/>
        <v>262246.63</v>
      </c>
      <c r="T63" s="6">
        <f t="shared" si="4"/>
        <v>0</v>
      </c>
    </row>
    <row r="64" spans="1:20" x14ac:dyDescent="0.3">
      <c r="A64" t="s">
        <v>1089</v>
      </c>
      <c r="B64" s="13" t="s">
        <v>484</v>
      </c>
      <c r="C64" s="16">
        <f t="shared" si="0"/>
        <v>45717</v>
      </c>
      <c r="D64" t="s">
        <v>968</v>
      </c>
      <c r="E64" t="s">
        <v>33</v>
      </c>
      <c r="F64" t="s">
        <v>956</v>
      </c>
      <c r="G64" t="s">
        <v>1026</v>
      </c>
      <c r="H64" t="s">
        <v>958</v>
      </c>
      <c r="I64">
        <v>481</v>
      </c>
      <c r="J64" s="3">
        <v>233.89</v>
      </c>
      <c r="K64" s="3">
        <v>112501.09</v>
      </c>
      <c r="L64">
        <v>400</v>
      </c>
      <c r="M64" t="s">
        <v>433</v>
      </c>
      <c r="N64" s="16">
        <f t="shared" si="1"/>
        <v>45717</v>
      </c>
      <c r="O64" t="s">
        <v>433</v>
      </c>
      <c r="P64" t="str">
        <f t="shared" si="2"/>
        <v>March 2025</v>
      </c>
      <c r="Q64" t="s">
        <v>966</v>
      </c>
      <c r="R64" s="8">
        <v>14420.75</v>
      </c>
      <c r="S64" s="8">
        <f t="shared" si="3"/>
        <v>126921.84</v>
      </c>
      <c r="T64" s="6">
        <f t="shared" si="4"/>
        <v>0</v>
      </c>
    </row>
    <row r="65" spans="1:20" x14ac:dyDescent="0.3">
      <c r="A65" t="s">
        <v>1090</v>
      </c>
      <c r="B65" s="13" t="s">
        <v>1069</v>
      </c>
      <c r="C65" s="16">
        <f t="shared" si="0"/>
        <v>45778</v>
      </c>
      <c r="D65" t="s">
        <v>1021</v>
      </c>
      <c r="E65" t="s">
        <v>990</v>
      </c>
      <c r="F65" t="s">
        <v>980</v>
      </c>
      <c r="G65" t="s">
        <v>957</v>
      </c>
      <c r="H65" t="s">
        <v>1018</v>
      </c>
      <c r="I65">
        <v>718</v>
      </c>
      <c r="J65" s="3">
        <v>895.56</v>
      </c>
      <c r="K65" s="3">
        <v>643012.07999999996</v>
      </c>
      <c r="L65">
        <v>502</v>
      </c>
      <c r="M65" t="s">
        <v>126</v>
      </c>
      <c r="N65" s="16">
        <f t="shared" si="1"/>
        <v>45778</v>
      </c>
      <c r="O65" t="s">
        <v>126</v>
      </c>
      <c r="P65" t="str">
        <f t="shared" si="2"/>
        <v>May 2025</v>
      </c>
      <c r="Q65" t="s">
        <v>966</v>
      </c>
      <c r="R65" s="8">
        <v>23855.05</v>
      </c>
      <c r="S65" s="8">
        <f t="shared" si="3"/>
        <v>666867.13</v>
      </c>
      <c r="T65" s="6">
        <f t="shared" si="4"/>
        <v>0</v>
      </c>
    </row>
    <row r="66" spans="1:20" x14ac:dyDescent="0.3">
      <c r="A66" t="s">
        <v>1091</v>
      </c>
      <c r="B66" s="13" t="s">
        <v>51</v>
      </c>
      <c r="C66" s="16">
        <f t="shared" si="0"/>
        <v>45717</v>
      </c>
      <c r="D66" t="s">
        <v>1003</v>
      </c>
      <c r="E66" t="s">
        <v>43</v>
      </c>
      <c r="F66" t="s">
        <v>980</v>
      </c>
      <c r="G66" t="s">
        <v>1087</v>
      </c>
      <c r="H66" t="s">
        <v>982</v>
      </c>
      <c r="I66">
        <v>2119</v>
      </c>
      <c r="J66" s="3">
        <v>731.26</v>
      </c>
      <c r="K66" s="3">
        <v>1549539.94</v>
      </c>
      <c r="L66">
        <v>333</v>
      </c>
      <c r="M66" t="s">
        <v>1092</v>
      </c>
      <c r="N66" s="16">
        <f t="shared" si="1"/>
        <v>45717</v>
      </c>
      <c r="O66" t="s">
        <v>1092</v>
      </c>
      <c r="P66" t="str">
        <f t="shared" si="2"/>
        <v>March 2025</v>
      </c>
      <c r="Q66" t="s">
        <v>966</v>
      </c>
      <c r="R66" s="8">
        <v>19478.03</v>
      </c>
      <c r="S66" s="8">
        <f t="shared" si="3"/>
        <v>1569017.97</v>
      </c>
      <c r="T66" s="6">
        <f t="shared" si="4"/>
        <v>0</v>
      </c>
    </row>
    <row r="67" spans="1:20" x14ac:dyDescent="0.3">
      <c r="A67" t="s">
        <v>1093</v>
      </c>
      <c r="B67" s="13" t="s">
        <v>334</v>
      </c>
      <c r="C67" s="16">
        <f t="shared" ref="C67:C130" si="5">DATE(YEAR(B67), MONTH(B67), 1)</f>
        <v>45778</v>
      </c>
      <c r="D67" t="s">
        <v>975</v>
      </c>
      <c r="E67" t="s">
        <v>33</v>
      </c>
      <c r="F67" t="s">
        <v>980</v>
      </c>
      <c r="G67" t="s">
        <v>976</v>
      </c>
      <c r="H67" t="s">
        <v>977</v>
      </c>
      <c r="I67">
        <v>2211</v>
      </c>
      <c r="J67" s="3">
        <v>136.80000000000001</v>
      </c>
      <c r="K67" s="3">
        <v>302464.8</v>
      </c>
      <c r="L67">
        <v>715</v>
      </c>
      <c r="M67" t="s">
        <v>462</v>
      </c>
      <c r="N67" s="16">
        <f t="shared" ref="N67:N130" si="6">DATE(YEAR(M67), MONTH(M67),1)</f>
        <v>45809</v>
      </c>
      <c r="O67" t="s">
        <v>1094</v>
      </c>
      <c r="P67" t="str">
        <f t="shared" ref="P67:P130" si="7">TEXT(O67, "mmmm yyyy")</f>
        <v>June 2025</v>
      </c>
      <c r="Q67" t="s">
        <v>959</v>
      </c>
      <c r="R67" s="8">
        <v>42716.74</v>
      </c>
      <c r="S67" s="8">
        <f t="shared" ref="S67:S130" si="8">K67 +R67</f>
        <v>345181.54</v>
      </c>
      <c r="T67" s="6">
        <f t="shared" si="4"/>
        <v>2</v>
      </c>
    </row>
    <row r="68" spans="1:20" x14ac:dyDescent="0.3">
      <c r="A68" t="s">
        <v>1095</v>
      </c>
      <c r="B68" s="13" t="s">
        <v>334</v>
      </c>
      <c r="C68" s="16">
        <f t="shared" si="5"/>
        <v>45778</v>
      </c>
      <c r="D68" t="s">
        <v>961</v>
      </c>
      <c r="E68" t="s">
        <v>43</v>
      </c>
      <c r="F68" t="s">
        <v>963</v>
      </c>
      <c r="G68" t="s">
        <v>976</v>
      </c>
      <c r="H68" t="s">
        <v>1023</v>
      </c>
      <c r="I68">
        <v>1164</v>
      </c>
      <c r="J68" s="3">
        <v>116.04</v>
      </c>
      <c r="K68" s="3">
        <v>135070.56</v>
      </c>
      <c r="L68">
        <v>323</v>
      </c>
      <c r="M68" t="s">
        <v>165</v>
      </c>
      <c r="N68" s="16">
        <f t="shared" si="6"/>
        <v>45778</v>
      </c>
      <c r="O68" t="s">
        <v>336</v>
      </c>
      <c r="P68" t="str">
        <f t="shared" si="7"/>
        <v>June 2025</v>
      </c>
      <c r="Q68" t="s">
        <v>959</v>
      </c>
      <c r="R68" s="8">
        <v>14273.14</v>
      </c>
      <c r="S68" s="8">
        <f t="shared" si="8"/>
        <v>149343.70000000001</v>
      </c>
      <c r="T68" s="6">
        <f t="shared" ref="T68:T131" si="9">O68 -M68</f>
        <v>3</v>
      </c>
    </row>
    <row r="69" spans="1:20" x14ac:dyDescent="0.3">
      <c r="A69" t="s">
        <v>1096</v>
      </c>
      <c r="B69" s="13" t="s">
        <v>1097</v>
      </c>
      <c r="C69" s="16">
        <f t="shared" si="5"/>
        <v>45778</v>
      </c>
      <c r="D69" t="s">
        <v>961</v>
      </c>
      <c r="E69" t="s">
        <v>43</v>
      </c>
      <c r="F69" t="s">
        <v>980</v>
      </c>
      <c r="G69" t="s">
        <v>1098</v>
      </c>
      <c r="H69" t="s">
        <v>992</v>
      </c>
      <c r="I69">
        <v>2194</v>
      </c>
      <c r="J69" s="3">
        <v>279.01</v>
      </c>
      <c r="K69" s="3">
        <v>612147.93999999994</v>
      </c>
      <c r="L69">
        <v>498</v>
      </c>
      <c r="M69" t="s">
        <v>1099</v>
      </c>
      <c r="N69" s="16">
        <f t="shared" si="6"/>
        <v>45778</v>
      </c>
      <c r="O69" t="s">
        <v>876</v>
      </c>
      <c r="P69" t="str">
        <f t="shared" si="7"/>
        <v>May 2025</v>
      </c>
      <c r="Q69" t="s">
        <v>966</v>
      </c>
      <c r="R69" s="8">
        <v>21211.63</v>
      </c>
      <c r="S69" s="8">
        <f t="shared" si="8"/>
        <v>633359.56999999995</v>
      </c>
      <c r="T69" s="6">
        <f t="shared" si="9"/>
        <v>-1</v>
      </c>
    </row>
    <row r="70" spans="1:20" x14ac:dyDescent="0.3">
      <c r="A70" t="s">
        <v>1100</v>
      </c>
      <c r="B70" s="13" t="s">
        <v>258</v>
      </c>
      <c r="C70" s="16">
        <f t="shared" si="5"/>
        <v>45658</v>
      </c>
      <c r="D70" t="s">
        <v>975</v>
      </c>
      <c r="E70" t="s">
        <v>49</v>
      </c>
      <c r="F70" t="s">
        <v>971</v>
      </c>
      <c r="G70" t="s">
        <v>1012</v>
      </c>
      <c r="H70" t="s">
        <v>965</v>
      </c>
      <c r="I70">
        <v>1667</v>
      </c>
      <c r="J70" s="3">
        <v>166.65</v>
      </c>
      <c r="K70" s="3">
        <v>277805.55</v>
      </c>
      <c r="L70">
        <v>42</v>
      </c>
      <c r="M70" t="s">
        <v>970</v>
      </c>
      <c r="N70" s="16">
        <f t="shared" si="6"/>
        <v>45658</v>
      </c>
      <c r="O70" t="s">
        <v>258</v>
      </c>
      <c r="P70" t="str">
        <f t="shared" si="7"/>
        <v>January 2025</v>
      </c>
      <c r="Q70" t="s">
        <v>966</v>
      </c>
      <c r="R70" s="8">
        <v>2461.84</v>
      </c>
      <c r="S70" s="8">
        <f t="shared" si="8"/>
        <v>280267.39</v>
      </c>
      <c r="T70" s="6">
        <f t="shared" si="9"/>
        <v>-1</v>
      </c>
    </row>
    <row r="71" spans="1:20" x14ac:dyDescent="0.3">
      <c r="A71" t="s">
        <v>1101</v>
      </c>
      <c r="B71" s="13" t="s">
        <v>66</v>
      </c>
      <c r="C71" s="16">
        <f t="shared" si="5"/>
        <v>45901</v>
      </c>
      <c r="D71" t="s">
        <v>1011</v>
      </c>
      <c r="E71" t="s">
        <v>43</v>
      </c>
      <c r="F71" t="s">
        <v>971</v>
      </c>
      <c r="G71" t="s">
        <v>1051</v>
      </c>
      <c r="H71" t="s">
        <v>1023</v>
      </c>
      <c r="I71">
        <v>2364</v>
      </c>
      <c r="J71" s="3">
        <v>84.81</v>
      </c>
      <c r="K71" s="3">
        <v>200490.84</v>
      </c>
      <c r="L71">
        <v>256</v>
      </c>
      <c r="M71" t="s">
        <v>443</v>
      </c>
      <c r="N71" s="16">
        <f t="shared" si="6"/>
        <v>45901</v>
      </c>
      <c r="O71" t="s">
        <v>564</v>
      </c>
      <c r="P71" t="str">
        <f t="shared" si="7"/>
        <v>September 2025</v>
      </c>
      <c r="Q71" t="s">
        <v>959</v>
      </c>
      <c r="R71" s="8">
        <v>11364.48</v>
      </c>
      <c r="S71" s="8">
        <f t="shared" si="8"/>
        <v>211855.32</v>
      </c>
      <c r="T71" s="6">
        <f t="shared" si="9"/>
        <v>4</v>
      </c>
    </row>
    <row r="72" spans="1:20" x14ac:dyDescent="0.3">
      <c r="A72" t="s">
        <v>1102</v>
      </c>
      <c r="B72" s="13" t="s">
        <v>345</v>
      </c>
      <c r="C72" s="16">
        <f t="shared" si="5"/>
        <v>45658</v>
      </c>
      <c r="D72" t="s">
        <v>955</v>
      </c>
      <c r="E72" t="s">
        <v>43</v>
      </c>
      <c r="F72" t="s">
        <v>963</v>
      </c>
      <c r="G72" t="s">
        <v>1045</v>
      </c>
      <c r="H72" t="s">
        <v>1023</v>
      </c>
      <c r="I72">
        <v>749</v>
      </c>
      <c r="J72" s="3">
        <v>432.39</v>
      </c>
      <c r="K72" s="3">
        <v>323860.11</v>
      </c>
      <c r="L72">
        <v>311</v>
      </c>
      <c r="M72" t="s">
        <v>717</v>
      </c>
      <c r="N72" s="16">
        <f t="shared" si="6"/>
        <v>45658</v>
      </c>
      <c r="O72" t="s">
        <v>717</v>
      </c>
      <c r="P72" t="str">
        <f t="shared" si="7"/>
        <v>January 2025</v>
      </c>
      <c r="Q72" t="s">
        <v>966</v>
      </c>
      <c r="R72" s="8">
        <v>12938.59</v>
      </c>
      <c r="S72" s="8">
        <f t="shared" si="8"/>
        <v>336798.7</v>
      </c>
      <c r="T72" s="6">
        <f t="shared" si="9"/>
        <v>0</v>
      </c>
    </row>
    <row r="73" spans="1:20" x14ac:dyDescent="0.3">
      <c r="A73" t="s">
        <v>1103</v>
      </c>
      <c r="B73" s="13" t="s">
        <v>807</v>
      </c>
      <c r="C73" s="16">
        <f t="shared" si="5"/>
        <v>45809</v>
      </c>
      <c r="D73" t="s">
        <v>961</v>
      </c>
      <c r="E73" t="s">
        <v>987</v>
      </c>
      <c r="F73" t="s">
        <v>980</v>
      </c>
      <c r="G73" t="s">
        <v>1036</v>
      </c>
      <c r="H73" t="s">
        <v>973</v>
      </c>
      <c r="I73">
        <v>1831</v>
      </c>
      <c r="J73" s="3">
        <v>775.62</v>
      </c>
      <c r="K73" s="3">
        <v>1420160.22</v>
      </c>
      <c r="L73">
        <v>318</v>
      </c>
      <c r="M73" t="s">
        <v>868</v>
      </c>
      <c r="N73" s="16">
        <f t="shared" si="6"/>
        <v>45809</v>
      </c>
      <c r="O73" t="s">
        <v>868</v>
      </c>
      <c r="P73" t="str">
        <f t="shared" si="7"/>
        <v>June 2025</v>
      </c>
      <c r="Q73" t="s">
        <v>966</v>
      </c>
      <c r="R73" s="8">
        <v>15238.34</v>
      </c>
      <c r="S73" s="8">
        <f t="shared" si="8"/>
        <v>1435398.56</v>
      </c>
      <c r="T73" s="6">
        <f t="shared" si="9"/>
        <v>0</v>
      </c>
    </row>
    <row r="74" spans="1:20" x14ac:dyDescent="0.3">
      <c r="A74" t="s">
        <v>1104</v>
      </c>
      <c r="B74" s="13" t="s">
        <v>579</v>
      </c>
      <c r="C74" s="16">
        <f t="shared" si="5"/>
        <v>45717</v>
      </c>
      <c r="D74" t="s">
        <v>968</v>
      </c>
      <c r="E74" t="s">
        <v>962</v>
      </c>
      <c r="F74" t="s">
        <v>971</v>
      </c>
      <c r="G74" t="s">
        <v>964</v>
      </c>
      <c r="H74" t="s">
        <v>992</v>
      </c>
      <c r="I74">
        <v>1336</v>
      </c>
      <c r="J74" s="3">
        <v>708.25</v>
      </c>
      <c r="K74" s="3">
        <v>946222</v>
      </c>
      <c r="L74">
        <v>352</v>
      </c>
      <c r="M74" t="s">
        <v>1105</v>
      </c>
      <c r="N74" s="16">
        <f t="shared" si="6"/>
        <v>45717</v>
      </c>
      <c r="O74" t="s">
        <v>1105</v>
      </c>
      <c r="P74" t="str">
        <f t="shared" si="7"/>
        <v>March 2025</v>
      </c>
      <c r="Q74" t="s">
        <v>966</v>
      </c>
      <c r="R74" s="8">
        <v>15870.61</v>
      </c>
      <c r="S74" s="8">
        <f t="shared" si="8"/>
        <v>962092.61</v>
      </c>
      <c r="T74" s="6">
        <f t="shared" si="9"/>
        <v>0</v>
      </c>
    </row>
    <row r="75" spans="1:20" x14ac:dyDescent="0.3">
      <c r="A75" t="s">
        <v>1106</v>
      </c>
      <c r="B75" s="13" t="s">
        <v>1107</v>
      </c>
      <c r="C75" s="16">
        <f t="shared" si="5"/>
        <v>45748</v>
      </c>
      <c r="D75" t="s">
        <v>975</v>
      </c>
      <c r="E75" t="s">
        <v>987</v>
      </c>
      <c r="F75" t="s">
        <v>963</v>
      </c>
      <c r="G75" t="s">
        <v>1026</v>
      </c>
      <c r="H75" t="s">
        <v>1018</v>
      </c>
      <c r="I75">
        <v>378</v>
      </c>
      <c r="J75" s="3">
        <v>298.88</v>
      </c>
      <c r="K75" s="3">
        <v>112976.64</v>
      </c>
      <c r="L75">
        <v>588</v>
      </c>
      <c r="M75" t="s">
        <v>403</v>
      </c>
      <c r="N75" s="16">
        <f t="shared" si="6"/>
        <v>45748</v>
      </c>
      <c r="O75" t="s">
        <v>403</v>
      </c>
      <c r="P75" t="str">
        <f t="shared" si="7"/>
        <v>April 2025</v>
      </c>
      <c r="Q75" t="s">
        <v>966</v>
      </c>
      <c r="R75" s="8">
        <v>26079.55</v>
      </c>
      <c r="S75" s="8">
        <f t="shared" si="8"/>
        <v>139056.19</v>
      </c>
      <c r="T75" s="6">
        <f t="shared" si="9"/>
        <v>0</v>
      </c>
    </row>
    <row r="76" spans="1:20" x14ac:dyDescent="0.3">
      <c r="A76" t="s">
        <v>1108</v>
      </c>
      <c r="B76" s="13" t="s">
        <v>174</v>
      </c>
      <c r="C76" s="16">
        <f t="shared" si="5"/>
        <v>45809</v>
      </c>
      <c r="D76" t="s">
        <v>1011</v>
      </c>
      <c r="E76" t="s">
        <v>962</v>
      </c>
      <c r="F76" t="s">
        <v>980</v>
      </c>
      <c r="G76" t="s">
        <v>991</v>
      </c>
      <c r="H76" t="s">
        <v>958</v>
      </c>
      <c r="I76">
        <v>1995</v>
      </c>
      <c r="J76" s="3">
        <v>255.27</v>
      </c>
      <c r="K76" s="3">
        <v>509263.65</v>
      </c>
      <c r="L76">
        <v>200</v>
      </c>
      <c r="M76" t="s">
        <v>244</v>
      </c>
      <c r="N76" s="16">
        <f t="shared" si="6"/>
        <v>45809</v>
      </c>
      <c r="O76" t="s">
        <v>186</v>
      </c>
      <c r="P76" t="str">
        <f t="shared" si="7"/>
        <v>June 2025</v>
      </c>
      <c r="Q76" t="s">
        <v>959</v>
      </c>
      <c r="R76" s="8">
        <v>8046.48</v>
      </c>
      <c r="S76" s="8">
        <f t="shared" si="8"/>
        <v>517310.13</v>
      </c>
      <c r="T76" s="6">
        <f t="shared" si="9"/>
        <v>1</v>
      </c>
    </row>
    <row r="77" spans="1:20" x14ac:dyDescent="0.3">
      <c r="A77" t="s">
        <v>1109</v>
      </c>
      <c r="B77" s="13" t="s">
        <v>536</v>
      </c>
      <c r="C77" s="16">
        <f t="shared" si="5"/>
        <v>45962</v>
      </c>
      <c r="D77" t="s">
        <v>975</v>
      </c>
      <c r="E77" t="s">
        <v>43</v>
      </c>
      <c r="F77" t="s">
        <v>980</v>
      </c>
      <c r="G77" t="s">
        <v>1036</v>
      </c>
      <c r="H77" t="s">
        <v>1000</v>
      </c>
      <c r="I77">
        <v>895</v>
      </c>
      <c r="J77" s="3">
        <v>549.77</v>
      </c>
      <c r="K77" s="3">
        <v>492044.15</v>
      </c>
      <c r="L77">
        <v>55</v>
      </c>
      <c r="M77" t="s">
        <v>305</v>
      </c>
      <c r="N77" s="16">
        <f t="shared" si="6"/>
        <v>45962</v>
      </c>
      <c r="O77" t="s">
        <v>305</v>
      </c>
      <c r="P77" t="str">
        <f t="shared" si="7"/>
        <v>November 2025</v>
      </c>
      <c r="Q77" t="s">
        <v>966</v>
      </c>
      <c r="R77" s="8">
        <v>2731.45</v>
      </c>
      <c r="S77" s="8">
        <f t="shared" si="8"/>
        <v>494775.60000000003</v>
      </c>
      <c r="T77" s="6">
        <f t="shared" si="9"/>
        <v>0</v>
      </c>
    </row>
    <row r="78" spans="1:20" x14ac:dyDescent="0.3">
      <c r="A78" t="s">
        <v>1110</v>
      </c>
      <c r="B78" s="13" t="s">
        <v>648</v>
      </c>
      <c r="C78" s="16">
        <f t="shared" si="5"/>
        <v>45901</v>
      </c>
      <c r="D78" t="s">
        <v>975</v>
      </c>
      <c r="E78" t="s">
        <v>49</v>
      </c>
      <c r="F78" t="s">
        <v>956</v>
      </c>
      <c r="G78" t="s">
        <v>1040</v>
      </c>
      <c r="H78" t="s">
        <v>965</v>
      </c>
      <c r="I78">
        <v>705</v>
      </c>
      <c r="J78" s="3">
        <v>568.64</v>
      </c>
      <c r="K78" s="3">
        <v>400891.2</v>
      </c>
      <c r="L78">
        <v>560</v>
      </c>
      <c r="M78" t="s">
        <v>798</v>
      </c>
      <c r="N78" s="16">
        <f t="shared" si="6"/>
        <v>45931</v>
      </c>
      <c r="O78" t="s">
        <v>64</v>
      </c>
      <c r="P78" t="str">
        <f t="shared" si="7"/>
        <v>October 2025</v>
      </c>
      <c r="Q78" t="s">
        <v>959</v>
      </c>
      <c r="R78" s="8">
        <v>23520.39</v>
      </c>
      <c r="S78" s="8">
        <f t="shared" si="8"/>
        <v>424411.59</v>
      </c>
      <c r="T78" s="6">
        <f t="shared" si="9"/>
        <v>3</v>
      </c>
    </row>
    <row r="79" spans="1:20" x14ac:dyDescent="0.3">
      <c r="A79" t="s">
        <v>1111</v>
      </c>
      <c r="B79" s="13" t="s">
        <v>313</v>
      </c>
      <c r="C79" s="16">
        <f t="shared" si="5"/>
        <v>45658</v>
      </c>
      <c r="D79" t="s">
        <v>961</v>
      </c>
      <c r="E79" t="s">
        <v>43</v>
      </c>
      <c r="F79" t="s">
        <v>971</v>
      </c>
      <c r="G79" t="s">
        <v>1072</v>
      </c>
      <c r="H79" t="s">
        <v>1023</v>
      </c>
      <c r="I79">
        <v>1533</v>
      </c>
      <c r="J79" s="3">
        <v>395.58</v>
      </c>
      <c r="K79" s="3">
        <v>606424.14</v>
      </c>
      <c r="L79">
        <v>128</v>
      </c>
      <c r="M79" t="s">
        <v>1112</v>
      </c>
      <c r="N79" s="16">
        <f t="shared" si="6"/>
        <v>45658</v>
      </c>
      <c r="O79" t="s">
        <v>1112</v>
      </c>
      <c r="P79" t="str">
        <f t="shared" si="7"/>
        <v>January 2025</v>
      </c>
      <c r="Q79" t="s">
        <v>966</v>
      </c>
      <c r="R79" s="8">
        <v>5297.95</v>
      </c>
      <c r="S79" s="8">
        <f t="shared" si="8"/>
        <v>611722.09</v>
      </c>
      <c r="T79" s="6">
        <f t="shared" si="9"/>
        <v>0</v>
      </c>
    </row>
    <row r="80" spans="1:20" x14ac:dyDescent="0.3">
      <c r="A80" t="s">
        <v>1113</v>
      </c>
      <c r="B80" s="13" t="s">
        <v>1114</v>
      </c>
      <c r="C80" s="16">
        <f t="shared" si="5"/>
        <v>45962</v>
      </c>
      <c r="D80" t="s">
        <v>1021</v>
      </c>
      <c r="E80" t="s">
        <v>962</v>
      </c>
      <c r="F80" t="s">
        <v>971</v>
      </c>
      <c r="G80" t="s">
        <v>1038</v>
      </c>
      <c r="H80" t="s">
        <v>1034</v>
      </c>
      <c r="I80">
        <v>2278</v>
      </c>
      <c r="J80" s="3">
        <v>682.78</v>
      </c>
      <c r="K80" s="3">
        <v>1555372.84</v>
      </c>
      <c r="L80">
        <v>547</v>
      </c>
      <c r="M80" t="s">
        <v>109</v>
      </c>
      <c r="N80" s="16">
        <f t="shared" si="6"/>
        <v>45962</v>
      </c>
      <c r="O80" t="s">
        <v>109</v>
      </c>
      <c r="P80" t="str">
        <f t="shared" si="7"/>
        <v>November 2025</v>
      </c>
      <c r="Q80" t="s">
        <v>966</v>
      </c>
      <c r="R80" s="8">
        <v>28572.639999999999</v>
      </c>
      <c r="S80" s="8">
        <f t="shared" si="8"/>
        <v>1583945.48</v>
      </c>
      <c r="T80" s="6">
        <f t="shared" si="9"/>
        <v>0</v>
      </c>
    </row>
    <row r="81" spans="1:20" x14ac:dyDescent="0.3">
      <c r="A81" t="s">
        <v>1115</v>
      </c>
      <c r="B81" s="13" t="s">
        <v>480</v>
      </c>
      <c r="C81" s="16">
        <f t="shared" si="5"/>
        <v>45870</v>
      </c>
      <c r="D81" t="s">
        <v>975</v>
      </c>
      <c r="E81" t="s">
        <v>49</v>
      </c>
      <c r="F81" t="s">
        <v>971</v>
      </c>
      <c r="G81" t="s">
        <v>957</v>
      </c>
      <c r="H81" t="s">
        <v>958</v>
      </c>
      <c r="I81">
        <v>563</v>
      </c>
      <c r="J81" s="3">
        <v>237.92</v>
      </c>
      <c r="K81" s="3">
        <v>133948.96</v>
      </c>
      <c r="L81">
        <v>335</v>
      </c>
      <c r="M81" t="s">
        <v>498</v>
      </c>
      <c r="N81" s="16">
        <f t="shared" si="6"/>
        <v>45870</v>
      </c>
      <c r="O81" t="s">
        <v>480</v>
      </c>
      <c r="P81" t="str">
        <f t="shared" si="7"/>
        <v>August 2025</v>
      </c>
      <c r="Q81" t="s">
        <v>966</v>
      </c>
      <c r="R81" s="8">
        <v>12054.53</v>
      </c>
      <c r="S81" s="8">
        <f t="shared" si="8"/>
        <v>146003.49</v>
      </c>
      <c r="T81" s="6">
        <f t="shared" si="9"/>
        <v>-1</v>
      </c>
    </row>
    <row r="82" spans="1:20" x14ac:dyDescent="0.3">
      <c r="A82" t="s">
        <v>1116</v>
      </c>
      <c r="B82" s="13" t="s">
        <v>908</v>
      </c>
      <c r="C82" s="16">
        <f t="shared" si="5"/>
        <v>45839</v>
      </c>
      <c r="D82" t="s">
        <v>1021</v>
      </c>
      <c r="E82" t="s">
        <v>33</v>
      </c>
      <c r="F82" t="s">
        <v>980</v>
      </c>
      <c r="G82" t="s">
        <v>981</v>
      </c>
      <c r="H82" t="s">
        <v>992</v>
      </c>
      <c r="I82">
        <v>1136</v>
      </c>
      <c r="J82" s="3">
        <v>572.64</v>
      </c>
      <c r="K82" s="3">
        <v>650519.04000000004</v>
      </c>
      <c r="L82">
        <v>293</v>
      </c>
      <c r="M82" t="s">
        <v>56</v>
      </c>
      <c r="N82" s="16">
        <f t="shared" si="6"/>
        <v>45839</v>
      </c>
      <c r="O82" t="s">
        <v>56</v>
      </c>
      <c r="P82" t="str">
        <f t="shared" si="7"/>
        <v>July 2025</v>
      </c>
      <c r="Q82" t="s">
        <v>966</v>
      </c>
      <c r="R82" s="8">
        <v>14446.25</v>
      </c>
      <c r="S82" s="8">
        <f t="shared" si="8"/>
        <v>664965.29</v>
      </c>
      <c r="T82" s="6">
        <f t="shared" si="9"/>
        <v>0</v>
      </c>
    </row>
    <row r="83" spans="1:20" x14ac:dyDescent="0.3">
      <c r="A83" t="s">
        <v>1117</v>
      </c>
      <c r="B83" s="13" t="s">
        <v>1118</v>
      </c>
      <c r="C83" s="16">
        <f t="shared" si="5"/>
        <v>45658</v>
      </c>
      <c r="D83" t="s">
        <v>975</v>
      </c>
      <c r="E83" t="s">
        <v>43</v>
      </c>
      <c r="F83" t="s">
        <v>963</v>
      </c>
      <c r="G83" t="s">
        <v>1072</v>
      </c>
      <c r="H83" t="s">
        <v>977</v>
      </c>
      <c r="I83">
        <v>942</v>
      </c>
      <c r="J83" s="3">
        <v>457.57</v>
      </c>
      <c r="K83" s="3">
        <v>431030.94</v>
      </c>
      <c r="L83">
        <v>589</v>
      </c>
      <c r="M83" t="s">
        <v>307</v>
      </c>
      <c r="N83" s="16">
        <f t="shared" si="6"/>
        <v>45658</v>
      </c>
      <c r="O83" t="s">
        <v>307</v>
      </c>
      <c r="P83" t="str">
        <f t="shared" si="7"/>
        <v>January 2025</v>
      </c>
      <c r="Q83" t="s">
        <v>966</v>
      </c>
      <c r="R83" s="8">
        <v>36350.06</v>
      </c>
      <c r="S83" s="8">
        <f t="shared" si="8"/>
        <v>467381</v>
      </c>
      <c r="T83" s="6">
        <f t="shared" si="9"/>
        <v>0</v>
      </c>
    </row>
    <row r="84" spans="1:20" x14ac:dyDescent="0.3">
      <c r="A84" t="s">
        <v>1119</v>
      </c>
      <c r="B84" s="13" t="s">
        <v>918</v>
      </c>
      <c r="C84" s="16">
        <f t="shared" si="5"/>
        <v>45778</v>
      </c>
      <c r="D84" t="s">
        <v>1011</v>
      </c>
      <c r="E84" t="s">
        <v>43</v>
      </c>
      <c r="F84" t="s">
        <v>956</v>
      </c>
      <c r="G84" t="s">
        <v>976</v>
      </c>
      <c r="H84" t="s">
        <v>1000</v>
      </c>
      <c r="I84">
        <v>209</v>
      </c>
      <c r="J84" s="3">
        <v>841.96</v>
      </c>
      <c r="K84" s="3">
        <v>175969.64</v>
      </c>
      <c r="L84">
        <v>242</v>
      </c>
      <c r="M84" t="s">
        <v>334</v>
      </c>
      <c r="N84" s="16">
        <f t="shared" si="6"/>
        <v>45778</v>
      </c>
      <c r="O84" t="s">
        <v>336</v>
      </c>
      <c r="P84" t="str">
        <f t="shared" si="7"/>
        <v>June 2025</v>
      </c>
      <c r="Q84" t="s">
        <v>959</v>
      </c>
      <c r="R84" s="8">
        <v>11784.85</v>
      </c>
      <c r="S84" s="8">
        <f t="shared" si="8"/>
        <v>187754.49000000002</v>
      </c>
      <c r="T84" s="6">
        <f t="shared" si="9"/>
        <v>4</v>
      </c>
    </row>
    <row r="85" spans="1:20" x14ac:dyDescent="0.3">
      <c r="A85" t="s">
        <v>1120</v>
      </c>
      <c r="B85" s="13" t="s">
        <v>199</v>
      </c>
      <c r="C85" s="16">
        <f t="shared" si="5"/>
        <v>45689</v>
      </c>
      <c r="D85" t="s">
        <v>1021</v>
      </c>
      <c r="E85" t="s">
        <v>49</v>
      </c>
      <c r="F85" t="s">
        <v>980</v>
      </c>
      <c r="G85" t="s">
        <v>1087</v>
      </c>
      <c r="H85" t="s">
        <v>1023</v>
      </c>
      <c r="I85">
        <v>1124</v>
      </c>
      <c r="J85" s="3">
        <v>277.98</v>
      </c>
      <c r="K85" s="3">
        <v>312449.52</v>
      </c>
      <c r="L85">
        <v>393</v>
      </c>
      <c r="M85" t="s">
        <v>120</v>
      </c>
      <c r="N85" s="16">
        <f t="shared" si="6"/>
        <v>45717</v>
      </c>
      <c r="O85" t="s">
        <v>120</v>
      </c>
      <c r="P85" t="str">
        <f t="shared" si="7"/>
        <v>March 2025</v>
      </c>
      <c r="Q85" t="s">
        <v>966</v>
      </c>
      <c r="R85" s="8">
        <v>21282.58</v>
      </c>
      <c r="S85" s="8">
        <f t="shared" si="8"/>
        <v>333732.10000000003</v>
      </c>
      <c r="T85" s="6">
        <f t="shared" si="9"/>
        <v>0</v>
      </c>
    </row>
    <row r="86" spans="1:20" x14ac:dyDescent="0.3">
      <c r="A86" t="s">
        <v>1121</v>
      </c>
      <c r="B86" s="13" t="s">
        <v>613</v>
      </c>
      <c r="C86" s="16">
        <f t="shared" si="5"/>
        <v>45658</v>
      </c>
      <c r="D86" t="s">
        <v>1011</v>
      </c>
      <c r="E86" t="s">
        <v>49</v>
      </c>
      <c r="F86" t="s">
        <v>980</v>
      </c>
      <c r="G86" t="s">
        <v>1087</v>
      </c>
      <c r="H86" t="s">
        <v>965</v>
      </c>
      <c r="I86">
        <v>1628</v>
      </c>
      <c r="J86" s="3">
        <v>384.72</v>
      </c>
      <c r="K86" s="3">
        <v>626324.16</v>
      </c>
      <c r="L86">
        <v>471</v>
      </c>
      <c r="M86" t="s">
        <v>916</v>
      </c>
      <c r="N86" s="16">
        <f t="shared" si="6"/>
        <v>45658</v>
      </c>
      <c r="O86" t="s">
        <v>903</v>
      </c>
      <c r="P86" t="str">
        <f t="shared" si="7"/>
        <v>January 2025</v>
      </c>
      <c r="Q86" t="s">
        <v>966</v>
      </c>
      <c r="R86" s="8">
        <v>17438.759999999998</v>
      </c>
      <c r="S86" s="8">
        <f t="shared" si="8"/>
        <v>643762.92000000004</v>
      </c>
      <c r="T86" s="6">
        <f t="shared" si="9"/>
        <v>-1</v>
      </c>
    </row>
    <row r="87" spans="1:20" x14ac:dyDescent="0.3">
      <c r="A87" t="s">
        <v>1122</v>
      </c>
      <c r="B87" s="13" t="s">
        <v>737</v>
      </c>
      <c r="C87" s="16">
        <f t="shared" si="5"/>
        <v>45809</v>
      </c>
      <c r="D87" t="s">
        <v>1003</v>
      </c>
      <c r="E87" t="s">
        <v>987</v>
      </c>
      <c r="F87" t="s">
        <v>963</v>
      </c>
      <c r="G87" t="s">
        <v>991</v>
      </c>
      <c r="H87" t="s">
        <v>1000</v>
      </c>
      <c r="I87">
        <v>1105</v>
      </c>
      <c r="J87" s="3">
        <v>115.04</v>
      </c>
      <c r="K87" s="3">
        <v>127119.2</v>
      </c>
      <c r="L87">
        <v>546</v>
      </c>
      <c r="M87" t="s">
        <v>367</v>
      </c>
      <c r="N87" s="16">
        <f t="shared" si="6"/>
        <v>45809</v>
      </c>
      <c r="O87" t="s">
        <v>367</v>
      </c>
      <c r="P87" t="str">
        <f t="shared" si="7"/>
        <v>June 2025</v>
      </c>
      <c r="Q87" t="s">
        <v>966</v>
      </c>
      <c r="R87" s="8">
        <v>33817.339999999997</v>
      </c>
      <c r="S87" s="8">
        <f t="shared" si="8"/>
        <v>160936.53999999998</v>
      </c>
      <c r="T87" s="6">
        <f t="shared" si="9"/>
        <v>0</v>
      </c>
    </row>
    <row r="88" spans="1:20" x14ac:dyDescent="0.3">
      <c r="A88" t="s">
        <v>1123</v>
      </c>
      <c r="B88" s="13" t="s">
        <v>158</v>
      </c>
      <c r="C88" s="16">
        <f t="shared" si="5"/>
        <v>45992</v>
      </c>
      <c r="D88" t="s">
        <v>961</v>
      </c>
      <c r="E88" t="s">
        <v>49</v>
      </c>
      <c r="F88" t="s">
        <v>963</v>
      </c>
      <c r="G88" t="s">
        <v>1087</v>
      </c>
      <c r="H88" t="s">
        <v>977</v>
      </c>
      <c r="I88">
        <v>2295</v>
      </c>
      <c r="J88" s="3">
        <v>545.44000000000005</v>
      </c>
      <c r="K88" s="3">
        <v>1251784.8</v>
      </c>
      <c r="L88">
        <v>295</v>
      </c>
      <c r="M88" t="s">
        <v>488</v>
      </c>
      <c r="N88" s="16">
        <f t="shared" si="6"/>
        <v>45992</v>
      </c>
      <c r="O88" t="s">
        <v>488</v>
      </c>
      <c r="P88" t="str">
        <f t="shared" si="7"/>
        <v>December 2025</v>
      </c>
      <c r="Q88" t="s">
        <v>966</v>
      </c>
      <c r="R88" s="8">
        <v>16295.53</v>
      </c>
      <c r="S88" s="8">
        <f t="shared" si="8"/>
        <v>1268080.33</v>
      </c>
      <c r="T88" s="6">
        <f t="shared" si="9"/>
        <v>0</v>
      </c>
    </row>
    <row r="89" spans="1:20" x14ac:dyDescent="0.3">
      <c r="A89" t="s">
        <v>1124</v>
      </c>
      <c r="B89" s="13" t="s">
        <v>1069</v>
      </c>
      <c r="C89" s="16">
        <f t="shared" si="5"/>
        <v>45778</v>
      </c>
      <c r="D89" t="s">
        <v>968</v>
      </c>
      <c r="E89" t="s">
        <v>43</v>
      </c>
      <c r="F89" t="s">
        <v>971</v>
      </c>
      <c r="G89" t="s">
        <v>981</v>
      </c>
      <c r="H89" t="s">
        <v>973</v>
      </c>
      <c r="I89">
        <v>385</v>
      </c>
      <c r="J89" s="3">
        <v>630.29</v>
      </c>
      <c r="K89" s="3">
        <v>242661.65</v>
      </c>
      <c r="L89">
        <v>335</v>
      </c>
      <c r="M89" t="s">
        <v>1125</v>
      </c>
      <c r="N89" s="16">
        <f t="shared" si="6"/>
        <v>45778</v>
      </c>
      <c r="O89" t="s">
        <v>1125</v>
      </c>
      <c r="P89" t="str">
        <f t="shared" si="7"/>
        <v>May 2025</v>
      </c>
      <c r="Q89" t="s">
        <v>966</v>
      </c>
      <c r="R89" s="8">
        <v>20366.43</v>
      </c>
      <c r="S89" s="8">
        <f t="shared" si="8"/>
        <v>263028.08</v>
      </c>
      <c r="T89" s="6">
        <f t="shared" si="9"/>
        <v>0</v>
      </c>
    </row>
    <row r="90" spans="1:20" x14ac:dyDescent="0.3">
      <c r="A90" t="s">
        <v>1126</v>
      </c>
      <c r="B90" s="13" t="s">
        <v>1020</v>
      </c>
      <c r="C90" s="16">
        <f t="shared" si="5"/>
        <v>45839</v>
      </c>
      <c r="D90" t="s">
        <v>984</v>
      </c>
      <c r="E90" t="s">
        <v>49</v>
      </c>
      <c r="F90" t="s">
        <v>980</v>
      </c>
      <c r="G90" t="s">
        <v>996</v>
      </c>
      <c r="H90" t="s">
        <v>1018</v>
      </c>
      <c r="I90">
        <v>824</v>
      </c>
      <c r="J90" s="3">
        <v>200.14</v>
      </c>
      <c r="K90" s="3">
        <v>164915.35999999999</v>
      </c>
      <c r="L90">
        <v>719</v>
      </c>
      <c r="M90" t="s">
        <v>1127</v>
      </c>
      <c r="N90" s="16">
        <f t="shared" si="6"/>
        <v>45839</v>
      </c>
      <c r="O90" t="s">
        <v>633</v>
      </c>
      <c r="P90" t="str">
        <f t="shared" si="7"/>
        <v>July 2025</v>
      </c>
      <c r="Q90" t="s">
        <v>959</v>
      </c>
      <c r="R90" s="8">
        <v>39880.089999999997</v>
      </c>
      <c r="S90" s="8">
        <f t="shared" si="8"/>
        <v>204795.44999999998</v>
      </c>
      <c r="T90" s="6">
        <f t="shared" si="9"/>
        <v>3</v>
      </c>
    </row>
    <row r="91" spans="1:20" x14ac:dyDescent="0.3">
      <c r="A91" t="s">
        <v>1128</v>
      </c>
      <c r="B91" s="13" t="s">
        <v>191</v>
      </c>
      <c r="C91" s="16">
        <f t="shared" si="5"/>
        <v>45839</v>
      </c>
      <c r="D91" t="s">
        <v>1011</v>
      </c>
      <c r="E91" t="s">
        <v>43</v>
      </c>
      <c r="F91" t="s">
        <v>980</v>
      </c>
      <c r="G91" t="s">
        <v>1078</v>
      </c>
      <c r="H91" t="s">
        <v>982</v>
      </c>
      <c r="I91">
        <v>1120</v>
      </c>
      <c r="J91" s="3">
        <v>223.46</v>
      </c>
      <c r="K91" s="3">
        <v>250275.20000000001</v>
      </c>
      <c r="L91">
        <v>319</v>
      </c>
      <c r="M91" t="s">
        <v>256</v>
      </c>
      <c r="N91" s="16">
        <f t="shared" si="6"/>
        <v>45839</v>
      </c>
      <c r="O91" t="s">
        <v>852</v>
      </c>
      <c r="P91" t="str">
        <f t="shared" si="7"/>
        <v>July 2025</v>
      </c>
      <c r="Q91" t="s">
        <v>959</v>
      </c>
      <c r="R91" s="8">
        <v>17449.75</v>
      </c>
      <c r="S91" s="8">
        <f t="shared" si="8"/>
        <v>267724.95</v>
      </c>
      <c r="T91" s="6">
        <f t="shared" si="9"/>
        <v>3</v>
      </c>
    </row>
    <row r="92" spans="1:20" x14ac:dyDescent="0.3">
      <c r="A92" t="s">
        <v>1129</v>
      </c>
      <c r="B92" s="13" t="s">
        <v>730</v>
      </c>
      <c r="C92" s="16">
        <f t="shared" si="5"/>
        <v>45658</v>
      </c>
      <c r="D92" t="s">
        <v>1021</v>
      </c>
      <c r="E92" t="s">
        <v>987</v>
      </c>
      <c r="F92" t="s">
        <v>971</v>
      </c>
      <c r="G92" t="s">
        <v>1045</v>
      </c>
      <c r="H92" t="s">
        <v>1023</v>
      </c>
      <c r="I92">
        <v>1051</v>
      </c>
      <c r="J92" s="3">
        <v>553.47</v>
      </c>
      <c r="K92" s="3">
        <v>581696.97</v>
      </c>
      <c r="L92">
        <v>337</v>
      </c>
      <c r="M92" t="s">
        <v>459</v>
      </c>
      <c r="N92" s="16">
        <f t="shared" si="6"/>
        <v>45658</v>
      </c>
      <c r="O92" t="s">
        <v>46</v>
      </c>
      <c r="P92" t="str">
        <f t="shared" si="7"/>
        <v>February 2025</v>
      </c>
      <c r="Q92" t="s">
        <v>959</v>
      </c>
      <c r="R92" s="8">
        <v>17991.12</v>
      </c>
      <c r="S92" s="8">
        <f t="shared" si="8"/>
        <v>599688.09</v>
      </c>
      <c r="T92" s="6">
        <f t="shared" si="9"/>
        <v>1</v>
      </c>
    </row>
    <row r="93" spans="1:20" x14ac:dyDescent="0.3">
      <c r="A93" t="s">
        <v>1130</v>
      </c>
      <c r="B93" s="13" t="s">
        <v>714</v>
      </c>
      <c r="C93" s="16">
        <f t="shared" si="5"/>
        <v>45962</v>
      </c>
      <c r="D93" t="s">
        <v>1003</v>
      </c>
      <c r="E93" t="s">
        <v>49</v>
      </c>
      <c r="F93" t="s">
        <v>971</v>
      </c>
      <c r="G93" t="s">
        <v>1012</v>
      </c>
      <c r="H93" t="s">
        <v>1034</v>
      </c>
      <c r="I93">
        <v>1294</v>
      </c>
      <c r="J93" s="3">
        <v>849.22</v>
      </c>
      <c r="K93" s="3">
        <v>1098890.68</v>
      </c>
      <c r="L93">
        <v>480</v>
      </c>
      <c r="M93" t="s">
        <v>1048</v>
      </c>
      <c r="N93" s="16">
        <f t="shared" si="6"/>
        <v>45962</v>
      </c>
      <c r="O93" t="s">
        <v>1048</v>
      </c>
      <c r="P93" t="str">
        <f t="shared" si="7"/>
        <v>November 2025</v>
      </c>
      <c r="Q93" t="s">
        <v>966</v>
      </c>
      <c r="R93" s="8">
        <v>23287.86</v>
      </c>
      <c r="S93" s="8">
        <f t="shared" si="8"/>
        <v>1122178.54</v>
      </c>
      <c r="T93" s="6">
        <f t="shared" si="9"/>
        <v>0</v>
      </c>
    </row>
    <row r="94" spans="1:20" x14ac:dyDescent="0.3">
      <c r="A94" t="s">
        <v>1131</v>
      </c>
      <c r="B94" s="13" t="s">
        <v>679</v>
      </c>
      <c r="C94" s="16">
        <f t="shared" si="5"/>
        <v>45992</v>
      </c>
      <c r="D94" t="s">
        <v>1021</v>
      </c>
      <c r="E94" t="s">
        <v>990</v>
      </c>
      <c r="F94" t="s">
        <v>956</v>
      </c>
      <c r="G94" t="s">
        <v>1132</v>
      </c>
      <c r="H94" t="s">
        <v>977</v>
      </c>
      <c r="I94">
        <v>1374</v>
      </c>
      <c r="J94" s="3">
        <v>517.29</v>
      </c>
      <c r="K94" s="3">
        <v>710756.46</v>
      </c>
      <c r="L94">
        <v>267</v>
      </c>
      <c r="M94" t="s">
        <v>1133</v>
      </c>
      <c r="N94" s="16">
        <f t="shared" si="6"/>
        <v>46023</v>
      </c>
      <c r="O94" t="s">
        <v>1134</v>
      </c>
      <c r="P94" t="str">
        <f t="shared" si="7"/>
        <v>January 2026</v>
      </c>
      <c r="Q94" t="s">
        <v>959</v>
      </c>
      <c r="R94" s="8">
        <v>14420.37</v>
      </c>
      <c r="S94" s="8">
        <f t="shared" si="8"/>
        <v>725176.83</v>
      </c>
      <c r="T94" s="6">
        <f t="shared" si="9"/>
        <v>2</v>
      </c>
    </row>
    <row r="95" spans="1:20" x14ac:dyDescent="0.3">
      <c r="A95" t="s">
        <v>1135</v>
      </c>
      <c r="B95" s="13" t="s">
        <v>932</v>
      </c>
      <c r="C95" s="16">
        <f t="shared" si="5"/>
        <v>45992</v>
      </c>
      <c r="D95" t="s">
        <v>1003</v>
      </c>
      <c r="E95" t="s">
        <v>962</v>
      </c>
      <c r="F95" t="s">
        <v>956</v>
      </c>
      <c r="G95" t="s">
        <v>1038</v>
      </c>
      <c r="H95" t="s">
        <v>965</v>
      </c>
      <c r="I95">
        <v>1058</v>
      </c>
      <c r="J95" s="3">
        <v>388.85</v>
      </c>
      <c r="K95" s="3">
        <v>411403.3</v>
      </c>
      <c r="L95">
        <v>605</v>
      </c>
      <c r="M95" t="s">
        <v>880</v>
      </c>
      <c r="N95" s="16">
        <f t="shared" si="6"/>
        <v>45992</v>
      </c>
      <c r="O95" t="s">
        <v>303</v>
      </c>
      <c r="P95" t="str">
        <f t="shared" si="7"/>
        <v>December 2025</v>
      </c>
      <c r="Q95" t="s">
        <v>959</v>
      </c>
      <c r="R95" s="8">
        <v>36023.07</v>
      </c>
      <c r="S95" s="8">
        <f t="shared" si="8"/>
        <v>447426.37</v>
      </c>
      <c r="T95" s="6">
        <f t="shared" si="9"/>
        <v>3</v>
      </c>
    </row>
    <row r="96" spans="1:20" x14ac:dyDescent="0.3">
      <c r="A96" t="s">
        <v>1136</v>
      </c>
      <c r="B96" s="13" t="s">
        <v>1137</v>
      </c>
      <c r="C96" s="16">
        <f t="shared" si="5"/>
        <v>45717</v>
      </c>
      <c r="D96" t="s">
        <v>955</v>
      </c>
      <c r="E96" t="s">
        <v>49</v>
      </c>
      <c r="F96" t="s">
        <v>956</v>
      </c>
      <c r="G96" t="s">
        <v>1004</v>
      </c>
      <c r="H96" t="s">
        <v>977</v>
      </c>
      <c r="I96">
        <v>1504</v>
      </c>
      <c r="J96" s="3">
        <v>300.95999999999998</v>
      </c>
      <c r="K96" s="3">
        <v>452643.84000000003</v>
      </c>
      <c r="L96">
        <v>43</v>
      </c>
      <c r="M96" t="s">
        <v>469</v>
      </c>
      <c r="N96" s="16">
        <f t="shared" si="6"/>
        <v>45717</v>
      </c>
      <c r="O96" t="s">
        <v>469</v>
      </c>
      <c r="P96" t="str">
        <f t="shared" si="7"/>
        <v>March 2025</v>
      </c>
      <c r="Q96" t="s">
        <v>966</v>
      </c>
      <c r="R96" s="8">
        <v>2464.62</v>
      </c>
      <c r="S96" s="8">
        <f t="shared" si="8"/>
        <v>455108.46</v>
      </c>
      <c r="T96" s="6">
        <f t="shared" si="9"/>
        <v>0</v>
      </c>
    </row>
    <row r="97" spans="1:20" x14ac:dyDescent="0.3">
      <c r="A97" t="s">
        <v>1138</v>
      </c>
      <c r="B97" s="13" t="s">
        <v>644</v>
      </c>
      <c r="C97" s="16">
        <f t="shared" si="5"/>
        <v>45962</v>
      </c>
      <c r="D97" t="s">
        <v>1011</v>
      </c>
      <c r="E97" t="s">
        <v>987</v>
      </c>
      <c r="F97" t="s">
        <v>980</v>
      </c>
      <c r="G97" t="s">
        <v>972</v>
      </c>
      <c r="H97" t="s">
        <v>958</v>
      </c>
      <c r="I97">
        <v>230</v>
      </c>
      <c r="J97" s="3">
        <v>54.19</v>
      </c>
      <c r="K97" s="3">
        <v>12463.7</v>
      </c>
      <c r="L97">
        <v>592</v>
      </c>
      <c r="M97" t="s">
        <v>134</v>
      </c>
      <c r="N97" s="16">
        <f t="shared" si="6"/>
        <v>45962</v>
      </c>
      <c r="O97" t="s">
        <v>418</v>
      </c>
      <c r="P97" t="str">
        <f t="shared" si="7"/>
        <v>November 2025</v>
      </c>
      <c r="Q97" t="s">
        <v>959</v>
      </c>
      <c r="R97" s="8">
        <v>27512.91</v>
      </c>
      <c r="S97" s="8">
        <f t="shared" si="8"/>
        <v>39976.61</v>
      </c>
      <c r="T97" s="6">
        <f t="shared" si="9"/>
        <v>4</v>
      </c>
    </row>
    <row r="98" spans="1:20" x14ac:dyDescent="0.3">
      <c r="A98" t="s">
        <v>1139</v>
      </c>
      <c r="B98" s="13" t="s">
        <v>1071</v>
      </c>
      <c r="C98" s="16">
        <f t="shared" si="5"/>
        <v>45870</v>
      </c>
      <c r="D98" t="s">
        <v>1021</v>
      </c>
      <c r="E98" t="s">
        <v>49</v>
      </c>
      <c r="F98" t="s">
        <v>956</v>
      </c>
      <c r="G98" t="s">
        <v>1072</v>
      </c>
      <c r="H98" t="s">
        <v>1018</v>
      </c>
      <c r="I98">
        <v>723</v>
      </c>
      <c r="J98" s="3">
        <v>411.86</v>
      </c>
      <c r="K98" s="3">
        <v>297774.78000000003</v>
      </c>
      <c r="L98">
        <v>207</v>
      </c>
      <c r="M98" t="s">
        <v>456</v>
      </c>
      <c r="N98" s="16">
        <f t="shared" si="6"/>
        <v>45870</v>
      </c>
      <c r="O98" t="s">
        <v>456</v>
      </c>
      <c r="P98" t="str">
        <f t="shared" si="7"/>
        <v>August 2025</v>
      </c>
      <c r="Q98" t="s">
        <v>966</v>
      </c>
      <c r="R98" s="8">
        <v>10910.91</v>
      </c>
      <c r="S98" s="8">
        <f t="shared" si="8"/>
        <v>308685.69</v>
      </c>
      <c r="T98" s="6">
        <f t="shared" si="9"/>
        <v>0</v>
      </c>
    </row>
    <row r="99" spans="1:20" x14ac:dyDescent="0.3">
      <c r="A99" t="s">
        <v>1140</v>
      </c>
      <c r="B99" s="13" t="s">
        <v>868</v>
      </c>
      <c r="C99" s="16">
        <f t="shared" si="5"/>
        <v>45809</v>
      </c>
      <c r="D99" t="s">
        <v>955</v>
      </c>
      <c r="E99" t="s">
        <v>43</v>
      </c>
      <c r="F99" t="s">
        <v>980</v>
      </c>
      <c r="G99" t="s">
        <v>1038</v>
      </c>
      <c r="H99" t="s">
        <v>1034</v>
      </c>
      <c r="I99">
        <v>384</v>
      </c>
      <c r="J99" s="3">
        <v>707.99</v>
      </c>
      <c r="K99" s="3">
        <v>271868.15999999997</v>
      </c>
      <c r="L99">
        <v>39</v>
      </c>
      <c r="M99" t="s">
        <v>446</v>
      </c>
      <c r="N99" s="16">
        <f t="shared" si="6"/>
        <v>45809</v>
      </c>
      <c r="O99" t="s">
        <v>35</v>
      </c>
      <c r="P99" t="str">
        <f t="shared" si="7"/>
        <v>June 2025</v>
      </c>
      <c r="Q99" t="s">
        <v>959</v>
      </c>
      <c r="R99" s="8">
        <v>1496.97</v>
      </c>
      <c r="S99" s="8">
        <f t="shared" si="8"/>
        <v>273365.12999999995</v>
      </c>
      <c r="T99" s="6">
        <f t="shared" si="9"/>
        <v>3</v>
      </c>
    </row>
    <row r="100" spans="1:20" x14ac:dyDescent="0.3">
      <c r="A100" t="s">
        <v>1141</v>
      </c>
      <c r="B100" s="13" t="s">
        <v>714</v>
      </c>
      <c r="C100" s="16">
        <f t="shared" si="5"/>
        <v>45962</v>
      </c>
      <c r="D100" t="s">
        <v>975</v>
      </c>
      <c r="E100" t="s">
        <v>49</v>
      </c>
      <c r="F100" t="s">
        <v>956</v>
      </c>
      <c r="G100" t="s">
        <v>1078</v>
      </c>
      <c r="H100" t="s">
        <v>1023</v>
      </c>
      <c r="I100">
        <v>262</v>
      </c>
      <c r="J100" s="3">
        <v>856.88</v>
      </c>
      <c r="K100" s="3">
        <v>224502.56</v>
      </c>
      <c r="L100">
        <v>381</v>
      </c>
      <c r="M100" t="s">
        <v>1048</v>
      </c>
      <c r="N100" s="16">
        <f t="shared" si="6"/>
        <v>45962</v>
      </c>
      <c r="O100" t="s">
        <v>796</v>
      </c>
      <c r="P100" t="str">
        <f t="shared" si="7"/>
        <v>November 2025</v>
      </c>
      <c r="Q100" t="s">
        <v>966</v>
      </c>
      <c r="R100" s="8">
        <v>16202.09</v>
      </c>
      <c r="S100" s="8">
        <f t="shared" si="8"/>
        <v>240704.65</v>
      </c>
      <c r="T100" s="6">
        <f t="shared" si="9"/>
        <v>-1</v>
      </c>
    </row>
    <row r="101" spans="1:20" x14ac:dyDescent="0.3">
      <c r="A101" t="s">
        <v>1142</v>
      </c>
      <c r="B101" s="13" t="s">
        <v>525</v>
      </c>
      <c r="C101" s="16">
        <f t="shared" si="5"/>
        <v>45931</v>
      </c>
      <c r="D101" t="s">
        <v>955</v>
      </c>
      <c r="E101" t="s">
        <v>990</v>
      </c>
      <c r="F101" t="s">
        <v>971</v>
      </c>
      <c r="G101" t="s">
        <v>1132</v>
      </c>
      <c r="H101" t="s">
        <v>973</v>
      </c>
      <c r="I101">
        <v>1288</v>
      </c>
      <c r="J101" s="3">
        <v>802.72</v>
      </c>
      <c r="K101" s="3">
        <v>1033903.36</v>
      </c>
      <c r="L101">
        <v>215</v>
      </c>
      <c r="M101" t="s">
        <v>428</v>
      </c>
      <c r="N101" s="16">
        <f t="shared" si="6"/>
        <v>45931</v>
      </c>
      <c r="O101" t="s">
        <v>338</v>
      </c>
      <c r="P101" t="str">
        <f t="shared" si="7"/>
        <v>October 2025</v>
      </c>
      <c r="Q101" t="s">
        <v>959</v>
      </c>
      <c r="R101" s="8">
        <v>8194.15</v>
      </c>
      <c r="S101" s="8">
        <f t="shared" si="8"/>
        <v>1042097.51</v>
      </c>
      <c r="T101" s="6">
        <f t="shared" si="9"/>
        <v>2</v>
      </c>
    </row>
    <row r="102" spans="1:20" x14ac:dyDescent="0.3">
      <c r="A102" t="s">
        <v>1143</v>
      </c>
      <c r="B102" s="13" t="s">
        <v>670</v>
      </c>
      <c r="C102" s="16">
        <f t="shared" si="5"/>
        <v>45870</v>
      </c>
      <c r="D102" t="s">
        <v>975</v>
      </c>
      <c r="E102" t="s">
        <v>33</v>
      </c>
      <c r="F102" t="s">
        <v>956</v>
      </c>
      <c r="G102" t="s">
        <v>1051</v>
      </c>
      <c r="H102" t="s">
        <v>958</v>
      </c>
      <c r="I102">
        <v>769</v>
      </c>
      <c r="J102" s="3">
        <v>248.37</v>
      </c>
      <c r="K102" s="3">
        <v>190996.53</v>
      </c>
      <c r="L102">
        <v>159</v>
      </c>
      <c r="M102" t="s">
        <v>1144</v>
      </c>
      <c r="N102" s="16">
        <f t="shared" si="6"/>
        <v>45870</v>
      </c>
      <c r="O102" t="s">
        <v>1144</v>
      </c>
      <c r="P102" t="str">
        <f t="shared" si="7"/>
        <v>August 2025</v>
      </c>
      <c r="Q102" t="s">
        <v>966</v>
      </c>
      <c r="R102" s="8">
        <v>6614.8</v>
      </c>
      <c r="S102" s="8">
        <f t="shared" si="8"/>
        <v>197611.33</v>
      </c>
      <c r="T102" s="6">
        <f t="shared" si="9"/>
        <v>0</v>
      </c>
    </row>
    <row r="103" spans="1:20" x14ac:dyDescent="0.3">
      <c r="A103" t="s">
        <v>1145</v>
      </c>
      <c r="B103" s="13" t="s">
        <v>534</v>
      </c>
      <c r="C103" s="16">
        <f t="shared" si="5"/>
        <v>45839</v>
      </c>
      <c r="D103" t="s">
        <v>975</v>
      </c>
      <c r="E103" t="s">
        <v>33</v>
      </c>
      <c r="F103" t="s">
        <v>980</v>
      </c>
      <c r="G103" t="s">
        <v>998</v>
      </c>
      <c r="H103" t="s">
        <v>1000</v>
      </c>
      <c r="I103">
        <v>1755</v>
      </c>
      <c r="J103" s="3">
        <v>544.72</v>
      </c>
      <c r="K103" s="3">
        <v>955983.6</v>
      </c>
      <c r="L103">
        <v>514</v>
      </c>
      <c r="M103" t="s">
        <v>56</v>
      </c>
      <c r="N103" s="16">
        <f t="shared" si="6"/>
        <v>45839</v>
      </c>
      <c r="O103" t="s">
        <v>56</v>
      </c>
      <c r="P103" t="str">
        <f t="shared" si="7"/>
        <v>July 2025</v>
      </c>
      <c r="Q103" t="s">
        <v>966</v>
      </c>
      <c r="R103" s="8">
        <v>27433.02</v>
      </c>
      <c r="S103" s="8">
        <f t="shared" si="8"/>
        <v>983416.62</v>
      </c>
      <c r="T103" s="6">
        <f t="shared" si="9"/>
        <v>0</v>
      </c>
    </row>
    <row r="104" spans="1:20" x14ac:dyDescent="0.3">
      <c r="A104" t="s">
        <v>1146</v>
      </c>
      <c r="B104" s="13" t="s">
        <v>340</v>
      </c>
      <c r="C104" s="16">
        <f t="shared" si="5"/>
        <v>45748</v>
      </c>
      <c r="D104" t="s">
        <v>968</v>
      </c>
      <c r="E104" t="s">
        <v>987</v>
      </c>
      <c r="F104" t="s">
        <v>971</v>
      </c>
      <c r="G104" t="s">
        <v>988</v>
      </c>
      <c r="H104" t="s">
        <v>977</v>
      </c>
      <c r="I104">
        <v>999</v>
      </c>
      <c r="J104" s="3">
        <v>355.76</v>
      </c>
      <c r="K104" s="3">
        <v>355404.24</v>
      </c>
      <c r="L104">
        <v>436</v>
      </c>
      <c r="M104" t="s">
        <v>1147</v>
      </c>
      <c r="N104" s="16">
        <f t="shared" si="6"/>
        <v>45748</v>
      </c>
      <c r="O104" t="s">
        <v>188</v>
      </c>
      <c r="P104" t="str">
        <f t="shared" si="7"/>
        <v>May 2025</v>
      </c>
      <c r="Q104" t="s">
        <v>959</v>
      </c>
      <c r="R104" s="8">
        <v>19266.02</v>
      </c>
      <c r="S104" s="8">
        <f t="shared" si="8"/>
        <v>374670.26</v>
      </c>
      <c r="T104" s="6">
        <f t="shared" si="9"/>
        <v>1</v>
      </c>
    </row>
    <row r="105" spans="1:20" x14ac:dyDescent="0.3">
      <c r="A105" t="s">
        <v>1148</v>
      </c>
      <c r="B105" s="13" t="s">
        <v>124</v>
      </c>
      <c r="C105" s="16">
        <f t="shared" si="5"/>
        <v>45901</v>
      </c>
      <c r="D105" t="s">
        <v>955</v>
      </c>
      <c r="E105" t="s">
        <v>990</v>
      </c>
      <c r="F105" t="s">
        <v>971</v>
      </c>
      <c r="G105" t="s">
        <v>994</v>
      </c>
      <c r="H105" t="s">
        <v>982</v>
      </c>
      <c r="I105">
        <v>2157</v>
      </c>
      <c r="J105" s="3">
        <v>767.87</v>
      </c>
      <c r="K105" s="3">
        <v>1656295.59</v>
      </c>
      <c r="L105">
        <v>600</v>
      </c>
      <c r="M105" t="s">
        <v>246</v>
      </c>
      <c r="N105" s="16">
        <f t="shared" si="6"/>
        <v>45901</v>
      </c>
      <c r="O105" t="s">
        <v>246</v>
      </c>
      <c r="P105" t="str">
        <f t="shared" si="7"/>
        <v>September 2025</v>
      </c>
      <c r="Q105" t="s">
        <v>966</v>
      </c>
      <c r="R105" s="8">
        <v>37195.379999999997</v>
      </c>
      <c r="S105" s="8">
        <f t="shared" si="8"/>
        <v>1693490.97</v>
      </c>
      <c r="T105" s="6">
        <f t="shared" si="9"/>
        <v>0</v>
      </c>
    </row>
    <row r="106" spans="1:20" x14ac:dyDescent="0.3">
      <c r="A106" t="s">
        <v>1149</v>
      </c>
      <c r="B106" s="13" t="s">
        <v>340</v>
      </c>
      <c r="C106" s="16">
        <f t="shared" si="5"/>
        <v>45748</v>
      </c>
      <c r="D106" t="s">
        <v>1021</v>
      </c>
      <c r="E106" t="s">
        <v>962</v>
      </c>
      <c r="F106" t="s">
        <v>980</v>
      </c>
      <c r="G106" t="s">
        <v>1012</v>
      </c>
      <c r="H106" t="s">
        <v>1000</v>
      </c>
      <c r="I106">
        <v>601</v>
      </c>
      <c r="J106" s="3">
        <v>284.85000000000002</v>
      </c>
      <c r="K106" s="3">
        <v>171194.85</v>
      </c>
      <c r="L106">
        <v>348</v>
      </c>
      <c r="M106" t="s">
        <v>167</v>
      </c>
      <c r="N106" s="16">
        <f t="shared" si="6"/>
        <v>45748</v>
      </c>
      <c r="O106" t="s">
        <v>188</v>
      </c>
      <c r="P106" t="str">
        <f t="shared" si="7"/>
        <v>May 2025</v>
      </c>
      <c r="Q106" t="s">
        <v>959</v>
      </c>
      <c r="R106" s="8">
        <v>16698.61</v>
      </c>
      <c r="S106" s="8">
        <f t="shared" si="8"/>
        <v>187893.46000000002</v>
      </c>
      <c r="T106" s="6">
        <f t="shared" si="9"/>
        <v>2</v>
      </c>
    </row>
    <row r="107" spans="1:20" x14ac:dyDescent="0.3">
      <c r="A107" t="s">
        <v>1150</v>
      </c>
      <c r="B107" s="13" t="s">
        <v>861</v>
      </c>
      <c r="C107" s="16">
        <f t="shared" si="5"/>
        <v>45658</v>
      </c>
      <c r="D107" t="s">
        <v>975</v>
      </c>
      <c r="E107" t="s">
        <v>962</v>
      </c>
      <c r="F107" t="s">
        <v>980</v>
      </c>
      <c r="G107" t="s">
        <v>996</v>
      </c>
      <c r="H107" t="s">
        <v>982</v>
      </c>
      <c r="I107">
        <v>591</v>
      </c>
      <c r="J107" s="3">
        <v>477.95</v>
      </c>
      <c r="K107" s="3">
        <v>282468.45</v>
      </c>
      <c r="L107">
        <v>454</v>
      </c>
      <c r="M107" t="s">
        <v>1112</v>
      </c>
      <c r="N107" s="16">
        <f t="shared" si="6"/>
        <v>45658</v>
      </c>
      <c r="O107" t="s">
        <v>1112</v>
      </c>
      <c r="P107" t="str">
        <f t="shared" si="7"/>
        <v>January 2025</v>
      </c>
      <c r="Q107" t="s">
        <v>966</v>
      </c>
      <c r="R107" s="8">
        <v>19426.34</v>
      </c>
      <c r="S107" s="8">
        <f t="shared" si="8"/>
        <v>301894.79000000004</v>
      </c>
      <c r="T107" s="6">
        <f t="shared" si="9"/>
        <v>0</v>
      </c>
    </row>
    <row r="108" spans="1:20" x14ac:dyDescent="0.3">
      <c r="A108" t="s">
        <v>1151</v>
      </c>
      <c r="B108" s="13" t="s">
        <v>134</v>
      </c>
      <c r="C108" s="16">
        <f t="shared" si="5"/>
        <v>45962</v>
      </c>
      <c r="D108" t="s">
        <v>1003</v>
      </c>
      <c r="E108" t="s">
        <v>987</v>
      </c>
      <c r="F108" t="s">
        <v>963</v>
      </c>
      <c r="G108" t="s">
        <v>1152</v>
      </c>
      <c r="H108" t="s">
        <v>1023</v>
      </c>
      <c r="I108">
        <v>490</v>
      </c>
      <c r="J108" s="3">
        <v>796.02</v>
      </c>
      <c r="K108" s="3">
        <v>390049.8</v>
      </c>
      <c r="L108">
        <v>115</v>
      </c>
      <c r="M108" t="s">
        <v>629</v>
      </c>
      <c r="N108" s="16">
        <f t="shared" si="6"/>
        <v>45962</v>
      </c>
      <c r="O108" t="s">
        <v>169</v>
      </c>
      <c r="P108" t="str">
        <f t="shared" si="7"/>
        <v>November 2025</v>
      </c>
      <c r="Q108" t="s">
        <v>959</v>
      </c>
      <c r="R108" s="8">
        <v>4402.8500000000004</v>
      </c>
      <c r="S108" s="8">
        <f t="shared" si="8"/>
        <v>394452.64999999997</v>
      </c>
      <c r="T108" s="6">
        <f t="shared" si="9"/>
        <v>4</v>
      </c>
    </row>
    <row r="109" spans="1:20" x14ac:dyDescent="0.3">
      <c r="A109" t="s">
        <v>1153</v>
      </c>
      <c r="B109" s="13" t="s">
        <v>817</v>
      </c>
      <c r="C109" s="16">
        <f t="shared" si="5"/>
        <v>45748</v>
      </c>
      <c r="D109" t="s">
        <v>984</v>
      </c>
      <c r="E109" t="s">
        <v>962</v>
      </c>
      <c r="F109" t="s">
        <v>963</v>
      </c>
      <c r="G109" t="s">
        <v>1036</v>
      </c>
      <c r="H109" t="s">
        <v>982</v>
      </c>
      <c r="I109">
        <v>1722</v>
      </c>
      <c r="J109" s="3">
        <v>230.29</v>
      </c>
      <c r="K109" s="3">
        <v>396559.38</v>
      </c>
      <c r="L109">
        <v>578</v>
      </c>
      <c r="M109" t="s">
        <v>1154</v>
      </c>
      <c r="N109" s="16">
        <f t="shared" si="6"/>
        <v>45748</v>
      </c>
      <c r="O109" t="s">
        <v>1154</v>
      </c>
      <c r="P109" t="str">
        <f t="shared" si="7"/>
        <v>April 2025</v>
      </c>
      <c r="Q109" t="s">
        <v>966</v>
      </c>
      <c r="R109" s="8">
        <v>34917.96</v>
      </c>
      <c r="S109" s="8">
        <f t="shared" si="8"/>
        <v>431477.34</v>
      </c>
      <c r="T109" s="6">
        <f t="shared" si="9"/>
        <v>0</v>
      </c>
    </row>
    <row r="110" spans="1:20" x14ac:dyDescent="0.3">
      <c r="A110" t="s">
        <v>1155</v>
      </c>
      <c r="B110" s="13" t="s">
        <v>1049</v>
      </c>
      <c r="C110" s="16">
        <f t="shared" si="5"/>
        <v>45962</v>
      </c>
      <c r="D110" t="s">
        <v>1021</v>
      </c>
      <c r="E110" t="s">
        <v>49</v>
      </c>
      <c r="F110" t="s">
        <v>980</v>
      </c>
      <c r="G110" t="s">
        <v>996</v>
      </c>
      <c r="H110" t="s">
        <v>1034</v>
      </c>
      <c r="I110">
        <v>844</v>
      </c>
      <c r="J110" s="3">
        <v>741.74</v>
      </c>
      <c r="K110" s="3">
        <v>626028.56000000006</v>
      </c>
      <c r="L110">
        <v>278</v>
      </c>
      <c r="M110" t="s">
        <v>673</v>
      </c>
      <c r="N110" s="16">
        <f t="shared" si="6"/>
        <v>45962</v>
      </c>
      <c r="O110" t="s">
        <v>644</v>
      </c>
      <c r="P110" t="str">
        <f t="shared" si="7"/>
        <v>November 2025</v>
      </c>
      <c r="Q110" t="s">
        <v>959</v>
      </c>
      <c r="R110" s="8">
        <v>12791.88</v>
      </c>
      <c r="S110" s="8">
        <f t="shared" si="8"/>
        <v>638820.44000000006</v>
      </c>
      <c r="T110" s="6">
        <f t="shared" si="9"/>
        <v>4</v>
      </c>
    </row>
    <row r="111" spans="1:20" x14ac:dyDescent="0.3">
      <c r="A111" t="s">
        <v>1156</v>
      </c>
      <c r="B111" s="13" t="s">
        <v>490</v>
      </c>
      <c r="C111" s="16">
        <f t="shared" si="5"/>
        <v>45992</v>
      </c>
      <c r="D111" t="s">
        <v>1011</v>
      </c>
      <c r="E111" t="s">
        <v>962</v>
      </c>
      <c r="F111" t="s">
        <v>971</v>
      </c>
      <c r="G111" t="s">
        <v>1038</v>
      </c>
      <c r="H111" t="s">
        <v>973</v>
      </c>
      <c r="I111">
        <v>1005</v>
      </c>
      <c r="J111" s="3">
        <v>182.61</v>
      </c>
      <c r="K111" s="3">
        <v>183523.05</v>
      </c>
      <c r="L111">
        <v>528</v>
      </c>
      <c r="M111" t="s">
        <v>330</v>
      </c>
      <c r="N111" s="16">
        <f t="shared" si="6"/>
        <v>45992</v>
      </c>
      <c r="O111" t="s">
        <v>330</v>
      </c>
      <c r="P111" t="str">
        <f t="shared" si="7"/>
        <v>December 2025</v>
      </c>
      <c r="Q111" t="s">
        <v>966</v>
      </c>
      <c r="R111" s="8">
        <v>23346.33</v>
      </c>
      <c r="S111" s="8">
        <f t="shared" si="8"/>
        <v>206869.38</v>
      </c>
      <c r="T111" s="6">
        <f t="shared" si="9"/>
        <v>0</v>
      </c>
    </row>
    <row r="112" spans="1:20" x14ac:dyDescent="0.3">
      <c r="A112" t="s">
        <v>1157</v>
      </c>
      <c r="B112" s="13" t="s">
        <v>778</v>
      </c>
      <c r="C112" s="16">
        <f t="shared" si="5"/>
        <v>45962</v>
      </c>
      <c r="D112" t="s">
        <v>968</v>
      </c>
      <c r="E112" t="s">
        <v>987</v>
      </c>
      <c r="F112" t="s">
        <v>963</v>
      </c>
      <c r="G112" t="s">
        <v>1072</v>
      </c>
      <c r="H112" t="s">
        <v>965</v>
      </c>
      <c r="I112">
        <v>579</v>
      </c>
      <c r="J112" s="3">
        <v>459.64</v>
      </c>
      <c r="K112" s="3">
        <v>266131.56</v>
      </c>
      <c r="L112">
        <v>241</v>
      </c>
      <c r="M112" t="s">
        <v>536</v>
      </c>
      <c r="N112" s="16">
        <f t="shared" si="6"/>
        <v>45962</v>
      </c>
      <c r="O112" t="s">
        <v>42</v>
      </c>
      <c r="P112" t="str">
        <f t="shared" si="7"/>
        <v>November 2025</v>
      </c>
      <c r="Q112" t="s">
        <v>959</v>
      </c>
      <c r="R112" s="8">
        <v>12533.03</v>
      </c>
      <c r="S112" s="8">
        <f t="shared" si="8"/>
        <v>278664.59000000003</v>
      </c>
      <c r="T112" s="6">
        <f t="shared" si="9"/>
        <v>3</v>
      </c>
    </row>
    <row r="113" spans="1:20" x14ac:dyDescent="0.3">
      <c r="A113" t="s">
        <v>1158</v>
      </c>
      <c r="B113" s="13" t="s">
        <v>323</v>
      </c>
      <c r="C113" s="16">
        <f t="shared" si="5"/>
        <v>45870</v>
      </c>
      <c r="D113" t="s">
        <v>1021</v>
      </c>
      <c r="E113" t="s">
        <v>987</v>
      </c>
      <c r="F113" t="s">
        <v>956</v>
      </c>
      <c r="G113" t="s">
        <v>1098</v>
      </c>
      <c r="H113" t="s">
        <v>958</v>
      </c>
      <c r="I113">
        <v>1980</v>
      </c>
      <c r="J113" s="3">
        <v>259.52999999999997</v>
      </c>
      <c r="K113" s="3">
        <v>513869.4</v>
      </c>
      <c r="L113">
        <v>356</v>
      </c>
      <c r="M113" t="s">
        <v>266</v>
      </c>
      <c r="N113" s="16">
        <f t="shared" si="6"/>
        <v>45901</v>
      </c>
      <c r="O113" t="s">
        <v>266</v>
      </c>
      <c r="P113" t="str">
        <f t="shared" si="7"/>
        <v>September 2025</v>
      </c>
      <c r="Q113" t="s">
        <v>966</v>
      </c>
      <c r="R113" s="8">
        <v>19422.55</v>
      </c>
      <c r="S113" s="8">
        <f t="shared" si="8"/>
        <v>533291.95000000007</v>
      </c>
      <c r="T113" s="6">
        <f t="shared" si="9"/>
        <v>0</v>
      </c>
    </row>
    <row r="114" spans="1:20" x14ac:dyDescent="0.3">
      <c r="A114" t="s">
        <v>1159</v>
      </c>
      <c r="B114" s="13" t="s">
        <v>296</v>
      </c>
      <c r="C114" s="16">
        <f t="shared" si="5"/>
        <v>45992</v>
      </c>
      <c r="D114" t="s">
        <v>1003</v>
      </c>
      <c r="E114" t="s">
        <v>33</v>
      </c>
      <c r="F114" t="s">
        <v>956</v>
      </c>
      <c r="G114" t="s">
        <v>1152</v>
      </c>
      <c r="H114" t="str">
        <f xml:space="preserve"> "Not Found"</f>
        <v>Not Found</v>
      </c>
      <c r="I114">
        <v>1598</v>
      </c>
      <c r="J114" s="3">
        <v>205.62</v>
      </c>
      <c r="K114" s="3">
        <v>328580.76</v>
      </c>
      <c r="L114">
        <v>296</v>
      </c>
      <c r="M114" t="s">
        <v>880</v>
      </c>
      <c r="N114" s="16">
        <f t="shared" si="6"/>
        <v>45992</v>
      </c>
      <c r="O114" t="s">
        <v>1074</v>
      </c>
      <c r="P114" t="str">
        <f t="shared" si="7"/>
        <v>December 2025</v>
      </c>
      <c r="Q114" t="s">
        <v>959</v>
      </c>
      <c r="R114" s="8">
        <v>18222.689999999999</v>
      </c>
      <c r="S114" s="8">
        <f t="shared" si="8"/>
        <v>346803.45</v>
      </c>
      <c r="T114" s="6">
        <f t="shared" si="9"/>
        <v>1</v>
      </c>
    </row>
    <row r="115" spans="1:20" x14ac:dyDescent="0.3">
      <c r="A115" t="s">
        <v>1160</v>
      </c>
      <c r="B115" s="13" t="s">
        <v>770</v>
      </c>
      <c r="C115" s="16">
        <f t="shared" si="5"/>
        <v>45992</v>
      </c>
      <c r="D115" t="s">
        <v>975</v>
      </c>
      <c r="E115" t="s">
        <v>962</v>
      </c>
      <c r="F115" t="s">
        <v>980</v>
      </c>
      <c r="G115" t="s">
        <v>1098</v>
      </c>
      <c r="H115" t="s">
        <v>965</v>
      </c>
      <c r="I115">
        <v>1352</v>
      </c>
      <c r="J115" s="3">
        <v>729.57</v>
      </c>
      <c r="K115" s="3">
        <v>986378.64</v>
      </c>
      <c r="L115">
        <v>49</v>
      </c>
      <c r="M115" t="s">
        <v>607</v>
      </c>
      <c r="N115" s="16">
        <f t="shared" si="6"/>
        <v>45992</v>
      </c>
      <c r="O115" t="s">
        <v>195</v>
      </c>
      <c r="P115" t="str">
        <f t="shared" si="7"/>
        <v>December 2025</v>
      </c>
      <c r="Q115" t="s">
        <v>959</v>
      </c>
      <c r="R115" s="8">
        <v>2629.37</v>
      </c>
      <c r="S115" s="8">
        <f t="shared" si="8"/>
        <v>989008.01</v>
      </c>
      <c r="T115" s="6">
        <f t="shared" si="9"/>
        <v>2</v>
      </c>
    </row>
    <row r="116" spans="1:20" x14ac:dyDescent="0.3">
      <c r="A116" t="s">
        <v>1161</v>
      </c>
      <c r="B116" s="13" t="s">
        <v>430</v>
      </c>
      <c r="C116" s="16">
        <f t="shared" si="5"/>
        <v>45839</v>
      </c>
      <c r="D116" t="s">
        <v>968</v>
      </c>
      <c r="E116" t="s">
        <v>962</v>
      </c>
      <c r="F116" t="s">
        <v>956</v>
      </c>
      <c r="G116" t="s">
        <v>1042</v>
      </c>
      <c r="H116" t="s">
        <v>958</v>
      </c>
      <c r="I116">
        <v>608</v>
      </c>
      <c r="J116" s="3">
        <v>679.26</v>
      </c>
      <c r="K116" s="3">
        <v>412990.08</v>
      </c>
      <c r="L116">
        <v>450</v>
      </c>
      <c r="M116" t="s">
        <v>453</v>
      </c>
      <c r="N116" s="16">
        <f t="shared" si="6"/>
        <v>45870</v>
      </c>
      <c r="O116" t="s">
        <v>453</v>
      </c>
      <c r="P116" t="str">
        <f t="shared" si="7"/>
        <v>August 2025</v>
      </c>
      <c r="Q116" t="s">
        <v>966</v>
      </c>
      <c r="R116" s="8">
        <v>18625.71</v>
      </c>
      <c r="S116" s="8">
        <f t="shared" si="8"/>
        <v>431615.79000000004</v>
      </c>
      <c r="T116" s="6">
        <f t="shared" si="9"/>
        <v>0</v>
      </c>
    </row>
    <row r="117" spans="1:20" x14ac:dyDescent="0.3">
      <c r="A117" t="s">
        <v>1162</v>
      </c>
      <c r="B117" s="13" t="s">
        <v>446</v>
      </c>
      <c r="C117" s="16">
        <f t="shared" si="5"/>
        <v>45809</v>
      </c>
      <c r="D117" t="s">
        <v>984</v>
      </c>
      <c r="E117" t="s">
        <v>990</v>
      </c>
      <c r="F117" t="s">
        <v>980</v>
      </c>
      <c r="G117" t="s">
        <v>1015</v>
      </c>
      <c r="H117" t="s">
        <v>992</v>
      </c>
      <c r="I117">
        <v>2154</v>
      </c>
      <c r="J117" s="3">
        <v>252.75</v>
      </c>
      <c r="K117" s="3">
        <v>544423.5</v>
      </c>
      <c r="L117">
        <v>71</v>
      </c>
      <c r="M117" t="s">
        <v>39</v>
      </c>
      <c r="N117" s="16">
        <f t="shared" si="6"/>
        <v>45809</v>
      </c>
      <c r="O117" t="s">
        <v>39</v>
      </c>
      <c r="P117" t="str">
        <f t="shared" si="7"/>
        <v>June 2025</v>
      </c>
      <c r="Q117" t="s">
        <v>966</v>
      </c>
      <c r="R117" s="8">
        <v>2789.94</v>
      </c>
      <c r="S117" s="8">
        <f t="shared" si="8"/>
        <v>547213.43999999994</v>
      </c>
      <c r="T117" s="6">
        <f t="shared" si="9"/>
        <v>0</v>
      </c>
    </row>
    <row r="118" spans="1:20" x14ac:dyDescent="0.3">
      <c r="A118" t="s">
        <v>1163</v>
      </c>
      <c r="B118" s="13" t="s">
        <v>111</v>
      </c>
      <c r="C118" s="16">
        <f t="shared" si="5"/>
        <v>45658</v>
      </c>
      <c r="D118" t="s">
        <v>1021</v>
      </c>
      <c r="E118" t="s">
        <v>49</v>
      </c>
      <c r="F118" t="s">
        <v>980</v>
      </c>
      <c r="G118" t="s">
        <v>1045</v>
      </c>
      <c r="H118" t="s">
        <v>1018</v>
      </c>
      <c r="I118">
        <v>1242</v>
      </c>
      <c r="J118" s="3">
        <v>253.36</v>
      </c>
      <c r="K118" s="3">
        <v>314673.12</v>
      </c>
      <c r="L118">
        <v>163</v>
      </c>
      <c r="M118" t="s">
        <v>128</v>
      </c>
      <c r="N118" s="16">
        <f t="shared" si="6"/>
        <v>45658</v>
      </c>
      <c r="O118" t="s">
        <v>128</v>
      </c>
      <c r="P118" t="str">
        <f t="shared" si="7"/>
        <v>January 2025</v>
      </c>
      <c r="Q118" t="s">
        <v>966</v>
      </c>
      <c r="R118" s="8">
        <v>7105.62</v>
      </c>
      <c r="S118" s="8">
        <f t="shared" si="8"/>
        <v>321778.74</v>
      </c>
      <c r="T118" s="6">
        <f t="shared" si="9"/>
        <v>0</v>
      </c>
    </row>
    <row r="119" spans="1:20" x14ac:dyDescent="0.3">
      <c r="A119" t="s">
        <v>1164</v>
      </c>
      <c r="B119" s="13" t="s">
        <v>492</v>
      </c>
      <c r="C119" s="16">
        <f t="shared" si="5"/>
        <v>45870</v>
      </c>
      <c r="D119" t="s">
        <v>1003</v>
      </c>
      <c r="E119" t="s">
        <v>962</v>
      </c>
      <c r="F119" t="s">
        <v>980</v>
      </c>
      <c r="G119" t="s">
        <v>1078</v>
      </c>
      <c r="H119" t="s">
        <v>977</v>
      </c>
      <c r="I119">
        <v>126</v>
      </c>
      <c r="J119" s="3">
        <v>576.15</v>
      </c>
      <c r="K119" s="3">
        <v>72594.899999999994</v>
      </c>
      <c r="L119">
        <v>419</v>
      </c>
      <c r="M119" t="s">
        <v>480</v>
      </c>
      <c r="N119" s="16">
        <f t="shared" si="6"/>
        <v>45870</v>
      </c>
      <c r="O119" t="s">
        <v>480</v>
      </c>
      <c r="P119" t="str">
        <f t="shared" si="7"/>
        <v>August 2025</v>
      </c>
      <c r="Q119" t="s">
        <v>966</v>
      </c>
      <c r="R119" s="8">
        <v>24539.05</v>
      </c>
      <c r="S119" s="8">
        <f t="shared" si="8"/>
        <v>97133.95</v>
      </c>
      <c r="T119" s="6">
        <f t="shared" si="9"/>
        <v>0</v>
      </c>
    </row>
    <row r="120" spans="1:20" x14ac:dyDescent="0.3">
      <c r="A120" t="s">
        <v>1165</v>
      </c>
      <c r="B120" s="13" t="s">
        <v>1166</v>
      </c>
      <c r="C120" s="16">
        <f t="shared" si="5"/>
        <v>45992</v>
      </c>
      <c r="D120" t="s">
        <v>975</v>
      </c>
      <c r="E120" t="s">
        <v>49</v>
      </c>
      <c r="F120" t="s">
        <v>963</v>
      </c>
      <c r="G120" t="s">
        <v>1057</v>
      </c>
      <c r="H120" t="s">
        <v>1000</v>
      </c>
      <c r="I120">
        <v>1476</v>
      </c>
      <c r="J120" s="3">
        <v>397.24</v>
      </c>
      <c r="K120" s="3">
        <v>586326.24</v>
      </c>
      <c r="L120">
        <v>57</v>
      </c>
      <c r="M120" t="s">
        <v>158</v>
      </c>
      <c r="N120" s="16">
        <f t="shared" si="6"/>
        <v>45992</v>
      </c>
      <c r="O120" t="s">
        <v>1010</v>
      </c>
      <c r="P120" t="str">
        <f t="shared" si="7"/>
        <v>December 2025</v>
      </c>
      <c r="Q120" t="s">
        <v>959</v>
      </c>
      <c r="R120" s="8">
        <v>3401.65</v>
      </c>
      <c r="S120" s="8">
        <f t="shared" si="8"/>
        <v>589727.89</v>
      </c>
      <c r="T120" s="6">
        <f t="shared" si="9"/>
        <v>3</v>
      </c>
    </row>
    <row r="121" spans="1:20" x14ac:dyDescent="0.3">
      <c r="A121" t="s">
        <v>1167</v>
      </c>
      <c r="B121" s="13" t="s">
        <v>554</v>
      </c>
      <c r="C121" s="16">
        <f t="shared" si="5"/>
        <v>45689</v>
      </c>
      <c r="D121" t="s">
        <v>955</v>
      </c>
      <c r="E121" t="s">
        <v>990</v>
      </c>
      <c r="F121" t="s">
        <v>963</v>
      </c>
      <c r="G121" t="s">
        <v>1068</v>
      </c>
      <c r="H121" t="s">
        <v>965</v>
      </c>
      <c r="I121">
        <v>2282</v>
      </c>
      <c r="J121" s="3">
        <v>236.46</v>
      </c>
      <c r="K121" s="3">
        <v>539601.72</v>
      </c>
      <c r="L121">
        <v>473</v>
      </c>
      <c r="M121" t="s">
        <v>263</v>
      </c>
      <c r="N121" s="16">
        <f t="shared" si="6"/>
        <v>45689</v>
      </c>
      <c r="O121" t="s">
        <v>263</v>
      </c>
      <c r="P121" t="str">
        <f t="shared" si="7"/>
        <v>February 2025</v>
      </c>
      <c r="Q121" t="s">
        <v>966</v>
      </c>
      <c r="R121" s="8">
        <v>20805.259999999998</v>
      </c>
      <c r="S121" s="8">
        <f t="shared" si="8"/>
        <v>560406.98</v>
      </c>
      <c r="T121" s="6">
        <f t="shared" si="9"/>
        <v>0</v>
      </c>
    </row>
    <row r="122" spans="1:20" x14ac:dyDescent="0.3">
      <c r="A122" t="s">
        <v>1168</v>
      </c>
      <c r="B122" s="13" t="s">
        <v>1144</v>
      </c>
      <c r="C122" s="16">
        <f t="shared" si="5"/>
        <v>45870</v>
      </c>
      <c r="D122" t="s">
        <v>955</v>
      </c>
      <c r="E122" t="s">
        <v>990</v>
      </c>
      <c r="F122" t="s">
        <v>963</v>
      </c>
      <c r="G122" t="s">
        <v>996</v>
      </c>
      <c r="H122" t="s">
        <v>977</v>
      </c>
      <c r="I122">
        <v>1601</v>
      </c>
      <c r="J122" s="3">
        <v>207.15</v>
      </c>
      <c r="K122" s="3">
        <v>331647.15000000002</v>
      </c>
      <c r="L122">
        <v>157</v>
      </c>
      <c r="M122" t="s">
        <v>289</v>
      </c>
      <c r="N122" s="16">
        <f t="shared" si="6"/>
        <v>45870</v>
      </c>
      <c r="O122" t="s">
        <v>1144</v>
      </c>
      <c r="P122" t="str">
        <f t="shared" si="7"/>
        <v>August 2025</v>
      </c>
      <c r="Q122" t="s">
        <v>966</v>
      </c>
      <c r="R122" s="8">
        <v>9119.11</v>
      </c>
      <c r="S122" s="8">
        <f t="shared" si="8"/>
        <v>340766.26</v>
      </c>
      <c r="T122" s="6">
        <f t="shared" si="9"/>
        <v>-1</v>
      </c>
    </row>
    <row r="123" spans="1:20" x14ac:dyDescent="0.3">
      <c r="A123" t="s">
        <v>1169</v>
      </c>
      <c r="B123" s="13" t="s">
        <v>398</v>
      </c>
      <c r="C123" s="16">
        <f t="shared" si="5"/>
        <v>45748</v>
      </c>
      <c r="D123" t="s">
        <v>968</v>
      </c>
      <c r="E123" t="s">
        <v>962</v>
      </c>
      <c r="F123" t="s">
        <v>971</v>
      </c>
      <c r="G123" t="s">
        <v>981</v>
      </c>
      <c r="H123" t="s">
        <v>982</v>
      </c>
      <c r="I123">
        <v>1774</v>
      </c>
      <c r="J123" s="3">
        <v>348.83</v>
      </c>
      <c r="K123" s="3">
        <v>618824.42000000004</v>
      </c>
      <c r="L123">
        <v>481</v>
      </c>
      <c r="M123" t="s">
        <v>412</v>
      </c>
      <c r="N123" s="16">
        <f t="shared" si="6"/>
        <v>45748</v>
      </c>
      <c r="O123" t="s">
        <v>412</v>
      </c>
      <c r="P123" t="str">
        <f t="shared" si="7"/>
        <v>April 2025</v>
      </c>
      <c r="Q123" t="s">
        <v>966</v>
      </c>
      <c r="R123" s="8">
        <v>22953.81</v>
      </c>
      <c r="S123" s="8">
        <f t="shared" si="8"/>
        <v>641778.2300000001</v>
      </c>
      <c r="T123" s="6">
        <f t="shared" si="9"/>
        <v>0</v>
      </c>
    </row>
    <row r="124" spans="1:20" x14ac:dyDescent="0.3">
      <c r="A124" t="s">
        <v>1170</v>
      </c>
      <c r="B124" s="13" t="s">
        <v>330</v>
      </c>
      <c r="C124" s="16">
        <f t="shared" si="5"/>
        <v>45992</v>
      </c>
      <c r="D124" t="s">
        <v>961</v>
      </c>
      <c r="E124" t="s">
        <v>49</v>
      </c>
      <c r="F124" t="s">
        <v>956</v>
      </c>
      <c r="G124" t="s">
        <v>1051</v>
      </c>
      <c r="H124" t="s">
        <v>1034</v>
      </c>
      <c r="I124">
        <v>915</v>
      </c>
      <c r="J124" s="3">
        <v>571.02</v>
      </c>
      <c r="K124" s="3">
        <v>522483.3</v>
      </c>
      <c r="L124">
        <v>253</v>
      </c>
      <c r="M124" t="s">
        <v>679</v>
      </c>
      <c r="N124" s="16">
        <f t="shared" si="6"/>
        <v>45992</v>
      </c>
      <c r="O124" t="s">
        <v>1134</v>
      </c>
      <c r="P124" t="str">
        <f t="shared" si="7"/>
        <v>January 2026</v>
      </c>
      <c r="Q124" t="s">
        <v>959</v>
      </c>
      <c r="R124" s="8">
        <v>9993.2900000000009</v>
      </c>
      <c r="S124" s="8">
        <f t="shared" si="8"/>
        <v>532476.59</v>
      </c>
      <c r="T124" s="6">
        <f t="shared" si="9"/>
        <v>3</v>
      </c>
    </row>
    <row r="125" spans="1:20" x14ac:dyDescent="0.3">
      <c r="A125" t="s">
        <v>1171</v>
      </c>
      <c r="B125" s="13" t="s">
        <v>361</v>
      </c>
      <c r="C125" s="16">
        <f t="shared" si="5"/>
        <v>45992</v>
      </c>
      <c r="D125" t="s">
        <v>1003</v>
      </c>
      <c r="E125" t="s">
        <v>43</v>
      </c>
      <c r="F125" t="s">
        <v>963</v>
      </c>
      <c r="G125" t="s">
        <v>1057</v>
      </c>
      <c r="H125" t="s">
        <v>973</v>
      </c>
      <c r="I125">
        <v>157</v>
      </c>
      <c r="J125" s="3">
        <v>420.85</v>
      </c>
      <c r="K125" s="3">
        <v>66073.45</v>
      </c>
      <c r="L125">
        <v>475</v>
      </c>
      <c r="M125" t="s">
        <v>1016</v>
      </c>
      <c r="N125" s="16">
        <f t="shared" si="6"/>
        <v>45992</v>
      </c>
      <c r="O125" t="s">
        <v>899</v>
      </c>
      <c r="P125" t="str">
        <f t="shared" si="7"/>
        <v>December 2025</v>
      </c>
      <c r="Q125" t="s">
        <v>959</v>
      </c>
      <c r="R125" s="8">
        <v>21791.41</v>
      </c>
      <c r="S125" s="8">
        <f t="shared" si="8"/>
        <v>87864.86</v>
      </c>
      <c r="T125" s="6">
        <f t="shared" si="9"/>
        <v>2</v>
      </c>
    </row>
    <row r="126" spans="1:20" x14ac:dyDescent="0.3">
      <c r="A126" t="s">
        <v>1172</v>
      </c>
      <c r="B126" s="13" t="s">
        <v>1092</v>
      </c>
      <c r="C126" s="16">
        <f t="shared" si="5"/>
        <v>45717</v>
      </c>
      <c r="D126" t="s">
        <v>1021</v>
      </c>
      <c r="E126" t="s">
        <v>43</v>
      </c>
      <c r="F126" t="s">
        <v>956</v>
      </c>
      <c r="G126" t="s">
        <v>998</v>
      </c>
      <c r="H126" t="s">
        <v>1018</v>
      </c>
      <c r="I126">
        <v>625</v>
      </c>
      <c r="J126" s="3">
        <v>499.67</v>
      </c>
      <c r="K126" s="3">
        <v>312293.75</v>
      </c>
      <c r="L126">
        <v>69</v>
      </c>
      <c r="M126" t="s">
        <v>978</v>
      </c>
      <c r="N126" s="16">
        <f t="shared" si="6"/>
        <v>45717</v>
      </c>
      <c r="O126" t="s">
        <v>978</v>
      </c>
      <c r="P126" t="str">
        <f t="shared" si="7"/>
        <v>March 2025</v>
      </c>
      <c r="Q126" t="s">
        <v>966</v>
      </c>
      <c r="R126" s="8">
        <v>2957.62</v>
      </c>
      <c r="S126" s="8">
        <f t="shared" si="8"/>
        <v>315251.37</v>
      </c>
      <c r="T126" s="6">
        <f t="shared" si="9"/>
        <v>0</v>
      </c>
    </row>
    <row r="127" spans="1:20" x14ac:dyDescent="0.3">
      <c r="A127" t="s">
        <v>1173</v>
      </c>
      <c r="B127" s="13" t="s">
        <v>270</v>
      </c>
      <c r="C127" s="16">
        <f t="shared" si="5"/>
        <v>45962</v>
      </c>
      <c r="D127" t="s">
        <v>968</v>
      </c>
      <c r="E127" t="s">
        <v>990</v>
      </c>
      <c r="F127" t="s">
        <v>980</v>
      </c>
      <c r="G127" t="s">
        <v>964</v>
      </c>
      <c r="H127" t="s">
        <v>977</v>
      </c>
      <c r="I127">
        <v>1291</v>
      </c>
      <c r="J127" s="3">
        <v>461.14</v>
      </c>
      <c r="K127" s="3">
        <v>595331.74</v>
      </c>
      <c r="L127">
        <v>360</v>
      </c>
      <c r="M127" t="s">
        <v>1174</v>
      </c>
      <c r="N127" s="16">
        <f t="shared" si="6"/>
        <v>45962</v>
      </c>
      <c r="O127" t="s">
        <v>1049</v>
      </c>
      <c r="P127" t="str">
        <f t="shared" si="7"/>
        <v>November 2025</v>
      </c>
      <c r="Q127" t="s">
        <v>959</v>
      </c>
      <c r="R127" s="8">
        <v>20764.16</v>
      </c>
      <c r="S127" s="8">
        <f t="shared" si="8"/>
        <v>616095.9</v>
      </c>
      <c r="T127" s="6">
        <f t="shared" si="9"/>
        <v>4</v>
      </c>
    </row>
    <row r="128" spans="1:20" x14ac:dyDescent="0.3">
      <c r="A128" t="s">
        <v>1175</v>
      </c>
      <c r="B128" s="13" t="s">
        <v>887</v>
      </c>
      <c r="C128" s="16">
        <f t="shared" si="5"/>
        <v>45839</v>
      </c>
      <c r="D128" t="s">
        <v>1003</v>
      </c>
      <c r="E128" t="s">
        <v>33</v>
      </c>
      <c r="F128" t="s">
        <v>963</v>
      </c>
      <c r="G128" t="s">
        <v>976</v>
      </c>
      <c r="H128" t="s">
        <v>992</v>
      </c>
      <c r="I128">
        <v>2204</v>
      </c>
      <c r="J128" s="3">
        <v>583.24</v>
      </c>
      <c r="K128" s="3">
        <v>1285460.96</v>
      </c>
      <c r="L128">
        <v>242</v>
      </c>
      <c r="M128" t="s">
        <v>1002</v>
      </c>
      <c r="N128" s="16">
        <f t="shared" si="6"/>
        <v>45839</v>
      </c>
      <c r="O128" t="s">
        <v>1002</v>
      </c>
      <c r="P128" t="str">
        <f t="shared" si="7"/>
        <v>July 2025</v>
      </c>
      <c r="Q128" t="s">
        <v>966</v>
      </c>
      <c r="R128" s="8">
        <v>10574.64</v>
      </c>
      <c r="S128" s="8">
        <f t="shared" si="8"/>
        <v>1296035.5999999999</v>
      </c>
      <c r="T128" s="6">
        <f t="shared" si="9"/>
        <v>0</v>
      </c>
    </row>
    <row r="129" spans="1:20" x14ac:dyDescent="0.3">
      <c r="A129" t="s">
        <v>1176</v>
      </c>
      <c r="B129" s="13" t="s">
        <v>564</v>
      </c>
      <c r="C129" s="16">
        <f t="shared" si="5"/>
        <v>45901</v>
      </c>
      <c r="D129" t="s">
        <v>984</v>
      </c>
      <c r="E129" t="s">
        <v>43</v>
      </c>
      <c r="F129" t="s">
        <v>971</v>
      </c>
      <c r="G129" t="s">
        <v>996</v>
      </c>
      <c r="H129" t="s">
        <v>965</v>
      </c>
      <c r="I129">
        <v>1500</v>
      </c>
      <c r="J129" s="3">
        <v>66.83</v>
      </c>
      <c r="K129" s="3">
        <v>100245</v>
      </c>
      <c r="L129">
        <v>92</v>
      </c>
      <c r="M129" t="s">
        <v>1177</v>
      </c>
      <c r="N129" s="16">
        <f t="shared" si="6"/>
        <v>45901</v>
      </c>
      <c r="O129" t="s">
        <v>564</v>
      </c>
      <c r="P129" t="str">
        <f t="shared" si="7"/>
        <v>September 2025</v>
      </c>
      <c r="Q129" t="s">
        <v>966</v>
      </c>
      <c r="R129" s="8">
        <v>4523.59</v>
      </c>
      <c r="S129" s="8">
        <f t="shared" si="8"/>
        <v>104768.59</v>
      </c>
      <c r="T129" s="6">
        <f t="shared" si="9"/>
        <v>-1</v>
      </c>
    </row>
    <row r="130" spans="1:20" x14ac:dyDescent="0.3">
      <c r="A130" t="s">
        <v>1178</v>
      </c>
      <c r="B130" s="13" t="s">
        <v>448</v>
      </c>
      <c r="C130" s="16">
        <f t="shared" si="5"/>
        <v>45748</v>
      </c>
      <c r="D130" t="s">
        <v>984</v>
      </c>
      <c r="E130" t="s">
        <v>33</v>
      </c>
      <c r="F130" t="s">
        <v>956</v>
      </c>
      <c r="G130" t="s">
        <v>1098</v>
      </c>
      <c r="H130" t="s">
        <v>1034</v>
      </c>
      <c r="I130">
        <v>1557</v>
      </c>
      <c r="J130" s="3">
        <v>214.44</v>
      </c>
      <c r="K130" s="3">
        <v>333883.08</v>
      </c>
      <c r="L130">
        <v>274</v>
      </c>
      <c r="M130" t="s">
        <v>586</v>
      </c>
      <c r="N130" s="16">
        <f t="shared" si="6"/>
        <v>45748</v>
      </c>
      <c r="O130" t="s">
        <v>340</v>
      </c>
      <c r="P130" t="str">
        <f t="shared" si="7"/>
        <v>April 2025</v>
      </c>
      <c r="Q130" t="s">
        <v>959</v>
      </c>
      <c r="R130" s="8">
        <v>15234.6</v>
      </c>
      <c r="S130" s="8">
        <f t="shared" si="8"/>
        <v>349117.68</v>
      </c>
      <c r="T130" s="6">
        <f t="shared" si="9"/>
        <v>4</v>
      </c>
    </row>
    <row r="131" spans="1:20" x14ac:dyDescent="0.3">
      <c r="A131" t="s">
        <v>1179</v>
      </c>
      <c r="B131" s="13" t="s">
        <v>182</v>
      </c>
      <c r="C131" s="16">
        <f t="shared" ref="C131:C194" si="10">DATE(YEAR(B131), MONTH(B131), 1)</f>
        <v>45689</v>
      </c>
      <c r="D131" t="s">
        <v>1011</v>
      </c>
      <c r="E131" t="s">
        <v>43</v>
      </c>
      <c r="F131" t="s">
        <v>971</v>
      </c>
      <c r="G131" t="s">
        <v>972</v>
      </c>
      <c r="H131" t="s">
        <v>992</v>
      </c>
      <c r="I131">
        <v>640</v>
      </c>
      <c r="J131" s="3">
        <v>173.89</v>
      </c>
      <c r="K131" s="3">
        <v>111289.60000000001</v>
      </c>
      <c r="L131">
        <v>138</v>
      </c>
      <c r="M131" t="s">
        <v>697</v>
      </c>
      <c r="N131" s="16">
        <f t="shared" ref="N131:N194" si="11">DATE(YEAR(M131), MONTH(M131),1)</f>
        <v>45689</v>
      </c>
      <c r="O131" t="s">
        <v>697</v>
      </c>
      <c r="P131" t="str">
        <f t="shared" ref="P131:P194" si="12">TEXT(O131, "mmmm yyyy")</f>
        <v>February 2025</v>
      </c>
      <c r="Q131" t="s">
        <v>966</v>
      </c>
      <c r="R131" s="8">
        <v>8551.8700000000008</v>
      </c>
      <c r="S131" s="8">
        <f t="shared" ref="S131:S194" si="13">K131 +R131</f>
        <v>119841.47</v>
      </c>
      <c r="T131" s="6">
        <f t="shared" si="9"/>
        <v>0</v>
      </c>
    </row>
    <row r="132" spans="1:20" x14ac:dyDescent="0.3">
      <c r="A132" t="s">
        <v>1180</v>
      </c>
      <c r="B132" s="13" t="s">
        <v>670</v>
      </c>
      <c r="C132" s="16">
        <f t="shared" si="10"/>
        <v>45870</v>
      </c>
      <c r="D132" t="s">
        <v>968</v>
      </c>
      <c r="E132" t="s">
        <v>962</v>
      </c>
      <c r="F132" t="s">
        <v>980</v>
      </c>
      <c r="G132" t="s">
        <v>1087</v>
      </c>
      <c r="H132" t="s">
        <v>1018</v>
      </c>
      <c r="I132">
        <v>612</v>
      </c>
      <c r="J132" s="3">
        <v>755.19</v>
      </c>
      <c r="K132" s="3">
        <v>462176.28</v>
      </c>
      <c r="L132">
        <v>696</v>
      </c>
      <c r="M132" t="s">
        <v>289</v>
      </c>
      <c r="N132" s="16">
        <f t="shared" si="11"/>
        <v>45870</v>
      </c>
      <c r="O132" t="s">
        <v>289</v>
      </c>
      <c r="P132" t="str">
        <f t="shared" si="12"/>
        <v>August 2025</v>
      </c>
      <c r="Q132" t="s">
        <v>966</v>
      </c>
      <c r="R132" s="8">
        <v>32284.37</v>
      </c>
      <c r="S132" s="8">
        <f t="shared" si="13"/>
        <v>494460.65</v>
      </c>
      <c r="T132" s="6">
        <f t="shared" ref="T132:T195" si="14">O132 -M132</f>
        <v>0</v>
      </c>
    </row>
    <row r="133" spans="1:20" x14ac:dyDescent="0.3">
      <c r="A133" t="s">
        <v>1181</v>
      </c>
      <c r="B133" s="13" t="s">
        <v>737</v>
      </c>
      <c r="C133" s="16">
        <f t="shared" si="10"/>
        <v>45809</v>
      </c>
      <c r="D133" t="s">
        <v>1021</v>
      </c>
      <c r="E133" t="s">
        <v>33</v>
      </c>
      <c r="F133" t="s">
        <v>980</v>
      </c>
      <c r="G133" t="s">
        <v>972</v>
      </c>
      <c r="H133" t="s">
        <v>1018</v>
      </c>
      <c r="I133">
        <v>1419</v>
      </c>
      <c r="J133" s="3">
        <v>147.84</v>
      </c>
      <c r="K133" s="3">
        <v>209784.95999999999</v>
      </c>
      <c r="L133">
        <v>395</v>
      </c>
      <c r="M133" t="s">
        <v>367</v>
      </c>
      <c r="N133" s="16">
        <f t="shared" si="11"/>
        <v>45809</v>
      </c>
      <c r="O133" t="s">
        <v>147</v>
      </c>
      <c r="P133" t="str">
        <f t="shared" si="12"/>
        <v>July 2025</v>
      </c>
      <c r="Q133" t="s">
        <v>959</v>
      </c>
      <c r="R133" s="8">
        <v>19686.84</v>
      </c>
      <c r="S133" s="8">
        <f t="shared" si="13"/>
        <v>229471.8</v>
      </c>
      <c r="T133" s="6">
        <f t="shared" si="14"/>
        <v>1</v>
      </c>
    </row>
    <row r="134" spans="1:20" x14ac:dyDescent="0.3">
      <c r="A134" t="s">
        <v>1182</v>
      </c>
      <c r="B134" s="13" t="s">
        <v>932</v>
      </c>
      <c r="C134" s="16">
        <f t="shared" si="10"/>
        <v>45992</v>
      </c>
      <c r="D134" t="s">
        <v>955</v>
      </c>
      <c r="E134" t="s">
        <v>987</v>
      </c>
      <c r="F134" t="s">
        <v>956</v>
      </c>
      <c r="G134" t="s">
        <v>996</v>
      </c>
      <c r="H134" t="s">
        <v>1018</v>
      </c>
      <c r="I134">
        <v>1527</v>
      </c>
      <c r="J134" s="3">
        <v>92.44</v>
      </c>
      <c r="K134" s="3">
        <v>141155.88</v>
      </c>
      <c r="L134">
        <v>408</v>
      </c>
      <c r="M134" t="s">
        <v>880</v>
      </c>
      <c r="N134" s="16">
        <f t="shared" si="11"/>
        <v>45992</v>
      </c>
      <c r="O134" t="s">
        <v>880</v>
      </c>
      <c r="P134" t="str">
        <f t="shared" si="12"/>
        <v>December 2025</v>
      </c>
      <c r="Q134" t="s">
        <v>966</v>
      </c>
      <c r="R134" s="8">
        <v>15876.37</v>
      </c>
      <c r="S134" s="8">
        <f t="shared" si="13"/>
        <v>157032.25</v>
      </c>
      <c r="T134" s="6">
        <f t="shared" si="14"/>
        <v>0</v>
      </c>
    </row>
    <row r="135" spans="1:20" x14ac:dyDescent="0.3">
      <c r="A135" t="s">
        <v>1183</v>
      </c>
      <c r="B135" s="13" t="s">
        <v>1184</v>
      </c>
      <c r="C135" s="16">
        <f t="shared" si="10"/>
        <v>45717</v>
      </c>
      <c r="D135" t="s">
        <v>984</v>
      </c>
      <c r="E135" t="s">
        <v>990</v>
      </c>
      <c r="F135" t="s">
        <v>971</v>
      </c>
      <c r="G135" t="s">
        <v>991</v>
      </c>
      <c r="H135" t="s">
        <v>992</v>
      </c>
      <c r="I135">
        <v>2309</v>
      </c>
      <c r="J135" s="3">
        <v>483.58</v>
      </c>
      <c r="K135" s="3">
        <v>1116586.22</v>
      </c>
      <c r="L135">
        <v>706</v>
      </c>
      <c r="M135" t="s">
        <v>1185</v>
      </c>
      <c r="N135" s="16">
        <f t="shared" si="11"/>
        <v>45717</v>
      </c>
      <c r="O135" t="s">
        <v>1185</v>
      </c>
      <c r="P135" t="str">
        <f t="shared" si="12"/>
        <v>March 2025</v>
      </c>
      <c r="Q135" t="s">
        <v>966</v>
      </c>
      <c r="R135" s="8">
        <v>34301.56</v>
      </c>
      <c r="S135" s="8">
        <f t="shared" si="13"/>
        <v>1150887.78</v>
      </c>
      <c r="T135" s="6">
        <f t="shared" si="14"/>
        <v>0</v>
      </c>
    </row>
    <row r="136" spans="1:20" x14ac:dyDescent="0.3">
      <c r="A136" t="s">
        <v>1186</v>
      </c>
      <c r="B136" s="13" t="s">
        <v>1187</v>
      </c>
      <c r="C136" s="16">
        <f t="shared" si="10"/>
        <v>45778</v>
      </c>
      <c r="D136" t="s">
        <v>1011</v>
      </c>
      <c r="E136" t="s">
        <v>990</v>
      </c>
      <c r="F136" t="s">
        <v>971</v>
      </c>
      <c r="G136" t="s">
        <v>1015</v>
      </c>
      <c r="H136" t="s">
        <v>992</v>
      </c>
      <c r="I136">
        <v>771</v>
      </c>
      <c r="J136" s="3">
        <v>338.82</v>
      </c>
      <c r="K136" s="3">
        <v>261230.22</v>
      </c>
      <c r="L136">
        <v>176</v>
      </c>
      <c r="M136" t="s">
        <v>650</v>
      </c>
      <c r="N136" s="16">
        <f t="shared" si="11"/>
        <v>45778</v>
      </c>
      <c r="O136" t="s">
        <v>1097</v>
      </c>
      <c r="P136" t="str">
        <f t="shared" si="12"/>
        <v>May 2025</v>
      </c>
      <c r="Q136" t="s">
        <v>959</v>
      </c>
      <c r="R136" s="8">
        <v>7221.23</v>
      </c>
      <c r="S136" s="8">
        <f t="shared" si="13"/>
        <v>268451.45</v>
      </c>
      <c r="T136" s="6">
        <f t="shared" si="14"/>
        <v>4</v>
      </c>
    </row>
    <row r="137" spans="1:20" x14ac:dyDescent="0.3">
      <c r="A137" t="s">
        <v>1188</v>
      </c>
      <c r="B137" s="13" t="s">
        <v>732</v>
      </c>
      <c r="C137" s="16">
        <f t="shared" si="10"/>
        <v>45778</v>
      </c>
      <c r="D137" t="s">
        <v>961</v>
      </c>
      <c r="E137" t="s">
        <v>33</v>
      </c>
      <c r="F137" t="s">
        <v>956</v>
      </c>
      <c r="G137" t="s">
        <v>1042</v>
      </c>
      <c r="H137" t="s">
        <v>982</v>
      </c>
      <c r="I137">
        <v>1246</v>
      </c>
      <c r="J137" s="3">
        <v>172.83</v>
      </c>
      <c r="K137" s="3">
        <v>215346.18</v>
      </c>
      <c r="L137">
        <v>89</v>
      </c>
      <c r="M137" t="s">
        <v>94</v>
      </c>
      <c r="N137" s="16">
        <f t="shared" si="11"/>
        <v>45778</v>
      </c>
      <c r="O137" t="s">
        <v>94</v>
      </c>
      <c r="P137" t="str">
        <f t="shared" si="12"/>
        <v>May 2025</v>
      </c>
      <c r="Q137" t="s">
        <v>966</v>
      </c>
      <c r="R137" s="8">
        <v>4511.99</v>
      </c>
      <c r="S137" s="8">
        <f t="shared" si="13"/>
        <v>219858.16999999998</v>
      </c>
      <c r="T137" s="6">
        <f t="shared" si="14"/>
        <v>0</v>
      </c>
    </row>
    <row r="138" spans="1:20" x14ac:dyDescent="0.3">
      <c r="A138" t="s">
        <v>1189</v>
      </c>
      <c r="B138" s="13" t="s">
        <v>39</v>
      </c>
      <c r="C138" s="16">
        <f t="shared" si="10"/>
        <v>45809</v>
      </c>
      <c r="D138" t="s">
        <v>1021</v>
      </c>
      <c r="E138" t="s">
        <v>962</v>
      </c>
      <c r="F138" t="s">
        <v>963</v>
      </c>
      <c r="G138" t="s">
        <v>1057</v>
      </c>
      <c r="H138" t="s">
        <v>973</v>
      </c>
      <c r="I138">
        <v>1071</v>
      </c>
      <c r="J138" s="3">
        <v>89.1</v>
      </c>
      <c r="K138" s="3">
        <v>95426.1</v>
      </c>
      <c r="L138">
        <v>619</v>
      </c>
      <c r="M138" t="s">
        <v>35</v>
      </c>
      <c r="N138" s="16">
        <f t="shared" si="11"/>
        <v>45809</v>
      </c>
      <c r="O138" t="s">
        <v>416</v>
      </c>
      <c r="P138" t="str">
        <f t="shared" si="12"/>
        <v>June 2025</v>
      </c>
      <c r="Q138" t="s">
        <v>959</v>
      </c>
      <c r="R138" s="8">
        <v>28622.85</v>
      </c>
      <c r="S138" s="8">
        <f t="shared" si="13"/>
        <v>124048.95000000001</v>
      </c>
      <c r="T138" s="6">
        <f t="shared" si="14"/>
        <v>3</v>
      </c>
    </row>
    <row r="139" spans="1:20" x14ac:dyDescent="0.3">
      <c r="A139" t="s">
        <v>1190</v>
      </c>
      <c r="B139" s="13" t="s">
        <v>622</v>
      </c>
      <c r="C139" s="16">
        <f t="shared" si="10"/>
        <v>45931</v>
      </c>
      <c r="D139" t="s">
        <v>1011</v>
      </c>
      <c r="E139" t="s">
        <v>962</v>
      </c>
      <c r="F139" t="s">
        <v>956</v>
      </c>
      <c r="G139" t="s">
        <v>1098</v>
      </c>
      <c r="H139" t="s">
        <v>1023</v>
      </c>
      <c r="I139">
        <v>2347</v>
      </c>
      <c r="J139" s="3">
        <v>293.35000000000002</v>
      </c>
      <c r="K139" s="3">
        <v>688492.45</v>
      </c>
      <c r="L139">
        <v>591</v>
      </c>
      <c r="M139" t="s">
        <v>1191</v>
      </c>
      <c r="N139" s="16">
        <f t="shared" si="11"/>
        <v>45931</v>
      </c>
      <c r="O139" t="s">
        <v>1191</v>
      </c>
      <c r="P139" t="str">
        <f t="shared" si="12"/>
        <v>October 2025</v>
      </c>
      <c r="Q139" t="s">
        <v>966</v>
      </c>
      <c r="R139" s="8">
        <v>26499.05</v>
      </c>
      <c r="S139" s="8">
        <f t="shared" si="13"/>
        <v>714991.5</v>
      </c>
      <c r="T139" s="6">
        <f t="shared" si="14"/>
        <v>0</v>
      </c>
    </row>
    <row r="140" spans="1:20" x14ac:dyDescent="0.3">
      <c r="A140" t="s">
        <v>1192</v>
      </c>
      <c r="B140" s="13" t="s">
        <v>631</v>
      </c>
      <c r="C140" s="16">
        <f t="shared" si="10"/>
        <v>45689</v>
      </c>
      <c r="D140" t="s">
        <v>1003</v>
      </c>
      <c r="E140" t="s">
        <v>49</v>
      </c>
      <c r="F140" t="s">
        <v>971</v>
      </c>
      <c r="G140" t="s">
        <v>991</v>
      </c>
      <c r="H140" t="s">
        <v>992</v>
      </c>
      <c r="I140">
        <v>2488</v>
      </c>
      <c r="J140" s="3">
        <v>520.04999999999995</v>
      </c>
      <c r="K140" s="3">
        <v>1293884.3999999999</v>
      </c>
      <c r="L140">
        <v>25</v>
      </c>
      <c r="M140" t="s">
        <v>385</v>
      </c>
      <c r="N140" s="16">
        <f t="shared" si="11"/>
        <v>45689</v>
      </c>
      <c r="O140" t="s">
        <v>74</v>
      </c>
      <c r="P140" t="str">
        <f t="shared" si="12"/>
        <v>February 2025</v>
      </c>
      <c r="Q140" t="s">
        <v>959</v>
      </c>
      <c r="R140" s="8">
        <v>1456.73</v>
      </c>
      <c r="S140" s="8">
        <f t="shared" si="13"/>
        <v>1295341.1299999999</v>
      </c>
      <c r="T140" s="6">
        <f t="shared" si="14"/>
        <v>3</v>
      </c>
    </row>
    <row r="141" spans="1:20" x14ac:dyDescent="0.3">
      <c r="A141" t="s">
        <v>1193</v>
      </c>
      <c r="B141" s="13" t="s">
        <v>577</v>
      </c>
      <c r="C141" s="16">
        <f t="shared" si="10"/>
        <v>45717</v>
      </c>
      <c r="D141" t="s">
        <v>968</v>
      </c>
      <c r="E141" t="s">
        <v>962</v>
      </c>
      <c r="F141" t="s">
        <v>971</v>
      </c>
      <c r="G141" t="s">
        <v>1040</v>
      </c>
      <c r="H141" t="s">
        <v>1000</v>
      </c>
      <c r="I141">
        <v>1430</v>
      </c>
      <c r="J141" s="3">
        <v>296.85000000000002</v>
      </c>
      <c r="K141" s="3">
        <v>424495.5</v>
      </c>
      <c r="L141">
        <v>491</v>
      </c>
      <c r="M141" t="s">
        <v>579</v>
      </c>
      <c r="N141" s="16">
        <f t="shared" si="11"/>
        <v>45717</v>
      </c>
      <c r="O141" t="s">
        <v>261</v>
      </c>
      <c r="P141" t="str">
        <f t="shared" si="12"/>
        <v>March 2025</v>
      </c>
      <c r="Q141" t="s">
        <v>959</v>
      </c>
      <c r="R141" s="8">
        <v>23157.81</v>
      </c>
      <c r="S141" s="8">
        <f t="shared" si="13"/>
        <v>447653.31</v>
      </c>
      <c r="T141" s="6">
        <f t="shared" si="14"/>
        <v>3</v>
      </c>
    </row>
    <row r="142" spans="1:20" x14ac:dyDescent="0.3">
      <c r="A142" t="s">
        <v>1194</v>
      </c>
      <c r="B142" s="13" t="s">
        <v>42</v>
      </c>
      <c r="C142" s="16">
        <f t="shared" si="10"/>
        <v>45962</v>
      </c>
      <c r="D142" t="s">
        <v>984</v>
      </c>
      <c r="E142" t="s">
        <v>49</v>
      </c>
      <c r="F142" t="s">
        <v>980</v>
      </c>
      <c r="G142" t="s">
        <v>1038</v>
      </c>
      <c r="H142" t="s">
        <v>992</v>
      </c>
      <c r="I142">
        <v>453</v>
      </c>
      <c r="J142" s="3">
        <v>291.31</v>
      </c>
      <c r="K142" s="3">
        <v>131963.43</v>
      </c>
      <c r="L142">
        <v>420</v>
      </c>
      <c r="M142" t="s">
        <v>714</v>
      </c>
      <c r="N142" s="16">
        <f t="shared" si="11"/>
        <v>45962</v>
      </c>
      <c r="O142" t="s">
        <v>714</v>
      </c>
      <c r="P142" t="str">
        <f t="shared" si="12"/>
        <v>November 2025</v>
      </c>
      <c r="Q142" t="s">
        <v>966</v>
      </c>
      <c r="R142" s="8">
        <v>21641.78</v>
      </c>
      <c r="S142" s="8">
        <f t="shared" si="13"/>
        <v>153605.21</v>
      </c>
      <c r="T142" s="6">
        <f t="shared" si="14"/>
        <v>0</v>
      </c>
    </row>
    <row r="143" spans="1:20" x14ac:dyDescent="0.3">
      <c r="A143" t="s">
        <v>1195</v>
      </c>
      <c r="B143" s="13" t="s">
        <v>622</v>
      </c>
      <c r="C143" s="16">
        <f t="shared" si="10"/>
        <v>45931</v>
      </c>
      <c r="D143" t="s">
        <v>961</v>
      </c>
      <c r="E143" t="s">
        <v>49</v>
      </c>
      <c r="F143" t="s">
        <v>971</v>
      </c>
      <c r="G143" t="s">
        <v>1045</v>
      </c>
      <c r="H143" t="s">
        <v>977</v>
      </c>
      <c r="I143">
        <v>1896</v>
      </c>
      <c r="J143" s="3">
        <v>845.32</v>
      </c>
      <c r="K143" s="3">
        <v>1602726.72</v>
      </c>
      <c r="L143">
        <v>73</v>
      </c>
      <c r="M143" t="s">
        <v>798</v>
      </c>
      <c r="N143" s="16">
        <f t="shared" si="11"/>
        <v>45931</v>
      </c>
      <c r="O143" t="s">
        <v>1191</v>
      </c>
      <c r="P143" t="str">
        <f t="shared" si="12"/>
        <v>October 2025</v>
      </c>
      <c r="Q143" t="s">
        <v>959</v>
      </c>
      <c r="R143" s="8">
        <v>4066.17</v>
      </c>
      <c r="S143" s="8">
        <f t="shared" si="13"/>
        <v>1606792.89</v>
      </c>
      <c r="T143" s="6">
        <f t="shared" si="14"/>
        <v>1</v>
      </c>
    </row>
    <row r="144" spans="1:20" x14ac:dyDescent="0.3">
      <c r="A144" t="s">
        <v>1196</v>
      </c>
      <c r="B144" s="13" t="s">
        <v>899</v>
      </c>
      <c r="C144" s="16">
        <f t="shared" si="10"/>
        <v>45992</v>
      </c>
      <c r="D144" t="s">
        <v>955</v>
      </c>
      <c r="E144" t="s">
        <v>33</v>
      </c>
      <c r="F144" t="s">
        <v>980</v>
      </c>
      <c r="G144" t="s">
        <v>994</v>
      </c>
      <c r="H144" t="s">
        <v>1034</v>
      </c>
      <c r="I144">
        <v>181</v>
      </c>
      <c r="J144" s="3">
        <v>477.76</v>
      </c>
      <c r="K144" s="3">
        <v>86474.559999999998</v>
      </c>
      <c r="L144">
        <v>505</v>
      </c>
      <c r="M144" t="s">
        <v>528</v>
      </c>
      <c r="N144" s="16">
        <f t="shared" si="11"/>
        <v>45992</v>
      </c>
      <c r="O144" t="s">
        <v>528</v>
      </c>
      <c r="P144" t="str">
        <f t="shared" si="12"/>
        <v>December 2025</v>
      </c>
      <c r="Q144" t="s">
        <v>966</v>
      </c>
      <c r="R144" s="8">
        <v>25232.86</v>
      </c>
      <c r="S144" s="8">
        <f t="shared" si="13"/>
        <v>111707.42</v>
      </c>
      <c r="T144" s="6">
        <f t="shared" si="14"/>
        <v>0</v>
      </c>
    </row>
    <row r="145" spans="1:20" x14ac:dyDescent="0.3">
      <c r="A145" t="s">
        <v>1197</v>
      </c>
      <c r="B145" s="13" t="s">
        <v>176</v>
      </c>
      <c r="C145" s="16">
        <f t="shared" si="10"/>
        <v>45931</v>
      </c>
      <c r="D145" t="s">
        <v>984</v>
      </c>
      <c r="E145" t="s">
        <v>962</v>
      </c>
      <c r="F145" t="s">
        <v>956</v>
      </c>
      <c r="G145" t="s">
        <v>1026</v>
      </c>
      <c r="H145" t="s">
        <v>958</v>
      </c>
      <c r="I145">
        <v>1404</v>
      </c>
      <c r="J145" s="3">
        <v>80.790000000000006</v>
      </c>
      <c r="K145" s="3">
        <v>113429.16</v>
      </c>
      <c r="L145">
        <v>469</v>
      </c>
      <c r="M145" t="s">
        <v>928</v>
      </c>
      <c r="N145" s="16">
        <f t="shared" si="11"/>
        <v>45931</v>
      </c>
      <c r="O145" t="s">
        <v>1198</v>
      </c>
      <c r="P145" t="str">
        <f t="shared" si="12"/>
        <v>October 2025</v>
      </c>
      <c r="Q145" t="s">
        <v>959</v>
      </c>
      <c r="R145" s="8">
        <v>28781.43</v>
      </c>
      <c r="S145" s="8">
        <f t="shared" si="13"/>
        <v>142210.59</v>
      </c>
      <c r="T145" s="6">
        <f t="shared" si="14"/>
        <v>4</v>
      </c>
    </row>
    <row r="146" spans="1:20" x14ac:dyDescent="0.3">
      <c r="A146" t="s">
        <v>1199</v>
      </c>
      <c r="B146" s="13" t="s">
        <v>466</v>
      </c>
      <c r="C146" s="16">
        <f t="shared" si="10"/>
        <v>45717</v>
      </c>
      <c r="D146" t="s">
        <v>1003</v>
      </c>
      <c r="E146" t="s">
        <v>990</v>
      </c>
      <c r="F146" t="s">
        <v>971</v>
      </c>
      <c r="G146" t="s">
        <v>996</v>
      </c>
      <c r="H146" t="s">
        <v>1023</v>
      </c>
      <c r="I146">
        <v>784</v>
      </c>
      <c r="J146" s="3">
        <v>194.78</v>
      </c>
      <c r="K146" s="3">
        <v>152707.51999999999</v>
      </c>
      <c r="L146">
        <v>479</v>
      </c>
      <c r="M146" t="s">
        <v>1137</v>
      </c>
      <c r="N146" s="16">
        <f t="shared" si="11"/>
        <v>45717</v>
      </c>
      <c r="O146" t="s">
        <v>839</v>
      </c>
      <c r="P146" t="str">
        <f t="shared" si="12"/>
        <v>March 2025</v>
      </c>
      <c r="Q146" t="s">
        <v>959</v>
      </c>
      <c r="R146" s="8">
        <v>23231.97</v>
      </c>
      <c r="S146" s="8">
        <f t="shared" si="13"/>
        <v>175939.49</v>
      </c>
      <c r="T146" s="6">
        <f t="shared" si="14"/>
        <v>3</v>
      </c>
    </row>
    <row r="147" spans="1:20" x14ac:dyDescent="0.3">
      <c r="A147" t="s">
        <v>1200</v>
      </c>
      <c r="B147" s="13" t="s">
        <v>908</v>
      </c>
      <c r="C147" s="16">
        <f t="shared" si="10"/>
        <v>45839</v>
      </c>
      <c r="D147" t="s">
        <v>984</v>
      </c>
      <c r="E147" t="s">
        <v>962</v>
      </c>
      <c r="F147" t="s">
        <v>956</v>
      </c>
      <c r="G147" t="s">
        <v>964</v>
      </c>
      <c r="H147" t="s">
        <v>1034</v>
      </c>
      <c r="I147">
        <v>185</v>
      </c>
      <c r="J147" s="3">
        <v>79.099999999999994</v>
      </c>
      <c r="K147" s="3">
        <v>14633.5</v>
      </c>
      <c r="L147">
        <v>618</v>
      </c>
      <c r="M147" t="s">
        <v>791</v>
      </c>
      <c r="N147" s="16">
        <f t="shared" si="11"/>
        <v>45839</v>
      </c>
      <c r="O147" t="s">
        <v>611</v>
      </c>
      <c r="P147" t="str">
        <f t="shared" si="12"/>
        <v>July 2025</v>
      </c>
      <c r="Q147" t="s">
        <v>959</v>
      </c>
      <c r="R147" s="8">
        <v>31023.51</v>
      </c>
      <c r="S147" s="8">
        <f t="shared" si="13"/>
        <v>45657.009999999995</v>
      </c>
      <c r="T147" s="6">
        <f t="shared" si="14"/>
        <v>1</v>
      </c>
    </row>
    <row r="148" spans="1:20" x14ac:dyDescent="0.3">
      <c r="A148" t="s">
        <v>1201</v>
      </c>
      <c r="B148" s="13" t="s">
        <v>284</v>
      </c>
      <c r="C148" s="16">
        <f t="shared" si="10"/>
        <v>45839</v>
      </c>
      <c r="D148" t="s">
        <v>1021</v>
      </c>
      <c r="E148" t="s">
        <v>962</v>
      </c>
      <c r="F148" t="s">
        <v>956</v>
      </c>
      <c r="G148" t="s">
        <v>1026</v>
      </c>
      <c r="H148" t="s">
        <v>965</v>
      </c>
      <c r="I148">
        <v>831</v>
      </c>
      <c r="J148" s="3">
        <v>839.66</v>
      </c>
      <c r="K148" s="3">
        <v>697757.46</v>
      </c>
      <c r="L148">
        <v>197</v>
      </c>
      <c r="M148" t="s">
        <v>1007</v>
      </c>
      <c r="N148" s="16">
        <f t="shared" si="11"/>
        <v>45839</v>
      </c>
      <c r="O148" t="s">
        <v>277</v>
      </c>
      <c r="P148" t="str">
        <f t="shared" si="12"/>
        <v>July 2025</v>
      </c>
      <c r="Q148" t="s">
        <v>959</v>
      </c>
      <c r="R148" s="8">
        <v>9465.86</v>
      </c>
      <c r="S148" s="8">
        <f t="shared" si="13"/>
        <v>707223.32</v>
      </c>
      <c r="T148" s="6">
        <f t="shared" si="14"/>
        <v>4</v>
      </c>
    </row>
    <row r="149" spans="1:20" x14ac:dyDescent="0.3">
      <c r="A149" t="s">
        <v>1202</v>
      </c>
      <c r="B149" s="13" t="s">
        <v>492</v>
      </c>
      <c r="C149" s="16">
        <f t="shared" si="10"/>
        <v>45870</v>
      </c>
      <c r="D149" t="s">
        <v>955</v>
      </c>
      <c r="E149" t="s">
        <v>33</v>
      </c>
      <c r="F149" t="s">
        <v>980</v>
      </c>
      <c r="G149" t="s">
        <v>996</v>
      </c>
      <c r="H149" t="s">
        <v>992</v>
      </c>
      <c r="I149">
        <v>2241</v>
      </c>
      <c r="J149" s="3">
        <v>281.67</v>
      </c>
      <c r="K149" s="3">
        <v>631222.47</v>
      </c>
      <c r="L149">
        <v>50</v>
      </c>
      <c r="M149" t="s">
        <v>453</v>
      </c>
      <c r="N149" s="16">
        <f t="shared" si="11"/>
        <v>45870</v>
      </c>
      <c r="O149" t="s">
        <v>453</v>
      </c>
      <c r="P149" t="str">
        <f t="shared" si="12"/>
        <v>August 2025</v>
      </c>
      <c r="Q149" t="s">
        <v>966</v>
      </c>
      <c r="R149" s="8">
        <v>2043.4</v>
      </c>
      <c r="S149" s="8">
        <f t="shared" si="13"/>
        <v>633265.87</v>
      </c>
      <c r="T149" s="6">
        <f t="shared" si="14"/>
        <v>0</v>
      </c>
    </row>
    <row r="150" spans="1:20" x14ac:dyDescent="0.3">
      <c r="A150" t="s">
        <v>1203</v>
      </c>
      <c r="B150" s="13" t="s">
        <v>476</v>
      </c>
      <c r="C150" s="16">
        <f t="shared" si="10"/>
        <v>45689</v>
      </c>
      <c r="D150" t="s">
        <v>984</v>
      </c>
      <c r="E150" t="s">
        <v>33</v>
      </c>
      <c r="F150" t="s">
        <v>956</v>
      </c>
      <c r="G150" t="s">
        <v>1051</v>
      </c>
      <c r="H150" t="s">
        <v>992</v>
      </c>
      <c r="I150">
        <v>203</v>
      </c>
      <c r="J150" s="3">
        <v>48.19</v>
      </c>
      <c r="K150" s="3">
        <v>9782.57</v>
      </c>
      <c r="L150">
        <v>311</v>
      </c>
      <c r="M150" t="s">
        <v>347</v>
      </c>
      <c r="N150" s="16">
        <f t="shared" si="11"/>
        <v>45689</v>
      </c>
      <c r="O150" t="s">
        <v>347</v>
      </c>
      <c r="P150" t="str">
        <f t="shared" si="12"/>
        <v>February 2025</v>
      </c>
      <c r="Q150" t="s">
        <v>966</v>
      </c>
      <c r="R150" s="8">
        <v>13418.96</v>
      </c>
      <c r="S150" s="8">
        <f t="shared" si="13"/>
        <v>23201.53</v>
      </c>
      <c r="T150" s="6">
        <f t="shared" si="14"/>
        <v>0</v>
      </c>
    </row>
    <row r="151" spans="1:20" x14ac:dyDescent="0.3">
      <c r="A151" t="s">
        <v>1204</v>
      </c>
      <c r="B151" s="13" t="s">
        <v>932</v>
      </c>
      <c r="C151" s="16">
        <f t="shared" si="10"/>
        <v>45992</v>
      </c>
      <c r="D151" t="s">
        <v>975</v>
      </c>
      <c r="E151" t="s">
        <v>43</v>
      </c>
      <c r="F151" t="s">
        <v>956</v>
      </c>
      <c r="G151" t="s">
        <v>994</v>
      </c>
      <c r="H151" t="s">
        <v>973</v>
      </c>
      <c r="I151">
        <v>2479</v>
      </c>
      <c r="J151" s="3">
        <v>848.29</v>
      </c>
      <c r="K151" s="3">
        <v>2102910.91</v>
      </c>
      <c r="L151">
        <v>368</v>
      </c>
      <c r="M151" t="s">
        <v>880</v>
      </c>
      <c r="N151" s="16">
        <f t="shared" si="11"/>
        <v>45992</v>
      </c>
      <c r="O151" t="s">
        <v>490</v>
      </c>
      <c r="P151" t="str">
        <f t="shared" si="12"/>
        <v>December 2025</v>
      </c>
      <c r="Q151" t="s">
        <v>959</v>
      </c>
      <c r="R151" s="8">
        <v>20167.96</v>
      </c>
      <c r="S151" s="8">
        <f t="shared" si="13"/>
        <v>2123078.87</v>
      </c>
      <c r="T151" s="6">
        <f t="shared" si="14"/>
        <v>2</v>
      </c>
    </row>
    <row r="152" spans="1:20" x14ac:dyDescent="0.3">
      <c r="A152" t="s">
        <v>1205</v>
      </c>
      <c r="B152" s="13" t="s">
        <v>81</v>
      </c>
      <c r="C152" s="16">
        <f t="shared" si="10"/>
        <v>45839</v>
      </c>
      <c r="D152" t="s">
        <v>968</v>
      </c>
      <c r="E152" t="s">
        <v>987</v>
      </c>
      <c r="F152" t="s">
        <v>971</v>
      </c>
      <c r="G152" t="s">
        <v>996</v>
      </c>
      <c r="H152" t="s">
        <v>973</v>
      </c>
      <c r="I152">
        <v>947</v>
      </c>
      <c r="J152" s="3">
        <v>683.07</v>
      </c>
      <c r="K152" s="3">
        <v>646867.29</v>
      </c>
      <c r="L152">
        <v>190</v>
      </c>
      <c r="M152" t="s">
        <v>1020</v>
      </c>
      <c r="N152" s="16">
        <f t="shared" si="11"/>
        <v>45839</v>
      </c>
      <c r="O152" t="s">
        <v>739</v>
      </c>
      <c r="P152" t="str">
        <f t="shared" si="12"/>
        <v>July 2025</v>
      </c>
      <c r="Q152" t="s">
        <v>959</v>
      </c>
      <c r="R152" s="8">
        <v>9859.75</v>
      </c>
      <c r="S152" s="8">
        <f t="shared" si="13"/>
        <v>656727.04000000004</v>
      </c>
      <c r="T152" s="6">
        <f t="shared" si="14"/>
        <v>2</v>
      </c>
    </row>
    <row r="153" spans="1:20" x14ac:dyDescent="0.3">
      <c r="A153" t="s">
        <v>1206</v>
      </c>
      <c r="B153" s="13" t="s">
        <v>859</v>
      </c>
      <c r="C153" s="16">
        <f t="shared" si="10"/>
        <v>45901</v>
      </c>
      <c r="D153" t="s">
        <v>984</v>
      </c>
      <c r="E153" t="s">
        <v>43</v>
      </c>
      <c r="F153" t="s">
        <v>980</v>
      </c>
      <c r="G153" t="s">
        <v>981</v>
      </c>
      <c r="H153" t="s">
        <v>1018</v>
      </c>
      <c r="I153">
        <v>2102</v>
      </c>
      <c r="J153" s="3">
        <v>85.06</v>
      </c>
      <c r="K153" s="3">
        <v>178796.12</v>
      </c>
      <c r="L153">
        <v>538</v>
      </c>
      <c r="M153" t="s">
        <v>1207</v>
      </c>
      <c r="N153" s="16">
        <f t="shared" si="11"/>
        <v>45901</v>
      </c>
      <c r="O153" t="s">
        <v>1207</v>
      </c>
      <c r="P153" t="str">
        <f t="shared" si="12"/>
        <v>September 2025</v>
      </c>
      <c r="Q153" t="s">
        <v>966</v>
      </c>
      <c r="R153" s="8">
        <v>18892.21</v>
      </c>
      <c r="S153" s="8">
        <f t="shared" si="13"/>
        <v>197688.33</v>
      </c>
      <c r="T153" s="6">
        <f t="shared" si="14"/>
        <v>0</v>
      </c>
    </row>
    <row r="154" spans="1:20" x14ac:dyDescent="0.3">
      <c r="A154" t="s">
        <v>1208</v>
      </c>
      <c r="B154" s="13" t="s">
        <v>699</v>
      </c>
      <c r="C154" s="16">
        <f t="shared" si="10"/>
        <v>45658</v>
      </c>
      <c r="D154" t="s">
        <v>968</v>
      </c>
      <c r="E154" t="s">
        <v>990</v>
      </c>
      <c r="F154" t="s">
        <v>980</v>
      </c>
      <c r="G154" t="s">
        <v>976</v>
      </c>
      <c r="H154" t="s">
        <v>1034</v>
      </c>
      <c r="I154">
        <v>1285</v>
      </c>
      <c r="J154" s="3">
        <v>496.71</v>
      </c>
      <c r="K154" s="3">
        <v>638272.35</v>
      </c>
      <c r="L154">
        <v>329</v>
      </c>
      <c r="M154" t="s">
        <v>438</v>
      </c>
      <c r="N154" s="16">
        <f t="shared" si="11"/>
        <v>45658</v>
      </c>
      <c r="O154" t="s">
        <v>699</v>
      </c>
      <c r="P154" t="str">
        <f t="shared" si="12"/>
        <v>January 2025</v>
      </c>
      <c r="Q154" t="s">
        <v>966</v>
      </c>
      <c r="R154" s="8">
        <v>17501.18</v>
      </c>
      <c r="S154" s="8">
        <f t="shared" si="13"/>
        <v>655773.53</v>
      </c>
      <c r="T154" s="6">
        <f t="shared" si="14"/>
        <v>-1</v>
      </c>
    </row>
    <row r="155" spans="1:20" x14ac:dyDescent="0.3">
      <c r="A155" t="s">
        <v>1209</v>
      </c>
      <c r="B155" s="13" t="s">
        <v>1210</v>
      </c>
      <c r="C155" s="16">
        <f t="shared" si="10"/>
        <v>45778</v>
      </c>
      <c r="D155" t="s">
        <v>975</v>
      </c>
      <c r="E155" t="s">
        <v>990</v>
      </c>
      <c r="F155" t="s">
        <v>980</v>
      </c>
      <c r="G155" t="s">
        <v>1057</v>
      </c>
      <c r="H155" t="s">
        <v>958</v>
      </c>
      <c r="I155">
        <v>183</v>
      </c>
      <c r="J155" s="3">
        <v>785.58</v>
      </c>
      <c r="K155" s="3">
        <v>143761.14000000001</v>
      </c>
      <c r="L155">
        <v>247</v>
      </c>
      <c r="M155" t="s">
        <v>383</v>
      </c>
      <c r="N155" s="16">
        <f t="shared" si="11"/>
        <v>45778</v>
      </c>
      <c r="O155" t="s">
        <v>126</v>
      </c>
      <c r="P155" t="str">
        <f t="shared" si="12"/>
        <v>May 2025</v>
      </c>
      <c r="Q155" t="s">
        <v>959</v>
      </c>
      <c r="R155" s="8">
        <v>12462.93</v>
      </c>
      <c r="S155" s="8">
        <f t="shared" si="13"/>
        <v>156224.07</v>
      </c>
      <c r="T155" s="6">
        <f t="shared" si="14"/>
        <v>4</v>
      </c>
    </row>
    <row r="156" spans="1:20" x14ac:dyDescent="0.3">
      <c r="A156" t="s">
        <v>1211</v>
      </c>
      <c r="B156" s="13" t="s">
        <v>154</v>
      </c>
      <c r="C156" s="16">
        <f t="shared" si="10"/>
        <v>45901</v>
      </c>
      <c r="D156" t="s">
        <v>1003</v>
      </c>
      <c r="E156" t="s">
        <v>990</v>
      </c>
      <c r="F156" t="s">
        <v>963</v>
      </c>
      <c r="G156" t="s">
        <v>996</v>
      </c>
      <c r="H156" t="s">
        <v>958</v>
      </c>
      <c r="I156">
        <v>1541</v>
      </c>
      <c r="J156" s="3">
        <v>627.78</v>
      </c>
      <c r="K156" s="3">
        <v>967408.98</v>
      </c>
      <c r="L156">
        <v>539</v>
      </c>
      <c r="M156" t="s">
        <v>622</v>
      </c>
      <c r="N156" s="16">
        <f t="shared" si="11"/>
        <v>45931</v>
      </c>
      <c r="O156" t="s">
        <v>64</v>
      </c>
      <c r="P156" t="str">
        <f t="shared" si="12"/>
        <v>October 2025</v>
      </c>
      <c r="Q156" t="s">
        <v>959</v>
      </c>
      <c r="R156" s="8">
        <v>33042.839999999997</v>
      </c>
      <c r="S156" s="8">
        <f t="shared" si="13"/>
        <v>1000451.82</v>
      </c>
      <c r="T156" s="6">
        <f t="shared" si="14"/>
        <v>4</v>
      </c>
    </row>
    <row r="157" spans="1:20" x14ac:dyDescent="0.3">
      <c r="A157" t="s">
        <v>1212</v>
      </c>
      <c r="B157" s="13" t="s">
        <v>557</v>
      </c>
      <c r="C157" s="16">
        <f t="shared" si="10"/>
        <v>45901</v>
      </c>
      <c r="D157" t="s">
        <v>1003</v>
      </c>
      <c r="E157" t="s">
        <v>43</v>
      </c>
      <c r="F157" t="s">
        <v>971</v>
      </c>
      <c r="G157" t="s">
        <v>1004</v>
      </c>
      <c r="H157" t="s">
        <v>958</v>
      </c>
      <c r="I157">
        <v>1135</v>
      </c>
      <c r="J157" s="3">
        <v>339.55</v>
      </c>
      <c r="K157" s="3">
        <v>385389.25</v>
      </c>
      <c r="L157">
        <v>542</v>
      </c>
      <c r="M157" t="s">
        <v>136</v>
      </c>
      <c r="N157" s="16">
        <f t="shared" si="11"/>
        <v>45901</v>
      </c>
      <c r="O157" t="s">
        <v>136</v>
      </c>
      <c r="P157" t="str">
        <f t="shared" si="12"/>
        <v>September 2025</v>
      </c>
      <c r="Q157" t="s">
        <v>966</v>
      </c>
      <c r="R157" s="8">
        <v>21489.360000000001</v>
      </c>
      <c r="S157" s="8">
        <f t="shared" si="13"/>
        <v>406878.61</v>
      </c>
      <c r="T157" s="6">
        <f t="shared" si="14"/>
        <v>0</v>
      </c>
    </row>
    <row r="158" spans="1:20" x14ac:dyDescent="0.3">
      <c r="A158" t="s">
        <v>1213</v>
      </c>
      <c r="B158" s="13" t="s">
        <v>913</v>
      </c>
      <c r="C158" s="16">
        <f t="shared" si="10"/>
        <v>45962</v>
      </c>
      <c r="D158" t="s">
        <v>975</v>
      </c>
      <c r="E158" t="s">
        <v>43</v>
      </c>
      <c r="F158" t="s">
        <v>956</v>
      </c>
      <c r="G158" t="s">
        <v>996</v>
      </c>
      <c r="H158" t="s">
        <v>982</v>
      </c>
      <c r="I158">
        <v>467</v>
      </c>
      <c r="J158" s="3">
        <v>437.6</v>
      </c>
      <c r="K158" s="3">
        <v>204359.2</v>
      </c>
      <c r="L158">
        <v>276</v>
      </c>
      <c r="M158" t="s">
        <v>925</v>
      </c>
      <c r="N158" s="16">
        <f t="shared" si="11"/>
        <v>45962</v>
      </c>
      <c r="O158" t="s">
        <v>913</v>
      </c>
      <c r="P158" t="str">
        <f t="shared" si="12"/>
        <v>November 2025</v>
      </c>
      <c r="Q158" t="s">
        <v>966</v>
      </c>
      <c r="R158" s="8">
        <v>16589.5</v>
      </c>
      <c r="S158" s="8">
        <f t="shared" si="13"/>
        <v>220948.7</v>
      </c>
      <c r="T158" s="6">
        <f t="shared" si="14"/>
        <v>-1</v>
      </c>
    </row>
    <row r="159" spans="1:20" x14ac:dyDescent="0.3">
      <c r="A159" t="s">
        <v>1214</v>
      </c>
      <c r="B159" s="13" t="s">
        <v>152</v>
      </c>
      <c r="C159" s="16">
        <f t="shared" si="10"/>
        <v>45689</v>
      </c>
      <c r="D159" t="s">
        <v>975</v>
      </c>
      <c r="E159" t="s">
        <v>49</v>
      </c>
      <c r="F159" t="s">
        <v>971</v>
      </c>
      <c r="G159" t="s">
        <v>1098</v>
      </c>
      <c r="H159" t="s">
        <v>977</v>
      </c>
      <c r="I159">
        <v>228</v>
      </c>
      <c r="J159" s="3">
        <v>107.57</v>
      </c>
      <c r="K159" s="3">
        <v>24525.96</v>
      </c>
      <c r="L159">
        <v>649</v>
      </c>
      <c r="M159" t="s">
        <v>199</v>
      </c>
      <c r="N159" s="16">
        <f t="shared" si="11"/>
        <v>45689</v>
      </c>
      <c r="O159" t="s">
        <v>484</v>
      </c>
      <c r="P159" t="str">
        <f t="shared" si="12"/>
        <v>March 2025</v>
      </c>
      <c r="Q159" t="s">
        <v>959</v>
      </c>
      <c r="R159" s="8">
        <v>38678.199999999997</v>
      </c>
      <c r="S159" s="8">
        <f t="shared" si="13"/>
        <v>63204.159999999996</v>
      </c>
      <c r="T159" s="6">
        <f t="shared" si="14"/>
        <v>4</v>
      </c>
    </row>
    <row r="160" spans="1:20" x14ac:dyDescent="0.3">
      <c r="A160" t="s">
        <v>1215</v>
      </c>
      <c r="B160" s="13" t="s">
        <v>683</v>
      </c>
      <c r="C160" s="16">
        <f t="shared" si="10"/>
        <v>45748</v>
      </c>
      <c r="D160" t="s">
        <v>1021</v>
      </c>
      <c r="E160" t="s">
        <v>49</v>
      </c>
      <c r="F160" t="s">
        <v>980</v>
      </c>
      <c r="G160" t="s">
        <v>994</v>
      </c>
      <c r="H160" t="s">
        <v>1000</v>
      </c>
      <c r="I160">
        <v>1042</v>
      </c>
      <c r="J160" s="3">
        <v>428.67</v>
      </c>
      <c r="K160" s="3">
        <v>446674.14</v>
      </c>
      <c r="L160">
        <v>186</v>
      </c>
      <c r="M160" t="s">
        <v>340</v>
      </c>
      <c r="N160" s="16">
        <f t="shared" si="11"/>
        <v>45748</v>
      </c>
      <c r="O160" t="s">
        <v>340</v>
      </c>
      <c r="P160" t="str">
        <f t="shared" si="12"/>
        <v>April 2025</v>
      </c>
      <c r="Q160" t="s">
        <v>966</v>
      </c>
      <c r="R160" s="8">
        <v>7126.07</v>
      </c>
      <c r="S160" s="8">
        <f t="shared" si="13"/>
        <v>453800.21</v>
      </c>
      <c r="T160" s="6">
        <f t="shared" si="14"/>
        <v>0</v>
      </c>
    </row>
    <row r="161" spans="1:20" x14ac:dyDescent="0.3">
      <c r="A161" t="s">
        <v>1216</v>
      </c>
      <c r="B161" s="13" t="s">
        <v>367</v>
      </c>
      <c r="C161" s="16">
        <f t="shared" si="10"/>
        <v>45809</v>
      </c>
      <c r="D161" t="s">
        <v>955</v>
      </c>
      <c r="E161" t="s">
        <v>962</v>
      </c>
      <c r="F161" t="s">
        <v>980</v>
      </c>
      <c r="G161" t="s">
        <v>1004</v>
      </c>
      <c r="H161" t="s">
        <v>973</v>
      </c>
      <c r="I161">
        <v>300</v>
      </c>
      <c r="J161" s="3">
        <v>524.54</v>
      </c>
      <c r="K161" s="3">
        <v>157362</v>
      </c>
      <c r="L161">
        <v>631</v>
      </c>
      <c r="M161" t="s">
        <v>81</v>
      </c>
      <c r="N161" s="16">
        <f t="shared" si="11"/>
        <v>45839</v>
      </c>
      <c r="O161" t="s">
        <v>81</v>
      </c>
      <c r="P161" t="str">
        <f t="shared" si="12"/>
        <v>July 2025</v>
      </c>
      <c r="Q161" t="s">
        <v>966</v>
      </c>
      <c r="R161" s="8">
        <v>29620.16</v>
      </c>
      <c r="S161" s="8">
        <f t="shared" si="13"/>
        <v>186982.16</v>
      </c>
      <c r="T161" s="6">
        <f t="shared" si="14"/>
        <v>0</v>
      </c>
    </row>
    <row r="162" spans="1:20" x14ac:dyDescent="0.3">
      <c r="A162" t="s">
        <v>1217</v>
      </c>
      <c r="B162" s="13" t="s">
        <v>607</v>
      </c>
      <c r="C162" s="16">
        <f t="shared" si="10"/>
        <v>45992</v>
      </c>
      <c r="D162" t="s">
        <v>984</v>
      </c>
      <c r="E162" t="s">
        <v>33</v>
      </c>
      <c r="F162" t="s">
        <v>963</v>
      </c>
      <c r="G162" t="s">
        <v>1040</v>
      </c>
      <c r="H162" t="s">
        <v>965</v>
      </c>
      <c r="I162">
        <v>387</v>
      </c>
      <c r="J162" s="3">
        <v>48.8</v>
      </c>
      <c r="K162" s="3">
        <v>18885.599999999999</v>
      </c>
      <c r="L162">
        <v>266</v>
      </c>
      <c r="M162" t="s">
        <v>361</v>
      </c>
      <c r="N162" s="16">
        <f t="shared" si="11"/>
        <v>45992</v>
      </c>
      <c r="O162" t="s">
        <v>656</v>
      </c>
      <c r="P162" t="str">
        <f t="shared" si="12"/>
        <v>December 2025</v>
      </c>
      <c r="Q162" t="s">
        <v>959</v>
      </c>
      <c r="R162" s="8">
        <v>15884.68</v>
      </c>
      <c r="S162" s="8">
        <f t="shared" si="13"/>
        <v>34770.28</v>
      </c>
      <c r="T162" s="6">
        <f t="shared" si="14"/>
        <v>3</v>
      </c>
    </row>
    <row r="163" spans="1:20" x14ac:dyDescent="0.3">
      <c r="A163" t="s">
        <v>1218</v>
      </c>
      <c r="B163" s="13" t="s">
        <v>1092</v>
      </c>
      <c r="C163" s="16">
        <f t="shared" si="10"/>
        <v>45717</v>
      </c>
      <c r="D163" t="s">
        <v>955</v>
      </c>
      <c r="E163" t="s">
        <v>990</v>
      </c>
      <c r="F163" t="s">
        <v>956</v>
      </c>
      <c r="G163" t="s">
        <v>985</v>
      </c>
      <c r="H163" t="s">
        <v>958</v>
      </c>
      <c r="I163">
        <v>1044</v>
      </c>
      <c r="J163" s="3">
        <v>391.3</v>
      </c>
      <c r="K163" s="3">
        <v>408517.2</v>
      </c>
      <c r="L163">
        <v>551</v>
      </c>
      <c r="M163" t="s">
        <v>1184</v>
      </c>
      <c r="N163" s="16">
        <f t="shared" si="11"/>
        <v>45717</v>
      </c>
      <c r="O163" t="s">
        <v>1184</v>
      </c>
      <c r="P163" t="str">
        <f t="shared" si="12"/>
        <v>March 2025</v>
      </c>
      <c r="Q163" t="s">
        <v>966</v>
      </c>
      <c r="R163" s="8">
        <v>20887.09</v>
      </c>
      <c r="S163" s="8">
        <f t="shared" si="13"/>
        <v>429404.29000000004</v>
      </c>
      <c r="T163" s="6">
        <f t="shared" si="14"/>
        <v>0</v>
      </c>
    </row>
    <row r="164" spans="1:20" x14ac:dyDescent="0.3">
      <c r="A164" t="s">
        <v>1219</v>
      </c>
      <c r="B164" s="13" t="s">
        <v>246</v>
      </c>
      <c r="C164" s="16">
        <f t="shared" si="10"/>
        <v>45901</v>
      </c>
      <c r="D164" t="s">
        <v>961</v>
      </c>
      <c r="E164" t="s">
        <v>49</v>
      </c>
      <c r="F164" t="s">
        <v>980</v>
      </c>
      <c r="G164" t="s">
        <v>994</v>
      </c>
      <c r="H164" t="s">
        <v>1018</v>
      </c>
      <c r="I164">
        <v>1122</v>
      </c>
      <c r="J164" s="3">
        <v>527.92999999999995</v>
      </c>
      <c r="K164" s="3">
        <v>592337.46</v>
      </c>
      <c r="L164">
        <v>207</v>
      </c>
      <c r="M164" t="s">
        <v>859</v>
      </c>
      <c r="N164" s="16">
        <f t="shared" si="11"/>
        <v>45901</v>
      </c>
      <c r="O164" t="s">
        <v>859</v>
      </c>
      <c r="P164" t="str">
        <f t="shared" si="12"/>
        <v>September 2025</v>
      </c>
      <c r="Q164" t="s">
        <v>966</v>
      </c>
      <c r="R164" s="8">
        <v>8705.4</v>
      </c>
      <c r="S164" s="8">
        <f t="shared" si="13"/>
        <v>601042.86</v>
      </c>
      <c r="T164" s="6">
        <f t="shared" si="14"/>
        <v>0</v>
      </c>
    </row>
    <row r="165" spans="1:20" x14ac:dyDescent="0.3">
      <c r="A165" t="s">
        <v>1220</v>
      </c>
      <c r="B165" s="13" t="s">
        <v>1074</v>
      </c>
      <c r="C165" s="16">
        <f t="shared" si="10"/>
        <v>45992</v>
      </c>
      <c r="D165" t="s">
        <v>968</v>
      </c>
      <c r="E165" t="s">
        <v>43</v>
      </c>
      <c r="F165" t="s">
        <v>971</v>
      </c>
      <c r="G165" t="s">
        <v>1221</v>
      </c>
      <c r="H165" t="s">
        <v>1034</v>
      </c>
      <c r="I165">
        <v>1179</v>
      </c>
      <c r="J165" s="3">
        <v>603.37</v>
      </c>
      <c r="K165" s="3">
        <v>711373.23</v>
      </c>
      <c r="L165">
        <v>45</v>
      </c>
      <c r="M165" t="s">
        <v>490</v>
      </c>
      <c r="N165" s="16">
        <f t="shared" si="11"/>
        <v>45992</v>
      </c>
      <c r="O165" t="s">
        <v>1074</v>
      </c>
      <c r="P165" t="str">
        <f t="shared" si="12"/>
        <v>December 2025</v>
      </c>
      <c r="Q165" t="s">
        <v>966</v>
      </c>
      <c r="R165" s="8">
        <v>2573.5700000000002</v>
      </c>
      <c r="S165" s="8">
        <f t="shared" si="13"/>
        <v>713946.79999999993</v>
      </c>
      <c r="T165" s="6">
        <f t="shared" si="14"/>
        <v>-1</v>
      </c>
    </row>
    <row r="166" spans="1:20" x14ac:dyDescent="0.3">
      <c r="A166" t="s">
        <v>1222</v>
      </c>
      <c r="B166" s="13" t="s">
        <v>105</v>
      </c>
      <c r="C166" s="16">
        <f t="shared" si="10"/>
        <v>45689</v>
      </c>
      <c r="D166" t="s">
        <v>1021</v>
      </c>
      <c r="E166" t="s">
        <v>962</v>
      </c>
      <c r="F166" t="s">
        <v>980</v>
      </c>
      <c r="G166" t="s">
        <v>1057</v>
      </c>
      <c r="H166" t="s">
        <v>958</v>
      </c>
      <c r="I166">
        <v>1224</v>
      </c>
      <c r="J166" s="3">
        <v>98.13</v>
      </c>
      <c r="K166" s="3">
        <v>120111.12</v>
      </c>
      <c r="L166">
        <v>289</v>
      </c>
      <c r="M166" t="s">
        <v>53</v>
      </c>
      <c r="N166" s="16">
        <f t="shared" si="11"/>
        <v>45689</v>
      </c>
      <c r="O166" t="s">
        <v>476</v>
      </c>
      <c r="P166" t="str">
        <f t="shared" si="12"/>
        <v>February 2025</v>
      </c>
      <c r="Q166" t="s">
        <v>959</v>
      </c>
      <c r="R166" s="8">
        <v>16949</v>
      </c>
      <c r="S166" s="8">
        <f t="shared" si="13"/>
        <v>137060.12</v>
      </c>
      <c r="T166" s="6">
        <f t="shared" si="14"/>
        <v>3</v>
      </c>
    </row>
    <row r="167" spans="1:20" x14ac:dyDescent="0.3">
      <c r="A167" t="s">
        <v>1223</v>
      </c>
      <c r="B167" s="13" t="s">
        <v>330</v>
      </c>
      <c r="C167" s="16">
        <f t="shared" si="10"/>
        <v>45992</v>
      </c>
      <c r="D167" t="s">
        <v>1003</v>
      </c>
      <c r="E167" t="s">
        <v>962</v>
      </c>
      <c r="F167" t="s">
        <v>980</v>
      </c>
      <c r="G167" t="s">
        <v>976</v>
      </c>
      <c r="H167" t="s">
        <v>965</v>
      </c>
      <c r="I167">
        <v>1525</v>
      </c>
      <c r="J167" s="3">
        <v>406.58</v>
      </c>
      <c r="K167" s="3">
        <v>620034.5</v>
      </c>
      <c r="L167">
        <v>596</v>
      </c>
      <c r="M167" t="s">
        <v>1133</v>
      </c>
      <c r="N167" s="16">
        <f t="shared" si="11"/>
        <v>46023</v>
      </c>
      <c r="O167" t="s">
        <v>1134</v>
      </c>
      <c r="P167" t="str">
        <f t="shared" si="12"/>
        <v>January 2026</v>
      </c>
      <c r="Q167" t="s">
        <v>959</v>
      </c>
      <c r="R167" s="8">
        <v>30274.93</v>
      </c>
      <c r="S167" s="8">
        <f t="shared" si="13"/>
        <v>650309.43000000005</v>
      </c>
      <c r="T167" s="6">
        <f t="shared" si="14"/>
        <v>2</v>
      </c>
    </row>
    <row r="168" spans="1:20" x14ac:dyDescent="0.3">
      <c r="A168" t="s">
        <v>1224</v>
      </c>
      <c r="B168" s="13" t="s">
        <v>94</v>
      </c>
      <c r="C168" s="16">
        <f t="shared" si="10"/>
        <v>45778</v>
      </c>
      <c r="D168" t="s">
        <v>955</v>
      </c>
      <c r="E168" t="s">
        <v>49</v>
      </c>
      <c r="F168" t="s">
        <v>971</v>
      </c>
      <c r="G168" t="s">
        <v>1042</v>
      </c>
      <c r="H168" t="s">
        <v>992</v>
      </c>
      <c r="I168">
        <v>429</v>
      </c>
      <c r="J168" s="3">
        <v>802.24</v>
      </c>
      <c r="K168" s="3">
        <v>344160.96</v>
      </c>
      <c r="L168">
        <v>603</v>
      </c>
      <c r="M168" t="s">
        <v>334</v>
      </c>
      <c r="N168" s="16">
        <f t="shared" si="11"/>
        <v>45778</v>
      </c>
      <c r="O168" t="s">
        <v>334</v>
      </c>
      <c r="P168" t="str">
        <f t="shared" si="12"/>
        <v>May 2025</v>
      </c>
      <c r="Q168" t="s">
        <v>966</v>
      </c>
      <c r="R168" s="8">
        <v>35267.14</v>
      </c>
      <c r="S168" s="8">
        <f t="shared" si="13"/>
        <v>379428.10000000003</v>
      </c>
      <c r="T168" s="6">
        <f t="shared" si="14"/>
        <v>0</v>
      </c>
    </row>
    <row r="169" spans="1:20" x14ac:dyDescent="0.3">
      <c r="A169" t="s">
        <v>1225</v>
      </c>
      <c r="B169" s="13" t="s">
        <v>74</v>
      </c>
      <c r="C169" s="16">
        <f t="shared" si="10"/>
        <v>45689</v>
      </c>
      <c r="D169" t="s">
        <v>1003</v>
      </c>
      <c r="E169" t="s">
        <v>962</v>
      </c>
      <c r="F169" t="s">
        <v>980</v>
      </c>
      <c r="G169" t="s">
        <v>1098</v>
      </c>
      <c r="H169" t="s">
        <v>1018</v>
      </c>
      <c r="I169">
        <v>2297</v>
      </c>
      <c r="J169" s="3">
        <v>464.29</v>
      </c>
      <c r="K169" s="3">
        <v>1066474.1299999999</v>
      </c>
      <c r="L169">
        <v>349</v>
      </c>
      <c r="M169" t="s">
        <v>182</v>
      </c>
      <c r="N169" s="16">
        <f t="shared" si="11"/>
        <v>45689</v>
      </c>
      <c r="O169" t="s">
        <v>1226</v>
      </c>
      <c r="P169" t="str">
        <f t="shared" si="12"/>
        <v>February 2025</v>
      </c>
      <c r="Q169" t="s">
        <v>959</v>
      </c>
      <c r="R169" s="8">
        <v>20316.05</v>
      </c>
      <c r="S169" s="8">
        <f t="shared" si="13"/>
        <v>1086790.18</v>
      </c>
      <c r="T169" s="6">
        <f t="shared" si="14"/>
        <v>3</v>
      </c>
    </row>
    <row r="170" spans="1:20" x14ac:dyDescent="0.3">
      <c r="A170" t="s">
        <v>1227</v>
      </c>
      <c r="B170" s="13" t="s">
        <v>802</v>
      </c>
      <c r="C170" s="16">
        <f t="shared" si="10"/>
        <v>45778</v>
      </c>
      <c r="D170" t="s">
        <v>961</v>
      </c>
      <c r="E170" t="s">
        <v>990</v>
      </c>
      <c r="F170" t="s">
        <v>971</v>
      </c>
      <c r="G170" t="s">
        <v>1045</v>
      </c>
      <c r="H170" t="s">
        <v>982</v>
      </c>
      <c r="I170">
        <v>985</v>
      </c>
      <c r="J170" s="3">
        <v>691.78</v>
      </c>
      <c r="K170" s="3">
        <v>681403.3</v>
      </c>
      <c r="L170">
        <v>661</v>
      </c>
      <c r="M170" t="s">
        <v>336</v>
      </c>
      <c r="N170" s="16">
        <f t="shared" si="11"/>
        <v>45809</v>
      </c>
      <c r="O170" t="s">
        <v>336</v>
      </c>
      <c r="P170" t="str">
        <f t="shared" si="12"/>
        <v>June 2025</v>
      </c>
      <c r="Q170" t="s">
        <v>966</v>
      </c>
      <c r="R170" s="8">
        <v>36188.19</v>
      </c>
      <c r="S170" s="8">
        <f t="shared" si="13"/>
        <v>717591.49</v>
      </c>
      <c r="T170" s="6">
        <f t="shared" si="14"/>
        <v>0</v>
      </c>
    </row>
    <row r="171" spans="1:20" x14ac:dyDescent="0.3">
      <c r="A171" t="s">
        <v>1228</v>
      </c>
      <c r="B171" s="13" t="s">
        <v>64</v>
      </c>
      <c r="C171" s="16">
        <f t="shared" si="10"/>
        <v>45931</v>
      </c>
      <c r="D171" t="s">
        <v>975</v>
      </c>
      <c r="E171" t="s">
        <v>987</v>
      </c>
      <c r="F171" t="s">
        <v>963</v>
      </c>
      <c r="G171" t="s">
        <v>1068</v>
      </c>
      <c r="H171" t="s">
        <v>982</v>
      </c>
      <c r="I171">
        <v>2397</v>
      </c>
      <c r="J171" s="3">
        <v>303.77999999999997</v>
      </c>
      <c r="K171" s="3">
        <v>728160.66</v>
      </c>
      <c r="L171">
        <v>698</v>
      </c>
      <c r="M171" t="s">
        <v>275</v>
      </c>
      <c r="N171" s="16">
        <f t="shared" si="11"/>
        <v>45931</v>
      </c>
      <c r="O171" t="s">
        <v>275</v>
      </c>
      <c r="P171" t="str">
        <f t="shared" si="12"/>
        <v>October 2025</v>
      </c>
      <c r="Q171" t="s">
        <v>966</v>
      </c>
      <c r="R171" s="8">
        <v>26546.15</v>
      </c>
      <c r="S171" s="8">
        <f t="shared" si="13"/>
        <v>754706.81</v>
      </c>
      <c r="T171" s="6">
        <f t="shared" si="14"/>
        <v>0</v>
      </c>
    </row>
    <row r="172" spans="1:20" x14ac:dyDescent="0.3">
      <c r="A172" t="s">
        <v>1229</v>
      </c>
      <c r="B172" s="13" t="s">
        <v>466</v>
      </c>
      <c r="C172" s="16">
        <f t="shared" si="10"/>
        <v>45717</v>
      </c>
      <c r="D172" t="s">
        <v>1021</v>
      </c>
      <c r="E172" t="s">
        <v>49</v>
      </c>
      <c r="F172" t="s">
        <v>963</v>
      </c>
      <c r="G172" t="s">
        <v>996</v>
      </c>
      <c r="H172" t="s">
        <v>977</v>
      </c>
      <c r="I172">
        <v>1973</v>
      </c>
      <c r="J172" s="3">
        <v>519.38</v>
      </c>
      <c r="K172" s="3">
        <v>1024736.74</v>
      </c>
      <c r="L172">
        <v>618</v>
      </c>
      <c r="M172" t="s">
        <v>1137</v>
      </c>
      <c r="N172" s="16">
        <f t="shared" si="11"/>
        <v>45717</v>
      </c>
      <c r="O172" t="s">
        <v>1137</v>
      </c>
      <c r="P172" t="str">
        <f t="shared" si="12"/>
        <v>March 2025</v>
      </c>
      <c r="Q172" t="s">
        <v>966</v>
      </c>
      <c r="R172" s="8">
        <v>29111.3</v>
      </c>
      <c r="S172" s="8">
        <f t="shared" si="13"/>
        <v>1053848.04</v>
      </c>
      <c r="T172" s="6">
        <f t="shared" si="14"/>
        <v>0</v>
      </c>
    </row>
    <row r="173" spans="1:20" x14ac:dyDescent="0.3">
      <c r="A173" t="s">
        <v>1230</v>
      </c>
      <c r="B173" s="13" t="s">
        <v>522</v>
      </c>
      <c r="C173" s="16">
        <f t="shared" si="10"/>
        <v>45839</v>
      </c>
      <c r="D173" t="s">
        <v>955</v>
      </c>
      <c r="E173" t="s">
        <v>987</v>
      </c>
      <c r="F173" t="s">
        <v>956</v>
      </c>
      <c r="G173" t="s">
        <v>1132</v>
      </c>
      <c r="H173" t="s">
        <v>965</v>
      </c>
      <c r="I173">
        <v>2164</v>
      </c>
      <c r="J173" s="3">
        <v>616.28</v>
      </c>
      <c r="K173" s="3">
        <v>1333629.92</v>
      </c>
      <c r="L173">
        <v>679</v>
      </c>
      <c r="M173" t="s">
        <v>98</v>
      </c>
      <c r="N173" s="16">
        <f t="shared" si="11"/>
        <v>45839</v>
      </c>
      <c r="O173" t="s">
        <v>326</v>
      </c>
      <c r="P173" t="str">
        <f t="shared" si="12"/>
        <v>July 2025</v>
      </c>
      <c r="Q173" t="s">
        <v>959</v>
      </c>
      <c r="R173" s="8">
        <v>28190.77</v>
      </c>
      <c r="S173" s="8">
        <f t="shared" si="13"/>
        <v>1361820.69</v>
      </c>
      <c r="T173" s="6">
        <f t="shared" si="14"/>
        <v>4</v>
      </c>
    </row>
    <row r="174" spans="1:20" x14ac:dyDescent="0.3">
      <c r="A174" t="s">
        <v>1231</v>
      </c>
      <c r="B174" s="13" t="s">
        <v>552</v>
      </c>
      <c r="C174" s="16">
        <f t="shared" si="10"/>
        <v>45748</v>
      </c>
      <c r="D174" t="s">
        <v>1021</v>
      </c>
      <c r="E174" t="s">
        <v>43</v>
      </c>
      <c r="F174" t="s">
        <v>963</v>
      </c>
      <c r="G174" t="s">
        <v>981</v>
      </c>
      <c r="H174" t="str">
        <f xml:space="preserve"> "Not Found"</f>
        <v>Not Found</v>
      </c>
      <c r="I174">
        <v>692</v>
      </c>
      <c r="J174" s="3">
        <v>124.14</v>
      </c>
      <c r="K174" s="3">
        <v>85904.88</v>
      </c>
      <c r="L174">
        <v>536</v>
      </c>
      <c r="M174" t="s">
        <v>340</v>
      </c>
      <c r="N174" s="16">
        <f t="shared" si="11"/>
        <v>45748</v>
      </c>
      <c r="O174" t="s">
        <v>1147</v>
      </c>
      <c r="P174" t="str">
        <f t="shared" si="12"/>
        <v>April 2025</v>
      </c>
      <c r="Q174" t="s">
        <v>959</v>
      </c>
      <c r="R174" s="8">
        <v>23614.57</v>
      </c>
      <c r="S174" s="8">
        <f t="shared" si="13"/>
        <v>109519.45000000001</v>
      </c>
      <c r="T174" s="6">
        <f t="shared" si="14"/>
        <v>2</v>
      </c>
    </row>
    <row r="175" spans="1:20" x14ac:dyDescent="0.3">
      <c r="A175" t="s">
        <v>1232</v>
      </c>
      <c r="B175" s="13" t="s">
        <v>1233</v>
      </c>
      <c r="C175" s="16">
        <f t="shared" si="10"/>
        <v>45717</v>
      </c>
      <c r="D175" t="s">
        <v>1021</v>
      </c>
      <c r="E175" t="s">
        <v>33</v>
      </c>
      <c r="F175" t="s">
        <v>980</v>
      </c>
      <c r="G175" t="s">
        <v>1038</v>
      </c>
      <c r="H175" t="s">
        <v>973</v>
      </c>
      <c r="I175">
        <v>80</v>
      </c>
      <c r="J175" s="3">
        <v>585.55999999999995</v>
      </c>
      <c r="K175" s="3">
        <v>46844.800000000003</v>
      </c>
      <c r="L175">
        <v>41</v>
      </c>
      <c r="M175" t="s">
        <v>120</v>
      </c>
      <c r="N175" s="16">
        <f t="shared" si="11"/>
        <v>45717</v>
      </c>
      <c r="O175" t="s">
        <v>120</v>
      </c>
      <c r="P175" t="str">
        <f t="shared" si="12"/>
        <v>March 2025</v>
      </c>
      <c r="Q175" t="s">
        <v>966</v>
      </c>
      <c r="R175" s="8">
        <v>1746.92</v>
      </c>
      <c r="S175" s="8">
        <f t="shared" si="13"/>
        <v>48591.72</v>
      </c>
      <c r="T175" s="6">
        <f t="shared" si="14"/>
        <v>0</v>
      </c>
    </row>
    <row r="176" spans="1:20" x14ac:dyDescent="0.3">
      <c r="A176" t="s">
        <v>1234</v>
      </c>
      <c r="B176" s="13" t="s">
        <v>650</v>
      </c>
      <c r="C176" s="16">
        <f t="shared" si="10"/>
        <v>45778</v>
      </c>
      <c r="D176" t="s">
        <v>975</v>
      </c>
      <c r="E176" t="s">
        <v>990</v>
      </c>
      <c r="F176" t="s">
        <v>971</v>
      </c>
      <c r="G176" t="s">
        <v>957</v>
      </c>
      <c r="H176" t="s">
        <v>1023</v>
      </c>
      <c r="I176">
        <v>1092</v>
      </c>
      <c r="J176" s="3">
        <v>259.52999999999997</v>
      </c>
      <c r="K176" s="3">
        <v>283406.76</v>
      </c>
      <c r="L176">
        <v>700</v>
      </c>
      <c r="M176" t="s">
        <v>219</v>
      </c>
      <c r="N176" s="16">
        <f t="shared" si="11"/>
        <v>45778</v>
      </c>
      <c r="O176" t="s">
        <v>219</v>
      </c>
      <c r="P176" t="str">
        <f t="shared" si="12"/>
        <v>May 2025</v>
      </c>
      <c r="Q176" t="s">
        <v>966</v>
      </c>
      <c r="R176" s="8">
        <v>31985.51</v>
      </c>
      <c r="S176" s="8">
        <f t="shared" si="13"/>
        <v>315392.27</v>
      </c>
      <c r="T176" s="6">
        <f t="shared" si="14"/>
        <v>0</v>
      </c>
    </row>
    <row r="177" spans="1:20" x14ac:dyDescent="0.3">
      <c r="A177" t="s">
        <v>1235</v>
      </c>
      <c r="B177" s="13" t="s">
        <v>522</v>
      </c>
      <c r="C177" s="16">
        <f t="shared" si="10"/>
        <v>45839</v>
      </c>
      <c r="D177" t="s">
        <v>955</v>
      </c>
      <c r="E177" t="s">
        <v>33</v>
      </c>
      <c r="F177" t="s">
        <v>956</v>
      </c>
      <c r="G177" t="s">
        <v>1004</v>
      </c>
      <c r="H177" t="s">
        <v>965</v>
      </c>
      <c r="I177">
        <v>148</v>
      </c>
      <c r="J177" s="3">
        <v>829.84</v>
      </c>
      <c r="K177" s="3">
        <v>122816.32000000001</v>
      </c>
      <c r="L177">
        <v>40</v>
      </c>
      <c r="M177" t="s">
        <v>532</v>
      </c>
      <c r="N177" s="16">
        <f t="shared" si="11"/>
        <v>45839</v>
      </c>
      <c r="O177" t="s">
        <v>522</v>
      </c>
      <c r="P177" t="str">
        <f t="shared" si="12"/>
        <v>July 2025</v>
      </c>
      <c r="Q177" t="s">
        <v>966</v>
      </c>
      <c r="R177" s="8">
        <v>2084.92</v>
      </c>
      <c r="S177" s="8">
        <f t="shared" si="13"/>
        <v>124901.24</v>
      </c>
      <c r="T177" s="6">
        <f t="shared" si="14"/>
        <v>-1</v>
      </c>
    </row>
    <row r="178" spans="1:20" x14ac:dyDescent="0.3">
      <c r="A178" t="s">
        <v>1236</v>
      </c>
      <c r="B178" s="13" t="s">
        <v>536</v>
      </c>
      <c r="C178" s="16">
        <f t="shared" si="10"/>
        <v>45962</v>
      </c>
      <c r="D178" t="s">
        <v>955</v>
      </c>
      <c r="E178" t="s">
        <v>33</v>
      </c>
      <c r="F178" t="s">
        <v>963</v>
      </c>
      <c r="G178" t="s">
        <v>1004</v>
      </c>
      <c r="H178" t="s">
        <v>982</v>
      </c>
      <c r="I178">
        <v>2167</v>
      </c>
      <c r="J178" s="3">
        <v>80.19</v>
      </c>
      <c r="K178" s="3">
        <v>173771.73</v>
      </c>
      <c r="L178">
        <v>259</v>
      </c>
      <c r="M178" t="s">
        <v>305</v>
      </c>
      <c r="N178" s="16">
        <f t="shared" si="11"/>
        <v>45962</v>
      </c>
      <c r="O178" t="s">
        <v>270</v>
      </c>
      <c r="P178" t="str">
        <f t="shared" si="12"/>
        <v>November 2025</v>
      </c>
      <c r="Q178" t="s">
        <v>959</v>
      </c>
      <c r="R178" s="8">
        <v>15507.16</v>
      </c>
      <c r="S178" s="8">
        <f t="shared" si="13"/>
        <v>189278.89</v>
      </c>
      <c r="T178" s="6">
        <f t="shared" si="14"/>
        <v>1</v>
      </c>
    </row>
    <row r="179" spans="1:20" x14ac:dyDescent="0.3">
      <c r="A179" t="s">
        <v>1237</v>
      </c>
      <c r="B179" s="13" t="s">
        <v>210</v>
      </c>
      <c r="C179" s="16">
        <f t="shared" si="10"/>
        <v>45931</v>
      </c>
      <c r="D179" t="s">
        <v>968</v>
      </c>
      <c r="E179" t="s">
        <v>43</v>
      </c>
      <c r="F179" t="s">
        <v>971</v>
      </c>
      <c r="G179" t="s">
        <v>1045</v>
      </c>
      <c r="H179" t="s">
        <v>958</v>
      </c>
      <c r="I179">
        <v>1122</v>
      </c>
      <c r="J179" s="3">
        <v>338.95</v>
      </c>
      <c r="K179" s="3">
        <v>380301.9</v>
      </c>
      <c r="L179">
        <v>426</v>
      </c>
      <c r="M179" t="s">
        <v>23</v>
      </c>
      <c r="N179" s="16">
        <f t="shared" si="11"/>
        <v>45931</v>
      </c>
      <c r="O179" t="s">
        <v>23</v>
      </c>
      <c r="P179" t="str">
        <f t="shared" si="12"/>
        <v>October 2025</v>
      </c>
      <c r="Q179" t="s">
        <v>966</v>
      </c>
      <c r="R179" s="8">
        <v>16759.82</v>
      </c>
      <c r="S179" s="8">
        <f t="shared" si="13"/>
        <v>397061.72000000003</v>
      </c>
      <c r="T179" s="6">
        <f t="shared" si="14"/>
        <v>0</v>
      </c>
    </row>
    <row r="180" spans="1:20" x14ac:dyDescent="0.3">
      <c r="A180" t="s">
        <v>1238</v>
      </c>
      <c r="B180" s="13" t="s">
        <v>918</v>
      </c>
      <c r="C180" s="16">
        <f t="shared" si="10"/>
        <v>45778</v>
      </c>
      <c r="D180" t="s">
        <v>1011</v>
      </c>
      <c r="E180" t="s">
        <v>33</v>
      </c>
      <c r="F180" t="s">
        <v>956</v>
      </c>
      <c r="G180" t="s">
        <v>1152</v>
      </c>
      <c r="H180" t="s">
        <v>982</v>
      </c>
      <c r="I180">
        <v>926</v>
      </c>
      <c r="J180" s="3">
        <v>708.14</v>
      </c>
      <c r="K180" s="3">
        <v>655737.64</v>
      </c>
      <c r="L180">
        <v>248</v>
      </c>
      <c r="M180" t="s">
        <v>334</v>
      </c>
      <c r="N180" s="16">
        <f t="shared" si="11"/>
        <v>45778</v>
      </c>
      <c r="O180" t="s">
        <v>462</v>
      </c>
      <c r="P180" t="str">
        <f t="shared" si="12"/>
        <v>June 2025</v>
      </c>
      <c r="Q180" t="s">
        <v>959</v>
      </c>
      <c r="R180" s="8">
        <v>10535.66</v>
      </c>
      <c r="S180" s="8">
        <f t="shared" si="13"/>
        <v>666273.30000000005</v>
      </c>
      <c r="T180" s="6">
        <f t="shared" si="14"/>
        <v>3</v>
      </c>
    </row>
    <row r="181" spans="1:20" x14ac:dyDescent="0.3">
      <c r="A181" t="s">
        <v>1239</v>
      </c>
      <c r="B181" s="13" t="s">
        <v>673</v>
      </c>
      <c r="C181" s="16">
        <f t="shared" si="10"/>
        <v>45962</v>
      </c>
      <c r="D181" t="s">
        <v>961</v>
      </c>
      <c r="E181" t="s">
        <v>962</v>
      </c>
      <c r="F181" t="s">
        <v>956</v>
      </c>
      <c r="G181" t="s">
        <v>957</v>
      </c>
      <c r="H181" t="s">
        <v>1018</v>
      </c>
      <c r="I181">
        <v>882</v>
      </c>
      <c r="J181" s="3">
        <v>81.2</v>
      </c>
      <c r="K181" s="3">
        <v>71618.399999999994</v>
      </c>
      <c r="L181">
        <v>448</v>
      </c>
      <c r="M181" t="s">
        <v>829</v>
      </c>
      <c r="N181" s="16">
        <f t="shared" si="11"/>
        <v>45962</v>
      </c>
      <c r="O181" t="s">
        <v>829</v>
      </c>
      <c r="P181" t="str">
        <f t="shared" si="12"/>
        <v>November 2025</v>
      </c>
      <c r="Q181" t="s">
        <v>966</v>
      </c>
      <c r="R181" s="8">
        <v>16519.66</v>
      </c>
      <c r="S181" s="8">
        <f t="shared" si="13"/>
        <v>88138.06</v>
      </c>
      <c r="T181" s="6">
        <f t="shared" si="14"/>
        <v>0</v>
      </c>
    </row>
    <row r="182" spans="1:20" x14ac:dyDescent="0.3">
      <c r="A182" t="s">
        <v>1240</v>
      </c>
      <c r="B182" s="13" t="s">
        <v>48</v>
      </c>
      <c r="C182" s="16">
        <f t="shared" si="10"/>
        <v>45901</v>
      </c>
      <c r="D182" t="s">
        <v>961</v>
      </c>
      <c r="E182" t="s">
        <v>49</v>
      </c>
      <c r="F182" t="s">
        <v>963</v>
      </c>
      <c r="G182" t="s">
        <v>1045</v>
      </c>
      <c r="H182" t="s">
        <v>958</v>
      </c>
      <c r="I182">
        <v>1823</v>
      </c>
      <c r="J182" s="3">
        <v>685.17</v>
      </c>
      <c r="K182" s="3">
        <v>1249064.9099999999</v>
      </c>
      <c r="L182">
        <v>104</v>
      </c>
      <c r="M182" t="s">
        <v>124</v>
      </c>
      <c r="N182" s="16">
        <f t="shared" si="11"/>
        <v>45901</v>
      </c>
      <c r="O182" t="s">
        <v>1241</v>
      </c>
      <c r="P182" t="str">
        <f t="shared" si="12"/>
        <v>September 2025</v>
      </c>
      <c r="Q182" t="s">
        <v>959</v>
      </c>
      <c r="R182" s="8">
        <v>5754.87</v>
      </c>
      <c r="S182" s="8">
        <f t="shared" si="13"/>
        <v>1254819.78</v>
      </c>
      <c r="T182" s="6">
        <f t="shared" si="14"/>
        <v>4</v>
      </c>
    </row>
    <row r="183" spans="1:20" x14ac:dyDescent="0.3">
      <c r="A183" t="s">
        <v>1242</v>
      </c>
      <c r="B183" s="13" t="s">
        <v>791</v>
      </c>
      <c r="C183" s="16">
        <f t="shared" si="10"/>
        <v>45839</v>
      </c>
      <c r="D183" t="s">
        <v>968</v>
      </c>
      <c r="E183" t="s">
        <v>990</v>
      </c>
      <c r="F183" t="s">
        <v>956</v>
      </c>
      <c r="G183" t="s">
        <v>1042</v>
      </c>
      <c r="H183" t="s">
        <v>992</v>
      </c>
      <c r="I183">
        <v>1662</v>
      </c>
      <c r="J183" s="3">
        <v>601.55999999999995</v>
      </c>
      <c r="K183" s="3">
        <v>999792.72</v>
      </c>
      <c r="L183">
        <v>564</v>
      </c>
      <c r="M183" t="s">
        <v>887</v>
      </c>
      <c r="N183" s="16">
        <f t="shared" si="11"/>
        <v>45839</v>
      </c>
      <c r="O183" t="s">
        <v>1002</v>
      </c>
      <c r="P183" t="str">
        <f t="shared" si="12"/>
        <v>July 2025</v>
      </c>
      <c r="Q183" t="s">
        <v>959</v>
      </c>
      <c r="R183" s="8">
        <v>26085.040000000001</v>
      </c>
      <c r="S183" s="8">
        <f t="shared" si="13"/>
        <v>1025877.76</v>
      </c>
      <c r="T183" s="6">
        <f t="shared" si="14"/>
        <v>1</v>
      </c>
    </row>
    <row r="184" spans="1:20" x14ac:dyDescent="0.3">
      <c r="A184" t="s">
        <v>1243</v>
      </c>
      <c r="B184" s="13" t="s">
        <v>456</v>
      </c>
      <c r="C184" s="16">
        <f t="shared" si="10"/>
        <v>45870</v>
      </c>
      <c r="D184" t="s">
        <v>1021</v>
      </c>
      <c r="E184" t="s">
        <v>987</v>
      </c>
      <c r="F184" t="s">
        <v>980</v>
      </c>
      <c r="G184" t="s">
        <v>1045</v>
      </c>
      <c r="H184" t="s">
        <v>958</v>
      </c>
      <c r="I184">
        <v>941</v>
      </c>
      <c r="J184" s="3">
        <v>745.31</v>
      </c>
      <c r="K184" s="3">
        <v>701336.71</v>
      </c>
      <c r="L184">
        <v>307</v>
      </c>
      <c r="M184" t="s">
        <v>31</v>
      </c>
      <c r="N184" s="16">
        <f t="shared" si="11"/>
        <v>45870</v>
      </c>
      <c r="O184" t="s">
        <v>31</v>
      </c>
      <c r="P184" t="str">
        <f t="shared" si="12"/>
        <v>August 2025</v>
      </c>
      <c r="Q184" t="s">
        <v>966</v>
      </c>
      <c r="R184" s="8">
        <v>18206.64</v>
      </c>
      <c r="S184" s="8">
        <f t="shared" si="13"/>
        <v>719543.35</v>
      </c>
      <c r="T184" s="6">
        <f t="shared" si="14"/>
        <v>0</v>
      </c>
    </row>
    <row r="185" spans="1:20" x14ac:dyDescent="0.3">
      <c r="A185" t="s">
        <v>1244</v>
      </c>
      <c r="B185" s="13" t="s">
        <v>1245</v>
      </c>
      <c r="C185" s="16">
        <f t="shared" si="10"/>
        <v>45809</v>
      </c>
      <c r="D185" t="s">
        <v>955</v>
      </c>
      <c r="E185" t="s">
        <v>33</v>
      </c>
      <c r="F185" t="s">
        <v>971</v>
      </c>
      <c r="G185" t="s">
        <v>988</v>
      </c>
      <c r="H185" t="s">
        <v>1034</v>
      </c>
      <c r="I185">
        <v>2217</v>
      </c>
      <c r="J185" s="3">
        <v>858.82</v>
      </c>
      <c r="K185" s="3">
        <v>1904003.94</v>
      </c>
      <c r="L185">
        <v>182</v>
      </c>
      <c r="M185" t="s">
        <v>506</v>
      </c>
      <c r="N185" s="16">
        <f t="shared" si="11"/>
        <v>45809</v>
      </c>
      <c r="O185" t="s">
        <v>441</v>
      </c>
      <c r="P185" t="str">
        <f t="shared" si="12"/>
        <v>June 2025</v>
      </c>
      <c r="Q185" t="s">
        <v>959</v>
      </c>
      <c r="R185" s="8">
        <v>7921.33</v>
      </c>
      <c r="S185" s="8">
        <f t="shared" si="13"/>
        <v>1911925.27</v>
      </c>
      <c r="T185" s="6">
        <f t="shared" si="14"/>
        <v>3</v>
      </c>
    </row>
    <row r="186" spans="1:20" x14ac:dyDescent="0.3">
      <c r="A186" t="s">
        <v>1246</v>
      </c>
      <c r="B186" s="13" t="s">
        <v>751</v>
      </c>
      <c r="C186" s="16">
        <f t="shared" si="10"/>
        <v>45870</v>
      </c>
      <c r="D186" t="s">
        <v>1003</v>
      </c>
      <c r="E186" t="s">
        <v>49</v>
      </c>
      <c r="F186" t="s">
        <v>963</v>
      </c>
      <c r="G186" t="s">
        <v>1152</v>
      </c>
      <c r="H186" t="s">
        <v>958</v>
      </c>
      <c r="I186">
        <v>406</v>
      </c>
      <c r="J186" s="3">
        <v>897.46</v>
      </c>
      <c r="K186" s="3">
        <v>364368.76</v>
      </c>
      <c r="L186">
        <v>595</v>
      </c>
      <c r="M186" t="s">
        <v>1144</v>
      </c>
      <c r="N186" s="16">
        <f t="shared" si="11"/>
        <v>45870</v>
      </c>
      <c r="O186" t="s">
        <v>377</v>
      </c>
      <c r="P186" t="str">
        <f t="shared" si="12"/>
        <v>August 2025</v>
      </c>
      <c r="Q186" t="s">
        <v>959</v>
      </c>
      <c r="R186" s="8">
        <v>31777.95</v>
      </c>
      <c r="S186" s="8">
        <f t="shared" si="13"/>
        <v>396146.71</v>
      </c>
      <c r="T186" s="6">
        <f t="shared" si="14"/>
        <v>2</v>
      </c>
    </row>
    <row r="187" spans="1:20" x14ac:dyDescent="0.3">
      <c r="A187" t="s">
        <v>1247</v>
      </c>
      <c r="B187" s="13" t="s">
        <v>704</v>
      </c>
      <c r="C187" s="16">
        <f t="shared" si="10"/>
        <v>45748</v>
      </c>
      <c r="D187" t="s">
        <v>961</v>
      </c>
      <c r="E187" t="s">
        <v>962</v>
      </c>
      <c r="F187" t="s">
        <v>980</v>
      </c>
      <c r="G187" t="s">
        <v>991</v>
      </c>
      <c r="H187" t="s">
        <v>973</v>
      </c>
      <c r="I187">
        <v>676</v>
      </c>
      <c r="J187" s="3">
        <v>661.95</v>
      </c>
      <c r="K187" s="3">
        <v>447478.2</v>
      </c>
      <c r="L187">
        <v>129</v>
      </c>
      <c r="M187" t="s">
        <v>486</v>
      </c>
      <c r="N187" s="16">
        <f t="shared" si="11"/>
        <v>45748</v>
      </c>
      <c r="O187" t="s">
        <v>486</v>
      </c>
      <c r="P187" t="str">
        <f t="shared" si="12"/>
        <v>April 2025</v>
      </c>
      <c r="Q187" t="s">
        <v>966</v>
      </c>
      <c r="R187" s="8">
        <v>6941.63</v>
      </c>
      <c r="S187" s="8">
        <f t="shared" si="13"/>
        <v>454419.83</v>
      </c>
      <c r="T187" s="6">
        <f t="shared" si="14"/>
        <v>0</v>
      </c>
    </row>
    <row r="188" spans="1:20" x14ac:dyDescent="0.3">
      <c r="A188" t="s">
        <v>1248</v>
      </c>
      <c r="B188" s="13" t="s">
        <v>418</v>
      </c>
      <c r="C188" s="16">
        <f t="shared" si="10"/>
        <v>45962</v>
      </c>
      <c r="D188" t="s">
        <v>975</v>
      </c>
      <c r="E188" t="s">
        <v>987</v>
      </c>
      <c r="F188" t="s">
        <v>971</v>
      </c>
      <c r="G188" t="s">
        <v>1078</v>
      </c>
      <c r="H188" t="s">
        <v>958</v>
      </c>
      <c r="I188">
        <v>1970</v>
      </c>
      <c r="J188" s="3">
        <v>206.55</v>
      </c>
      <c r="K188" s="3">
        <v>406903.5</v>
      </c>
      <c r="L188">
        <v>206</v>
      </c>
      <c r="M188" t="s">
        <v>169</v>
      </c>
      <c r="N188" s="16">
        <f t="shared" si="11"/>
        <v>45962</v>
      </c>
      <c r="O188" t="s">
        <v>418</v>
      </c>
      <c r="P188" t="str">
        <f t="shared" si="12"/>
        <v>November 2025</v>
      </c>
      <c r="Q188" t="s">
        <v>966</v>
      </c>
      <c r="R188" s="8">
        <v>8271.01</v>
      </c>
      <c r="S188" s="8">
        <f t="shared" si="13"/>
        <v>415174.51</v>
      </c>
      <c r="T188" s="6">
        <f t="shared" si="14"/>
        <v>-1</v>
      </c>
    </row>
    <row r="189" spans="1:20" x14ac:dyDescent="0.3">
      <c r="A189" t="s">
        <v>1249</v>
      </c>
      <c r="B189" s="13" t="s">
        <v>918</v>
      </c>
      <c r="C189" s="16">
        <f t="shared" si="10"/>
        <v>45778</v>
      </c>
      <c r="D189" t="s">
        <v>1021</v>
      </c>
      <c r="E189" t="s">
        <v>43</v>
      </c>
      <c r="F189" t="s">
        <v>963</v>
      </c>
      <c r="G189" t="s">
        <v>1015</v>
      </c>
      <c r="H189" t="s">
        <v>992</v>
      </c>
      <c r="I189">
        <v>1166</v>
      </c>
      <c r="J189" s="3">
        <v>840.31</v>
      </c>
      <c r="K189" s="3">
        <v>979801.46</v>
      </c>
      <c r="L189">
        <v>165</v>
      </c>
      <c r="M189" t="s">
        <v>334</v>
      </c>
      <c r="N189" s="16">
        <f t="shared" si="11"/>
        <v>45778</v>
      </c>
      <c r="O189" t="s">
        <v>336</v>
      </c>
      <c r="P189" t="str">
        <f t="shared" si="12"/>
        <v>June 2025</v>
      </c>
      <c r="Q189" t="s">
        <v>959</v>
      </c>
      <c r="R189" s="8">
        <v>7840.83</v>
      </c>
      <c r="S189" s="8">
        <f t="shared" si="13"/>
        <v>987642.28999999992</v>
      </c>
      <c r="T189" s="6">
        <f t="shared" si="14"/>
        <v>4</v>
      </c>
    </row>
    <row r="190" spans="1:20" x14ac:dyDescent="0.3">
      <c r="A190" t="s">
        <v>1250</v>
      </c>
      <c r="B190" s="13" t="s">
        <v>385</v>
      </c>
      <c r="C190" s="16">
        <f t="shared" si="10"/>
        <v>45689</v>
      </c>
      <c r="D190" t="s">
        <v>1003</v>
      </c>
      <c r="E190" t="s">
        <v>49</v>
      </c>
      <c r="F190" t="s">
        <v>956</v>
      </c>
      <c r="G190" t="s">
        <v>981</v>
      </c>
      <c r="H190" t="s">
        <v>958</v>
      </c>
      <c r="I190">
        <v>1113</v>
      </c>
      <c r="J190" s="3">
        <v>396.96</v>
      </c>
      <c r="K190" s="3">
        <v>441816.48</v>
      </c>
      <c r="L190">
        <v>232</v>
      </c>
      <c r="M190" t="s">
        <v>660</v>
      </c>
      <c r="N190" s="16">
        <f t="shared" si="11"/>
        <v>45689</v>
      </c>
      <c r="O190" t="s">
        <v>74</v>
      </c>
      <c r="P190" t="str">
        <f t="shared" si="12"/>
        <v>February 2025</v>
      </c>
      <c r="Q190" t="s">
        <v>959</v>
      </c>
      <c r="R190" s="8">
        <v>8375.7900000000009</v>
      </c>
      <c r="S190" s="8">
        <f t="shared" si="13"/>
        <v>450192.26999999996</v>
      </c>
      <c r="T190" s="6">
        <f t="shared" si="14"/>
        <v>2</v>
      </c>
    </row>
    <row r="191" spans="1:20" x14ac:dyDescent="0.3">
      <c r="A191" t="s">
        <v>1251</v>
      </c>
      <c r="B191" s="13" t="s">
        <v>871</v>
      </c>
      <c r="C191" s="16">
        <f t="shared" si="10"/>
        <v>45839</v>
      </c>
      <c r="D191" t="s">
        <v>961</v>
      </c>
      <c r="E191" t="s">
        <v>33</v>
      </c>
      <c r="F191" t="s">
        <v>963</v>
      </c>
      <c r="G191" t="s">
        <v>1057</v>
      </c>
      <c r="H191" t="s">
        <v>958</v>
      </c>
      <c r="I191">
        <v>1721</v>
      </c>
      <c r="J191" s="3">
        <v>217.03</v>
      </c>
      <c r="K191" s="3">
        <v>373508.63</v>
      </c>
      <c r="L191">
        <v>455</v>
      </c>
      <c r="M191" t="s">
        <v>534</v>
      </c>
      <c r="N191" s="16">
        <f t="shared" si="11"/>
        <v>45839</v>
      </c>
      <c r="O191" t="s">
        <v>908</v>
      </c>
      <c r="P191" t="str">
        <f t="shared" si="12"/>
        <v>July 2025</v>
      </c>
      <c r="Q191" t="s">
        <v>959</v>
      </c>
      <c r="R191" s="8">
        <v>24885.07</v>
      </c>
      <c r="S191" s="8">
        <f t="shared" si="13"/>
        <v>398393.7</v>
      </c>
      <c r="T191" s="6">
        <f t="shared" si="14"/>
        <v>1</v>
      </c>
    </row>
    <row r="192" spans="1:20" x14ac:dyDescent="0.3">
      <c r="A192" t="s">
        <v>1252</v>
      </c>
      <c r="B192" s="13" t="s">
        <v>254</v>
      </c>
      <c r="C192" s="16">
        <f t="shared" si="10"/>
        <v>45839</v>
      </c>
      <c r="D192" t="s">
        <v>984</v>
      </c>
      <c r="E192" t="s">
        <v>990</v>
      </c>
      <c r="F192" t="s">
        <v>956</v>
      </c>
      <c r="G192" t="s">
        <v>1057</v>
      </c>
      <c r="H192" t="s">
        <v>982</v>
      </c>
      <c r="I192">
        <v>919</v>
      </c>
      <c r="J192" s="3">
        <v>184.72</v>
      </c>
      <c r="K192" s="3">
        <v>169757.68</v>
      </c>
      <c r="L192">
        <v>547</v>
      </c>
      <c r="M192" t="s">
        <v>1127</v>
      </c>
      <c r="N192" s="16">
        <f t="shared" si="11"/>
        <v>45839</v>
      </c>
      <c r="O192" t="s">
        <v>1127</v>
      </c>
      <c r="P192" t="str">
        <f t="shared" si="12"/>
        <v>July 2025</v>
      </c>
      <c r="Q192" t="s">
        <v>966</v>
      </c>
      <c r="R192" s="8">
        <v>30586.58</v>
      </c>
      <c r="S192" s="8">
        <f t="shared" si="13"/>
        <v>200344.26</v>
      </c>
      <c r="T192" s="6">
        <f t="shared" si="14"/>
        <v>0</v>
      </c>
    </row>
    <row r="193" spans="1:20" x14ac:dyDescent="0.3">
      <c r="A193" t="s">
        <v>1253</v>
      </c>
      <c r="B193" s="13" t="s">
        <v>184</v>
      </c>
      <c r="C193" s="16">
        <f t="shared" si="10"/>
        <v>45901</v>
      </c>
      <c r="D193" t="s">
        <v>1021</v>
      </c>
      <c r="E193" t="s">
        <v>987</v>
      </c>
      <c r="F193" t="s">
        <v>980</v>
      </c>
      <c r="G193" t="s">
        <v>994</v>
      </c>
      <c r="H193" t="s">
        <v>1034</v>
      </c>
      <c r="I193">
        <v>861</v>
      </c>
      <c r="J193" s="3">
        <v>206.37</v>
      </c>
      <c r="K193" s="3">
        <v>177684.57</v>
      </c>
      <c r="L193">
        <v>508</v>
      </c>
      <c r="M193" t="s">
        <v>1254</v>
      </c>
      <c r="N193" s="16">
        <f t="shared" si="11"/>
        <v>45901</v>
      </c>
      <c r="O193" t="s">
        <v>921</v>
      </c>
      <c r="P193" t="str">
        <f t="shared" si="12"/>
        <v>September 2025</v>
      </c>
      <c r="Q193" t="s">
        <v>966</v>
      </c>
      <c r="R193" s="8">
        <v>30946.57</v>
      </c>
      <c r="S193" s="8">
        <f t="shared" si="13"/>
        <v>208631.14</v>
      </c>
      <c r="T193" s="6">
        <f t="shared" si="14"/>
        <v>-1</v>
      </c>
    </row>
    <row r="194" spans="1:20" x14ac:dyDescent="0.3">
      <c r="A194" t="s">
        <v>1255</v>
      </c>
      <c r="B194" s="13" t="s">
        <v>396</v>
      </c>
      <c r="C194" s="16">
        <f t="shared" si="10"/>
        <v>45809</v>
      </c>
      <c r="D194" t="s">
        <v>1021</v>
      </c>
      <c r="E194" t="s">
        <v>987</v>
      </c>
      <c r="F194" t="s">
        <v>963</v>
      </c>
      <c r="G194" t="s">
        <v>988</v>
      </c>
      <c r="H194" t="s">
        <v>973</v>
      </c>
      <c r="I194">
        <v>412</v>
      </c>
      <c r="J194" s="3">
        <v>347.16</v>
      </c>
      <c r="K194" s="3">
        <v>143029.92000000001</v>
      </c>
      <c r="L194">
        <v>707</v>
      </c>
      <c r="M194" t="s">
        <v>435</v>
      </c>
      <c r="N194" s="16">
        <f t="shared" si="11"/>
        <v>45809</v>
      </c>
      <c r="O194" t="s">
        <v>244</v>
      </c>
      <c r="P194" t="str">
        <f t="shared" si="12"/>
        <v>June 2025</v>
      </c>
      <c r="Q194" t="s">
        <v>959</v>
      </c>
      <c r="R194" s="8">
        <v>24861.26</v>
      </c>
      <c r="S194" s="8">
        <f t="shared" si="13"/>
        <v>167891.18000000002</v>
      </c>
      <c r="T194" s="6">
        <f t="shared" si="14"/>
        <v>3</v>
      </c>
    </row>
    <row r="195" spans="1:20" x14ac:dyDescent="0.3">
      <c r="A195" t="s">
        <v>1256</v>
      </c>
      <c r="B195" s="13" t="s">
        <v>158</v>
      </c>
      <c r="C195" s="16">
        <f t="shared" ref="C195:C258" si="15">DATE(YEAR(B195), MONTH(B195), 1)</f>
        <v>45992</v>
      </c>
      <c r="D195" t="s">
        <v>968</v>
      </c>
      <c r="E195" t="s">
        <v>962</v>
      </c>
      <c r="F195" t="s">
        <v>971</v>
      </c>
      <c r="G195" t="s">
        <v>1026</v>
      </c>
      <c r="H195" t="s">
        <v>982</v>
      </c>
      <c r="I195">
        <v>2335</v>
      </c>
      <c r="J195" s="3">
        <v>597.32000000000005</v>
      </c>
      <c r="K195" s="3">
        <v>1394742.2</v>
      </c>
      <c r="L195">
        <v>666</v>
      </c>
      <c r="M195" t="s">
        <v>88</v>
      </c>
      <c r="N195" s="16">
        <f t="shared" ref="N195:N258" si="16">DATE(YEAR(M195), MONTH(M195),1)</f>
        <v>45992</v>
      </c>
      <c r="O195" t="s">
        <v>361</v>
      </c>
      <c r="P195" t="str">
        <f t="shared" ref="P195:P258" si="17">TEXT(O195, "mmmm yyyy")</f>
        <v>December 2025</v>
      </c>
      <c r="Q195" t="s">
        <v>959</v>
      </c>
      <c r="R195" s="8">
        <v>34117.19</v>
      </c>
      <c r="S195" s="8">
        <f t="shared" ref="S195:S258" si="18">K195 +R195</f>
        <v>1428859.39</v>
      </c>
      <c r="T195" s="6">
        <f t="shared" si="14"/>
        <v>4</v>
      </c>
    </row>
    <row r="196" spans="1:20" x14ac:dyDescent="0.3">
      <c r="A196" t="s">
        <v>1257</v>
      </c>
      <c r="B196" s="13" t="s">
        <v>345</v>
      </c>
      <c r="C196" s="16">
        <f t="shared" si="15"/>
        <v>45658</v>
      </c>
      <c r="D196" t="s">
        <v>984</v>
      </c>
      <c r="E196" t="s">
        <v>987</v>
      </c>
      <c r="F196" t="s">
        <v>963</v>
      </c>
      <c r="G196" t="s">
        <v>985</v>
      </c>
      <c r="H196" t="s">
        <v>973</v>
      </c>
      <c r="I196">
        <v>925</v>
      </c>
      <c r="J196" s="3">
        <v>423.69</v>
      </c>
      <c r="K196" s="3">
        <v>391913.25</v>
      </c>
      <c r="L196">
        <v>586</v>
      </c>
      <c r="M196" t="s">
        <v>1118</v>
      </c>
      <c r="N196" s="16">
        <f t="shared" si="16"/>
        <v>45658</v>
      </c>
      <c r="O196" t="s">
        <v>307</v>
      </c>
      <c r="P196" t="str">
        <f t="shared" si="17"/>
        <v>January 2025</v>
      </c>
      <c r="Q196" t="s">
        <v>959</v>
      </c>
      <c r="R196" s="8">
        <v>21963.22</v>
      </c>
      <c r="S196" s="8">
        <f t="shared" si="18"/>
        <v>413876.47</v>
      </c>
      <c r="T196" s="6">
        <f t="shared" ref="T196:T259" si="19">O196 -M196</f>
        <v>2</v>
      </c>
    </row>
    <row r="197" spans="1:20" x14ac:dyDescent="0.3">
      <c r="A197" t="s">
        <v>1258</v>
      </c>
      <c r="B197" s="13" t="s">
        <v>254</v>
      </c>
      <c r="C197" s="16">
        <f t="shared" si="15"/>
        <v>45839</v>
      </c>
      <c r="D197" t="s">
        <v>968</v>
      </c>
      <c r="E197" t="s">
        <v>43</v>
      </c>
      <c r="F197" t="s">
        <v>956</v>
      </c>
      <c r="G197" t="s">
        <v>991</v>
      </c>
      <c r="H197" t="s">
        <v>958</v>
      </c>
      <c r="I197">
        <v>2084</v>
      </c>
      <c r="J197" s="3">
        <v>219.58</v>
      </c>
      <c r="K197" s="3">
        <v>457604.72</v>
      </c>
      <c r="L197">
        <v>47</v>
      </c>
      <c r="M197" t="s">
        <v>739</v>
      </c>
      <c r="N197" s="16">
        <f t="shared" si="16"/>
        <v>45839</v>
      </c>
      <c r="O197" t="s">
        <v>739</v>
      </c>
      <c r="P197" t="str">
        <f t="shared" si="17"/>
        <v>July 2025</v>
      </c>
      <c r="Q197" t="s">
        <v>966</v>
      </c>
      <c r="R197" s="8">
        <v>2675.27</v>
      </c>
      <c r="S197" s="8">
        <f t="shared" si="18"/>
        <v>460279.99</v>
      </c>
      <c r="T197" s="6">
        <f t="shared" si="19"/>
        <v>0</v>
      </c>
    </row>
    <row r="198" spans="1:20" x14ac:dyDescent="0.3">
      <c r="A198" t="s">
        <v>1259</v>
      </c>
      <c r="B198" s="13" t="s">
        <v>199</v>
      </c>
      <c r="C198" s="16">
        <f t="shared" si="15"/>
        <v>45689</v>
      </c>
      <c r="D198" t="s">
        <v>1003</v>
      </c>
      <c r="E198" t="s">
        <v>33</v>
      </c>
      <c r="F198" t="s">
        <v>971</v>
      </c>
      <c r="G198" t="s">
        <v>1042</v>
      </c>
      <c r="H198" t="s">
        <v>965</v>
      </c>
      <c r="I198">
        <v>2056</v>
      </c>
      <c r="J198" s="3">
        <v>676.64</v>
      </c>
      <c r="K198" s="3">
        <v>1391171.84</v>
      </c>
      <c r="L198">
        <v>214</v>
      </c>
      <c r="M198" t="s">
        <v>1233</v>
      </c>
      <c r="N198" s="16">
        <f t="shared" si="16"/>
        <v>45717</v>
      </c>
      <c r="O198" t="s">
        <v>484</v>
      </c>
      <c r="P198" t="str">
        <f t="shared" si="17"/>
        <v>March 2025</v>
      </c>
      <c r="Q198" t="s">
        <v>959</v>
      </c>
      <c r="R198" s="8">
        <v>9524.09</v>
      </c>
      <c r="S198" s="8">
        <f t="shared" si="18"/>
        <v>1400695.9300000002</v>
      </c>
      <c r="T198" s="6">
        <f t="shared" si="19"/>
        <v>3</v>
      </c>
    </row>
    <row r="199" spans="1:20" x14ac:dyDescent="0.3">
      <c r="A199" t="s">
        <v>1260</v>
      </c>
      <c r="B199" s="13" t="s">
        <v>61</v>
      </c>
      <c r="C199" s="16">
        <f t="shared" si="15"/>
        <v>45901</v>
      </c>
      <c r="D199" t="s">
        <v>961</v>
      </c>
      <c r="E199" t="s">
        <v>49</v>
      </c>
      <c r="F199" t="s">
        <v>971</v>
      </c>
      <c r="G199" t="s">
        <v>1040</v>
      </c>
      <c r="H199" t="s">
        <v>1023</v>
      </c>
      <c r="I199">
        <v>1367</v>
      </c>
      <c r="J199" s="3">
        <v>425.99</v>
      </c>
      <c r="K199" s="3">
        <v>582328.32999999996</v>
      </c>
      <c r="L199">
        <v>60</v>
      </c>
      <c r="M199" t="s">
        <v>721</v>
      </c>
      <c r="N199" s="16">
        <f t="shared" si="16"/>
        <v>45901</v>
      </c>
      <c r="O199" t="s">
        <v>154</v>
      </c>
      <c r="P199" t="str">
        <f t="shared" si="17"/>
        <v>September 2025</v>
      </c>
      <c r="Q199" t="s">
        <v>959</v>
      </c>
      <c r="R199" s="8">
        <v>2382.77</v>
      </c>
      <c r="S199" s="8">
        <f t="shared" si="18"/>
        <v>584711.1</v>
      </c>
      <c r="T199" s="6">
        <f t="shared" si="19"/>
        <v>2</v>
      </c>
    </row>
    <row r="200" spans="1:20" x14ac:dyDescent="0.3">
      <c r="A200" t="s">
        <v>1261</v>
      </c>
      <c r="B200" s="13" t="s">
        <v>503</v>
      </c>
      <c r="C200" s="16">
        <f t="shared" si="15"/>
        <v>45992</v>
      </c>
      <c r="D200" t="s">
        <v>955</v>
      </c>
      <c r="E200" t="s">
        <v>962</v>
      </c>
      <c r="F200" t="s">
        <v>980</v>
      </c>
      <c r="G200" t="s">
        <v>996</v>
      </c>
      <c r="H200" t="s">
        <v>1018</v>
      </c>
      <c r="I200">
        <v>2333</v>
      </c>
      <c r="J200" s="3">
        <v>498.49</v>
      </c>
      <c r="K200" s="3">
        <v>1162977.17</v>
      </c>
      <c r="L200">
        <v>139</v>
      </c>
      <c r="M200" t="s">
        <v>380</v>
      </c>
      <c r="N200" s="16">
        <f t="shared" si="16"/>
        <v>45992</v>
      </c>
      <c r="O200" t="s">
        <v>380</v>
      </c>
      <c r="P200" t="str">
        <f t="shared" si="17"/>
        <v>December 2025</v>
      </c>
      <c r="Q200" t="s">
        <v>966</v>
      </c>
      <c r="R200" s="8">
        <v>5103.4399999999996</v>
      </c>
      <c r="S200" s="8">
        <f t="shared" si="18"/>
        <v>1168080.6099999999</v>
      </c>
      <c r="T200" s="6">
        <f t="shared" si="19"/>
        <v>0</v>
      </c>
    </row>
    <row r="201" spans="1:20" x14ac:dyDescent="0.3">
      <c r="A201" t="s">
        <v>1262</v>
      </c>
      <c r="B201" s="13" t="s">
        <v>1263</v>
      </c>
      <c r="C201" s="16">
        <f t="shared" si="15"/>
        <v>45870</v>
      </c>
      <c r="D201" t="s">
        <v>968</v>
      </c>
      <c r="E201" t="s">
        <v>49</v>
      </c>
      <c r="F201" t="s">
        <v>956</v>
      </c>
      <c r="G201" t="s">
        <v>1057</v>
      </c>
      <c r="H201" t="s">
        <v>982</v>
      </c>
      <c r="I201">
        <v>1729</v>
      </c>
      <c r="J201" s="3">
        <v>139.63999999999999</v>
      </c>
      <c r="K201" s="3">
        <v>241437.56</v>
      </c>
      <c r="L201">
        <v>44</v>
      </c>
      <c r="M201" t="s">
        <v>896</v>
      </c>
      <c r="N201" s="16">
        <f t="shared" si="16"/>
        <v>45870</v>
      </c>
      <c r="O201" t="s">
        <v>1263</v>
      </c>
      <c r="P201" t="str">
        <f t="shared" si="17"/>
        <v>August 2025</v>
      </c>
      <c r="Q201" t="s">
        <v>966</v>
      </c>
      <c r="R201" s="8">
        <v>2502.0100000000002</v>
      </c>
      <c r="S201" s="8">
        <f t="shared" si="18"/>
        <v>243939.57</v>
      </c>
      <c r="T201" s="6">
        <f t="shared" si="19"/>
        <v>-1</v>
      </c>
    </row>
    <row r="202" spans="1:20" x14ac:dyDescent="0.3">
      <c r="A202" t="s">
        <v>1264</v>
      </c>
      <c r="B202" s="13" t="s">
        <v>473</v>
      </c>
      <c r="C202" s="16">
        <f t="shared" si="15"/>
        <v>45689</v>
      </c>
      <c r="D202" t="s">
        <v>1011</v>
      </c>
      <c r="E202" t="s">
        <v>987</v>
      </c>
      <c r="F202" t="s">
        <v>956</v>
      </c>
      <c r="G202" t="s">
        <v>981</v>
      </c>
      <c r="H202" t="s">
        <v>977</v>
      </c>
      <c r="I202">
        <v>2001</v>
      </c>
      <c r="J202" s="3">
        <v>165.89</v>
      </c>
      <c r="K202" s="3">
        <v>331945.89</v>
      </c>
      <c r="L202">
        <v>673</v>
      </c>
      <c r="M202" t="s">
        <v>754</v>
      </c>
      <c r="N202" s="16">
        <f t="shared" si="16"/>
        <v>45689</v>
      </c>
      <c r="O202" t="s">
        <v>152</v>
      </c>
      <c r="P202" t="str">
        <f t="shared" si="17"/>
        <v>February 2025</v>
      </c>
      <c r="Q202" t="s">
        <v>959</v>
      </c>
      <c r="R202" s="8">
        <v>24698.5</v>
      </c>
      <c r="S202" s="8">
        <f t="shared" si="18"/>
        <v>356644.39</v>
      </c>
      <c r="T202" s="6">
        <f t="shared" si="19"/>
        <v>2</v>
      </c>
    </row>
    <row r="203" spans="1:20" x14ac:dyDescent="0.3">
      <c r="A203" t="s">
        <v>1265</v>
      </c>
      <c r="B203" s="13" t="s">
        <v>289</v>
      </c>
      <c r="C203" s="16">
        <f t="shared" si="15"/>
        <v>45870</v>
      </c>
      <c r="D203" t="s">
        <v>1003</v>
      </c>
      <c r="E203" t="s">
        <v>33</v>
      </c>
      <c r="F203" t="s">
        <v>963</v>
      </c>
      <c r="G203" t="s">
        <v>1051</v>
      </c>
      <c r="H203" t="s">
        <v>973</v>
      </c>
      <c r="I203">
        <v>2364</v>
      </c>
      <c r="J203" s="3">
        <v>222.61</v>
      </c>
      <c r="K203" s="3">
        <v>526250.04</v>
      </c>
      <c r="L203">
        <v>658</v>
      </c>
      <c r="M203" t="s">
        <v>1266</v>
      </c>
      <c r="N203" s="16">
        <f t="shared" si="16"/>
        <v>45870</v>
      </c>
      <c r="O203" t="s">
        <v>1266</v>
      </c>
      <c r="P203" t="str">
        <f t="shared" si="17"/>
        <v>August 2025</v>
      </c>
      <c r="Q203" t="s">
        <v>966</v>
      </c>
      <c r="R203" s="8">
        <v>31041.57</v>
      </c>
      <c r="S203" s="8">
        <f t="shared" si="18"/>
        <v>557291.61</v>
      </c>
      <c r="T203" s="6">
        <f t="shared" si="19"/>
        <v>0</v>
      </c>
    </row>
    <row r="204" spans="1:20" x14ac:dyDescent="0.3">
      <c r="A204" t="s">
        <v>1267</v>
      </c>
      <c r="B204" s="13" t="s">
        <v>908</v>
      </c>
      <c r="C204" s="16">
        <f t="shared" si="15"/>
        <v>45839</v>
      </c>
      <c r="D204" t="s">
        <v>1011</v>
      </c>
      <c r="E204" t="s">
        <v>962</v>
      </c>
      <c r="F204" t="s">
        <v>971</v>
      </c>
      <c r="G204" t="s">
        <v>1068</v>
      </c>
      <c r="H204" t="s">
        <v>992</v>
      </c>
      <c r="I204">
        <v>1454</v>
      </c>
      <c r="J204" s="3">
        <v>899.03</v>
      </c>
      <c r="K204" s="3">
        <v>1307189.6200000001</v>
      </c>
      <c r="L204">
        <v>550</v>
      </c>
      <c r="M204" t="s">
        <v>791</v>
      </c>
      <c r="N204" s="16">
        <f t="shared" si="16"/>
        <v>45839</v>
      </c>
      <c r="O204" t="s">
        <v>791</v>
      </c>
      <c r="P204" t="str">
        <f t="shared" si="17"/>
        <v>July 2025</v>
      </c>
      <c r="Q204" t="s">
        <v>966</v>
      </c>
      <c r="R204" s="8">
        <v>24687.42</v>
      </c>
      <c r="S204" s="8">
        <f t="shared" si="18"/>
        <v>1331877.04</v>
      </c>
      <c r="T204" s="6">
        <f t="shared" si="19"/>
        <v>0</v>
      </c>
    </row>
    <row r="205" spans="1:20" x14ac:dyDescent="0.3">
      <c r="A205" t="s">
        <v>1268</v>
      </c>
      <c r="B205" s="13" t="s">
        <v>291</v>
      </c>
      <c r="C205" s="16">
        <f t="shared" si="15"/>
        <v>45658</v>
      </c>
      <c r="D205" t="s">
        <v>1003</v>
      </c>
      <c r="E205" t="s">
        <v>962</v>
      </c>
      <c r="F205" t="s">
        <v>963</v>
      </c>
      <c r="G205" t="s">
        <v>1015</v>
      </c>
      <c r="H205" t="s">
        <v>1023</v>
      </c>
      <c r="I205">
        <v>2216</v>
      </c>
      <c r="J205" s="3">
        <v>825.26</v>
      </c>
      <c r="K205" s="3">
        <v>1828776.16</v>
      </c>
      <c r="L205">
        <v>560</v>
      </c>
      <c r="M205" t="s">
        <v>258</v>
      </c>
      <c r="N205" s="16">
        <f t="shared" si="16"/>
        <v>45658</v>
      </c>
      <c r="O205" t="s">
        <v>258</v>
      </c>
      <c r="P205" t="str">
        <f t="shared" si="17"/>
        <v>January 2025</v>
      </c>
      <c r="Q205" t="s">
        <v>966</v>
      </c>
      <c r="R205" s="8">
        <v>30877.78</v>
      </c>
      <c r="S205" s="8">
        <f t="shared" si="18"/>
        <v>1859653.94</v>
      </c>
      <c r="T205" s="6">
        <f t="shared" si="19"/>
        <v>0</v>
      </c>
    </row>
    <row r="206" spans="1:20" x14ac:dyDescent="0.3">
      <c r="A206" t="s">
        <v>1269</v>
      </c>
      <c r="B206" s="13" t="s">
        <v>81</v>
      </c>
      <c r="C206" s="16">
        <f t="shared" si="15"/>
        <v>45839</v>
      </c>
      <c r="D206" t="s">
        <v>984</v>
      </c>
      <c r="E206" t="s">
        <v>987</v>
      </c>
      <c r="F206" t="s">
        <v>956</v>
      </c>
      <c r="G206" t="s">
        <v>1042</v>
      </c>
      <c r="H206" t="s">
        <v>1034</v>
      </c>
      <c r="I206">
        <v>816</v>
      </c>
      <c r="J206" s="3">
        <v>612.07000000000005</v>
      </c>
      <c r="K206" s="3">
        <v>499449.12</v>
      </c>
      <c r="L206">
        <v>639</v>
      </c>
      <c r="M206" t="s">
        <v>254</v>
      </c>
      <c r="N206" s="16">
        <f t="shared" si="16"/>
        <v>45839</v>
      </c>
      <c r="O206" t="s">
        <v>71</v>
      </c>
      <c r="P206" t="str">
        <f t="shared" si="17"/>
        <v>July 2025</v>
      </c>
      <c r="Q206" t="s">
        <v>959</v>
      </c>
      <c r="R206" s="8">
        <v>26687.03</v>
      </c>
      <c r="S206" s="8">
        <f t="shared" si="18"/>
        <v>526136.15</v>
      </c>
      <c r="T206" s="6">
        <f t="shared" si="19"/>
        <v>3</v>
      </c>
    </row>
    <row r="207" spans="1:20" x14ac:dyDescent="0.3">
      <c r="A207" t="s">
        <v>1270</v>
      </c>
      <c r="B207" s="13" t="s">
        <v>318</v>
      </c>
      <c r="C207" s="16">
        <f t="shared" si="15"/>
        <v>45992</v>
      </c>
      <c r="D207" t="s">
        <v>975</v>
      </c>
      <c r="E207" t="s">
        <v>987</v>
      </c>
      <c r="F207" t="s">
        <v>980</v>
      </c>
      <c r="G207" t="s">
        <v>964</v>
      </c>
      <c r="H207" t="s">
        <v>965</v>
      </c>
      <c r="I207">
        <v>2413</v>
      </c>
      <c r="J207" s="3">
        <v>306.85000000000002</v>
      </c>
      <c r="K207" s="3">
        <v>740429.05</v>
      </c>
      <c r="L207">
        <v>175</v>
      </c>
      <c r="M207" t="s">
        <v>1166</v>
      </c>
      <c r="N207" s="16">
        <f t="shared" si="16"/>
        <v>45992</v>
      </c>
      <c r="O207" t="s">
        <v>1166</v>
      </c>
      <c r="P207" t="str">
        <f t="shared" si="17"/>
        <v>December 2025</v>
      </c>
      <c r="Q207" t="s">
        <v>966</v>
      </c>
      <c r="R207" s="8">
        <v>8519.76</v>
      </c>
      <c r="S207" s="8">
        <f t="shared" si="18"/>
        <v>748948.81</v>
      </c>
      <c r="T207" s="6">
        <f t="shared" si="19"/>
        <v>0</v>
      </c>
    </row>
    <row r="208" spans="1:20" x14ac:dyDescent="0.3">
      <c r="A208" t="s">
        <v>1271</v>
      </c>
      <c r="B208" s="13" t="s">
        <v>496</v>
      </c>
      <c r="C208" s="16">
        <f t="shared" si="15"/>
        <v>45870</v>
      </c>
      <c r="D208" t="s">
        <v>961</v>
      </c>
      <c r="E208" t="s">
        <v>33</v>
      </c>
      <c r="F208" t="s">
        <v>956</v>
      </c>
      <c r="G208" t="s">
        <v>988</v>
      </c>
      <c r="H208" t="s">
        <v>1018</v>
      </c>
      <c r="I208">
        <v>326</v>
      </c>
      <c r="J208" s="3">
        <v>580.27</v>
      </c>
      <c r="K208" s="3">
        <v>189168.02</v>
      </c>
      <c r="L208">
        <v>255</v>
      </c>
      <c r="M208" t="s">
        <v>572</v>
      </c>
      <c r="N208" s="16">
        <f t="shared" si="16"/>
        <v>45870</v>
      </c>
      <c r="O208" t="s">
        <v>572</v>
      </c>
      <c r="P208" t="str">
        <f t="shared" si="17"/>
        <v>August 2025</v>
      </c>
      <c r="Q208" t="s">
        <v>966</v>
      </c>
      <c r="R208" s="8">
        <v>11679.17</v>
      </c>
      <c r="S208" s="8">
        <f t="shared" si="18"/>
        <v>200847.19</v>
      </c>
      <c r="T208" s="6">
        <f t="shared" si="19"/>
        <v>0</v>
      </c>
    </row>
    <row r="209" spans="1:20" x14ac:dyDescent="0.3">
      <c r="A209" t="s">
        <v>1272</v>
      </c>
      <c r="B209" s="13" t="s">
        <v>1049</v>
      </c>
      <c r="C209" s="16">
        <f t="shared" si="15"/>
        <v>45962</v>
      </c>
      <c r="D209" t="s">
        <v>968</v>
      </c>
      <c r="E209" t="s">
        <v>990</v>
      </c>
      <c r="F209" t="s">
        <v>956</v>
      </c>
      <c r="G209" t="s">
        <v>981</v>
      </c>
      <c r="H209" t="s">
        <v>958</v>
      </c>
      <c r="I209">
        <v>1976</v>
      </c>
      <c r="J209" s="3">
        <v>550.72</v>
      </c>
      <c r="K209" s="3">
        <v>1088222.72</v>
      </c>
      <c r="L209">
        <v>335</v>
      </c>
      <c r="M209" t="s">
        <v>673</v>
      </c>
      <c r="N209" s="16">
        <f t="shared" si="16"/>
        <v>45962</v>
      </c>
      <c r="O209" t="s">
        <v>673</v>
      </c>
      <c r="P209" t="str">
        <f t="shared" si="17"/>
        <v>November 2025</v>
      </c>
      <c r="Q209" t="s">
        <v>966</v>
      </c>
      <c r="R209" s="8">
        <v>14683.73</v>
      </c>
      <c r="S209" s="8">
        <f t="shared" si="18"/>
        <v>1102906.45</v>
      </c>
      <c r="T209" s="6">
        <f t="shared" si="19"/>
        <v>0</v>
      </c>
    </row>
    <row r="210" spans="1:20" x14ac:dyDescent="0.3">
      <c r="A210" t="s">
        <v>1273</v>
      </c>
      <c r="B210" s="13" t="s">
        <v>835</v>
      </c>
      <c r="C210" s="16">
        <f t="shared" si="15"/>
        <v>45778</v>
      </c>
      <c r="D210" t="s">
        <v>1011</v>
      </c>
      <c r="E210" t="s">
        <v>990</v>
      </c>
      <c r="F210" t="s">
        <v>980</v>
      </c>
      <c r="G210" t="s">
        <v>1068</v>
      </c>
      <c r="H210" t="s">
        <v>1000</v>
      </c>
      <c r="I210">
        <v>320</v>
      </c>
      <c r="J210" s="3">
        <v>883.85</v>
      </c>
      <c r="K210" s="3">
        <v>282832</v>
      </c>
      <c r="L210">
        <v>452</v>
      </c>
      <c r="M210" t="s">
        <v>143</v>
      </c>
      <c r="N210" s="16">
        <f t="shared" si="16"/>
        <v>45778</v>
      </c>
      <c r="O210" t="s">
        <v>143</v>
      </c>
      <c r="P210" t="str">
        <f t="shared" si="17"/>
        <v>May 2025</v>
      </c>
      <c r="Q210" t="s">
        <v>966</v>
      </c>
      <c r="R210" s="8">
        <v>22778.639999999999</v>
      </c>
      <c r="S210" s="8">
        <f t="shared" si="18"/>
        <v>305610.64</v>
      </c>
      <c r="T210" s="6">
        <f t="shared" si="19"/>
        <v>0</v>
      </c>
    </row>
    <row r="211" spans="1:20" x14ac:dyDescent="0.3">
      <c r="A211" t="s">
        <v>1274</v>
      </c>
      <c r="B211" s="13" t="s">
        <v>279</v>
      </c>
      <c r="C211" s="16">
        <f t="shared" si="15"/>
        <v>45870</v>
      </c>
      <c r="D211" t="s">
        <v>961</v>
      </c>
      <c r="E211" t="s">
        <v>33</v>
      </c>
      <c r="F211" t="s">
        <v>980</v>
      </c>
      <c r="G211" t="s">
        <v>1087</v>
      </c>
      <c r="H211" t="s">
        <v>1034</v>
      </c>
      <c r="I211">
        <v>1137</v>
      </c>
      <c r="J211" s="3">
        <v>258.37</v>
      </c>
      <c r="K211" s="3">
        <v>293766.69</v>
      </c>
      <c r="L211">
        <v>166</v>
      </c>
      <c r="M211" t="s">
        <v>228</v>
      </c>
      <c r="N211" s="16">
        <f t="shared" si="16"/>
        <v>45870</v>
      </c>
      <c r="O211" t="s">
        <v>228</v>
      </c>
      <c r="P211" t="str">
        <f t="shared" si="17"/>
        <v>August 2025</v>
      </c>
      <c r="Q211" t="s">
        <v>966</v>
      </c>
      <c r="R211" s="8">
        <v>9912.1299999999992</v>
      </c>
      <c r="S211" s="8">
        <f t="shared" si="18"/>
        <v>303678.82</v>
      </c>
      <c r="T211" s="6">
        <f t="shared" si="19"/>
        <v>0</v>
      </c>
    </row>
    <row r="212" spans="1:20" x14ac:dyDescent="0.3">
      <c r="A212" t="s">
        <v>1275</v>
      </c>
      <c r="B212" s="13" t="s">
        <v>1010</v>
      </c>
      <c r="C212" s="16">
        <f t="shared" si="15"/>
        <v>45992</v>
      </c>
      <c r="D212" t="s">
        <v>1021</v>
      </c>
      <c r="E212" t="s">
        <v>990</v>
      </c>
      <c r="F212" t="s">
        <v>971</v>
      </c>
      <c r="G212" t="s">
        <v>998</v>
      </c>
      <c r="H212" t="s">
        <v>958</v>
      </c>
      <c r="I212">
        <v>800</v>
      </c>
      <c r="J212" s="3">
        <v>214.44</v>
      </c>
      <c r="K212" s="3">
        <v>171552</v>
      </c>
      <c r="L212">
        <v>107</v>
      </c>
      <c r="M212" t="s">
        <v>770</v>
      </c>
      <c r="N212" s="16">
        <f t="shared" si="16"/>
        <v>45992</v>
      </c>
      <c r="O212" t="s">
        <v>770</v>
      </c>
      <c r="P212" t="str">
        <f t="shared" si="17"/>
        <v>December 2025</v>
      </c>
      <c r="Q212" t="s">
        <v>966</v>
      </c>
      <c r="R212" s="8">
        <v>6175.9</v>
      </c>
      <c r="S212" s="8">
        <f t="shared" si="18"/>
        <v>177727.9</v>
      </c>
      <c r="T212" s="6">
        <f t="shared" si="19"/>
        <v>0</v>
      </c>
    </row>
    <row r="213" spans="1:20" x14ac:dyDescent="0.3">
      <c r="A213" t="s">
        <v>1276</v>
      </c>
      <c r="B213" s="13" t="s">
        <v>338</v>
      </c>
      <c r="C213" s="16">
        <f t="shared" si="15"/>
        <v>45931</v>
      </c>
      <c r="D213" t="s">
        <v>984</v>
      </c>
      <c r="E213" t="s">
        <v>43</v>
      </c>
      <c r="F213" t="s">
        <v>971</v>
      </c>
      <c r="G213" t="s">
        <v>1012</v>
      </c>
      <c r="H213" t="s">
        <v>982</v>
      </c>
      <c r="I213">
        <v>1321</v>
      </c>
      <c r="J213" s="3">
        <v>341.47</v>
      </c>
      <c r="K213" s="3">
        <v>451081.87</v>
      </c>
      <c r="L213">
        <v>306</v>
      </c>
      <c r="M213" t="s">
        <v>825</v>
      </c>
      <c r="N213" s="16">
        <f t="shared" si="16"/>
        <v>45931</v>
      </c>
      <c r="O213" t="s">
        <v>825</v>
      </c>
      <c r="P213" t="str">
        <f t="shared" si="17"/>
        <v>October 2025</v>
      </c>
      <c r="Q213" t="s">
        <v>966</v>
      </c>
      <c r="R213" s="8">
        <v>15722.38</v>
      </c>
      <c r="S213" s="8">
        <f t="shared" si="18"/>
        <v>466804.25</v>
      </c>
      <c r="T213" s="6">
        <f t="shared" si="19"/>
        <v>0</v>
      </c>
    </row>
    <row r="214" spans="1:20" x14ac:dyDescent="0.3">
      <c r="A214" t="s">
        <v>1277</v>
      </c>
      <c r="B214" s="13" t="s">
        <v>1245</v>
      </c>
      <c r="C214" s="16">
        <f t="shared" si="15"/>
        <v>45809</v>
      </c>
      <c r="D214" t="s">
        <v>1021</v>
      </c>
      <c r="E214" t="s">
        <v>990</v>
      </c>
      <c r="F214" t="s">
        <v>963</v>
      </c>
      <c r="G214" t="s">
        <v>1015</v>
      </c>
      <c r="H214" t="s">
        <v>973</v>
      </c>
      <c r="I214">
        <v>955</v>
      </c>
      <c r="J214" s="3">
        <v>45.9</v>
      </c>
      <c r="K214" s="3">
        <v>43834.5</v>
      </c>
      <c r="L214">
        <v>79</v>
      </c>
      <c r="M214" t="s">
        <v>506</v>
      </c>
      <c r="N214" s="16">
        <f t="shared" si="16"/>
        <v>45809</v>
      </c>
      <c r="O214" t="s">
        <v>513</v>
      </c>
      <c r="P214" t="str">
        <f t="shared" si="17"/>
        <v>June 2025</v>
      </c>
      <c r="Q214" t="s">
        <v>959</v>
      </c>
      <c r="R214" s="8">
        <v>4044.57</v>
      </c>
      <c r="S214" s="8">
        <f t="shared" si="18"/>
        <v>47879.07</v>
      </c>
      <c r="T214" s="6">
        <f t="shared" si="19"/>
        <v>1</v>
      </c>
    </row>
    <row r="215" spans="1:20" x14ac:dyDescent="0.3">
      <c r="A215" t="s">
        <v>1278</v>
      </c>
      <c r="B215" s="13" t="s">
        <v>970</v>
      </c>
      <c r="C215" s="16">
        <f t="shared" si="15"/>
        <v>45658</v>
      </c>
      <c r="D215" t="s">
        <v>1011</v>
      </c>
      <c r="E215" t="s">
        <v>33</v>
      </c>
      <c r="F215" t="s">
        <v>971</v>
      </c>
      <c r="G215" t="s">
        <v>1004</v>
      </c>
      <c r="H215" t="str">
        <f xml:space="preserve"> "Not Found"</f>
        <v>Not Found</v>
      </c>
      <c r="I215">
        <v>1399</v>
      </c>
      <c r="J215" s="3">
        <v>292.99</v>
      </c>
      <c r="K215" s="3">
        <v>409893.01</v>
      </c>
      <c r="L215">
        <v>53</v>
      </c>
      <c r="M215" t="s">
        <v>149</v>
      </c>
      <c r="N215" s="16">
        <f t="shared" si="16"/>
        <v>45658</v>
      </c>
      <c r="O215" t="s">
        <v>903</v>
      </c>
      <c r="P215" t="str">
        <f t="shared" si="17"/>
        <v>January 2025</v>
      </c>
      <c r="Q215" t="s">
        <v>959</v>
      </c>
      <c r="R215" s="8">
        <v>2505.81</v>
      </c>
      <c r="S215" s="8">
        <f t="shared" si="18"/>
        <v>412398.82</v>
      </c>
      <c r="T215" s="6">
        <f t="shared" si="19"/>
        <v>2</v>
      </c>
    </row>
    <row r="216" spans="1:20" x14ac:dyDescent="0.3">
      <c r="A216" t="s">
        <v>1279</v>
      </c>
      <c r="B216" s="13" t="s">
        <v>109</v>
      </c>
      <c r="C216" s="16">
        <f t="shared" si="15"/>
        <v>45962</v>
      </c>
      <c r="D216" t="s">
        <v>1021</v>
      </c>
      <c r="E216" t="s">
        <v>987</v>
      </c>
      <c r="F216" t="s">
        <v>980</v>
      </c>
      <c r="G216" t="s">
        <v>1068</v>
      </c>
      <c r="H216" t="s">
        <v>973</v>
      </c>
      <c r="I216">
        <v>755</v>
      </c>
      <c r="J216" s="3">
        <v>100.02</v>
      </c>
      <c r="K216" s="3">
        <v>75515.100000000006</v>
      </c>
      <c r="L216">
        <v>248</v>
      </c>
      <c r="M216" t="s">
        <v>134</v>
      </c>
      <c r="N216" s="16">
        <f t="shared" si="16"/>
        <v>45962</v>
      </c>
      <c r="O216" t="s">
        <v>221</v>
      </c>
      <c r="P216" t="str">
        <f t="shared" si="17"/>
        <v>November 2025</v>
      </c>
      <c r="Q216" t="s">
        <v>959</v>
      </c>
      <c r="R216" s="8">
        <v>14565.81</v>
      </c>
      <c r="S216" s="8">
        <f t="shared" si="18"/>
        <v>90080.91</v>
      </c>
      <c r="T216" s="6">
        <f t="shared" si="19"/>
        <v>2</v>
      </c>
    </row>
    <row r="217" spans="1:20" x14ac:dyDescent="0.3">
      <c r="A217" t="s">
        <v>1280</v>
      </c>
      <c r="B217" s="13" t="s">
        <v>1048</v>
      </c>
      <c r="C217" s="16">
        <f t="shared" si="15"/>
        <v>45962</v>
      </c>
      <c r="D217" t="s">
        <v>984</v>
      </c>
      <c r="E217" t="s">
        <v>987</v>
      </c>
      <c r="F217" t="s">
        <v>971</v>
      </c>
      <c r="G217" t="s">
        <v>988</v>
      </c>
      <c r="H217" t="s">
        <v>1034</v>
      </c>
      <c r="I217">
        <v>792</v>
      </c>
      <c r="J217" s="3">
        <v>329.61</v>
      </c>
      <c r="K217" s="3">
        <v>261051.12</v>
      </c>
      <c r="L217">
        <v>258</v>
      </c>
      <c r="M217" t="s">
        <v>1049</v>
      </c>
      <c r="N217" s="16">
        <f t="shared" si="16"/>
        <v>45962</v>
      </c>
      <c r="O217" t="s">
        <v>1114</v>
      </c>
      <c r="P217" t="str">
        <f t="shared" si="17"/>
        <v>November 2025</v>
      </c>
      <c r="Q217" t="s">
        <v>959</v>
      </c>
      <c r="R217" s="8">
        <v>11564.56</v>
      </c>
      <c r="S217" s="8">
        <f t="shared" si="18"/>
        <v>272615.67999999999</v>
      </c>
      <c r="T217" s="6">
        <f t="shared" si="19"/>
        <v>4</v>
      </c>
    </row>
    <row r="218" spans="1:20" x14ac:dyDescent="0.3">
      <c r="A218" t="s">
        <v>1281</v>
      </c>
      <c r="B218" s="13" t="s">
        <v>203</v>
      </c>
      <c r="C218" s="16">
        <f t="shared" si="15"/>
        <v>45870</v>
      </c>
      <c r="D218" t="s">
        <v>1021</v>
      </c>
      <c r="E218" t="s">
        <v>990</v>
      </c>
      <c r="F218" t="s">
        <v>971</v>
      </c>
      <c r="G218" t="s">
        <v>1012</v>
      </c>
      <c r="H218" t="s">
        <v>1000</v>
      </c>
      <c r="I218">
        <v>298</v>
      </c>
      <c r="J218" s="3">
        <v>194.35</v>
      </c>
      <c r="K218" s="3">
        <v>57916.3</v>
      </c>
      <c r="L218">
        <v>666</v>
      </c>
      <c r="M218" t="s">
        <v>279</v>
      </c>
      <c r="N218" s="16">
        <f t="shared" si="16"/>
        <v>45870</v>
      </c>
      <c r="O218" t="s">
        <v>1263</v>
      </c>
      <c r="P218" t="str">
        <f t="shared" si="17"/>
        <v>August 2025</v>
      </c>
      <c r="Q218" t="s">
        <v>959</v>
      </c>
      <c r="R218" s="8">
        <v>26118.16</v>
      </c>
      <c r="S218" s="8">
        <f t="shared" si="18"/>
        <v>84034.46</v>
      </c>
      <c r="T218" s="6">
        <f t="shared" si="19"/>
        <v>2</v>
      </c>
    </row>
    <row r="219" spans="1:20" x14ac:dyDescent="0.3">
      <c r="A219" t="s">
        <v>1282</v>
      </c>
      <c r="B219" s="13" t="s">
        <v>61</v>
      </c>
      <c r="C219" s="16">
        <f t="shared" si="15"/>
        <v>45901</v>
      </c>
      <c r="D219" t="s">
        <v>968</v>
      </c>
      <c r="E219" t="s">
        <v>49</v>
      </c>
      <c r="F219" t="s">
        <v>963</v>
      </c>
      <c r="G219" t="s">
        <v>1221</v>
      </c>
      <c r="H219" t="s">
        <v>977</v>
      </c>
      <c r="I219">
        <v>525</v>
      </c>
      <c r="J219" s="3">
        <v>796.75</v>
      </c>
      <c r="K219" s="3">
        <v>418293.75</v>
      </c>
      <c r="L219">
        <v>58</v>
      </c>
      <c r="M219" t="s">
        <v>721</v>
      </c>
      <c r="N219" s="16">
        <f t="shared" si="16"/>
        <v>45901</v>
      </c>
      <c r="O219" t="s">
        <v>1283</v>
      </c>
      <c r="P219" t="str">
        <f t="shared" si="17"/>
        <v>September 2025</v>
      </c>
      <c r="Q219" t="s">
        <v>959</v>
      </c>
      <c r="R219" s="8">
        <v>3381.03</v>
      </c>
      <c r="S219" s="8">
        <f t="shared" si="18"/>
        <v>421674.78</v>
      </c>
      <c r="T219" s="6">
        <f t="shared" si="19"/>
        <v>1</v>
      </c>
    </row>
    <row r="220" spans="1:20" x14ac:dyDescent="0.3">
      <c r="A220" t="s">
        <v>1284</v>
      </c>
      <c r="B220" s="13" t="s">
        <v>778</v>
      </c>
      <c r="C220" s="16">
        <f t="shared" si="15"/>
        <v>45962</v>
      </c>
      <c r="D220" t="s">
        <v>961</v>
      </c>
      <c r="E220" t="s">
        <v>990</v>
      </c>
      <c r="F220" t="s">
        <v>980</v>
      </c>
      <c r="G220" t="s">
        <v>1051</v>
      </c>
      <c r="H220" t="s">
        <v>982</v>
      </c>
      <c r="I220">
        <v>849</v>
      </c>
      <c r="J220" s="3">
        <v>154.58000000000001</v>
      </c>
      <c r="K220" s="3">
        <v>131238.42000000001</v>
      </c>
      <c r="L220">
        <v>90</v>
      </c>
      <c r="M220" t="s">
        <v>536</v>
      </c>
      <c r="N220" s="16">
        <f t="shared" si="16"/>
        <v>45962</v>
      </c>
      <c r="O220" t="s">
        <v>42</v>
      </c>
      <c r="P220" t="str">
        <f t="shared" si="17"/>
        <v>November 2025</v>
      </c>
      <c r="Q220" t="s">
        <v>959</v>
      </c>
      <c r="R220" s="8">
        <v>4977.7</v>
      </c>
      <c r="S220" s="8">
        <f t="shared" si="18"/>
        <v>136216.12000000002</v>
      </c>
      <c r="T220" s="6">
        <f t="shared" si="19"/>
        <v>3</v>
      </c>
    </row>
    <row r="221" spans="1:20" x14ac:dyDescent="0.3">
      <c r="A221" t="s">
        <v>1285</v>
      </c>
      <c r="B221" s="13" t="s">
        <v>145</v>
      </c>
      <c r="C221" s="16">
        <f t="shared" si="15"/>
        <v>45809</v>
      </c>
      <c r="D221" t="s">
        <v>1021</v>
      </c>
      <c r="E221" t="s">
        <v>987</v>
      </c>
      <c r="F221" t="s">
        <v>963</v>
      </c>
      <c r="G221" t="s">
        <v>964</v>
      </c>
      <c r="H221" t="s">
        <v>958</v>
      </c>
      <c r="I221">
        <v>1761</v>
      </c>
      <c r="J221" s="3">
        <v>373.8</v>
      </c>
      <c r="K221" s="3">
        <v>658261.80000000005</v>
      </c>
      <c r="L221">
        <v>434</v>
      </c>
      <c r="M221" t="s">
        <v>244</v>
      </c>
      <c r="N221" s="16">
        <f t="shared" si="16"/>
        <v>45809</v>
      </c>
      <c r="O221" t="s">
        <v>1286</v>
      </c>
      <c r="P221" t="str">
        <f t="shared" si="17"/>
        <v>June 2025</v>
      </c>
      <c r="Q221" t="s">
        <v>959</v>
      </c>
      <c r="R221" s="8">
        <v>26328.99</v>
      </c>
      <c r="S221" s="8">
        <f t="shared" si="18"/>
        <v>684590.79</v>
      </c>
      <c r="T221" s="6">
        <f t="shared" si="19"/>
        <v>2</v>
      </c>
    </row>
    <row r="222" spans="1:20" x14ac:dyDescent="0.3">
      <c r="A222" t="s">
        <v>1287</v>
      </c>
      <c r="B222" s="13" t="s">
        <v>978</v>
      </c>
      <c r="C222" s="16">
        <f t="shared" si="15"/>
        <v>45717</v>
      </c>
      <c r="D222" t="s">
        <v>1011</v>
      </c>
      <c r="E222" t="s">
        <v>33</v>
      </c>
      <c r="F222" t="s">
        <v>956</v>
      </c>
      <c r="G222" t="s">
        <v>994</v>
      </c>
      <c r="H222" t="s">
        <v>1018</v>
      </c>
      <c r="I222">
        <v>1443</v>
      </c>
      <c r="J222" s="3">
        <v>296.89999999999998</v>
      </c>
      <c r="K222" s="3">
        <v>428426.7</v>
      </c>
      <c r="L222">
        <v>420</v>
      </c>
      <c r="M222" t="s">
        <v>1288</v>
      </c>
      <c r="N222" s="16">
        <f t="shared" si="16"/>
        <v>45717</v>
      </c>
      <c r="O222" t="s">
        <v>1288</v>
      </c>
      <c r="P222" t="str">
        <f t="shared" si="17"/>
        <v>March 2025</v>
      </c>
      <c r="Q222" t="s">
        <v>966</v>
      </c>
      <c r="R222" s="8">
        <v>23671.45</v>
      </c>
      <c r="S222" s="8">
        <f t="shared" si="18"/>
        <v>452098.15</v>
      </c>
      <c r="T222" s="6">
        <f t="shared" si="19"/>
        <v>0</v>
      </c>
    </row>
    <row r="223" spans="1:20" x14ac:dyDescent="0.3">
      <c r="A223" t="s">
        <v>1289</v>
      </c>
      <c r="B223" s="13" t="s">
        <v>300</v>
      </c>
      <c r="C223" s="16">
        <f t="shared" si="15"/>
        <v>45748</v>
      </c>
      <c r="D223" t="s">
        <v>1003</v>
      </c>
      <c r="E223" t="s">
        <v>990</v>
      </c>
      <c r="F223" t="s">
        <v>971</v>
      </c>
      <c r="G223" t="s">
        <v>1072</v>
      </c>
      <c r="H223" t="s">
        <v>1034</v>
      </c>
      <c r="I223">
        <v>1482</v>
      </c>
      <c r="J223" s="3">
        <v>53.07</v>
      </c>
      <c r="K223" s="3">
        <v>78649.740000000005</v>
      </c>
      <c r="L223">
        <v>658</v>
      </c>
      <c r="M223" t="s">
        <v>316</v>
      </c>
      <c r="N223" s="16">
        <f t="shared" si="16"/>
        <v>45748</v>
      </c>
      <c r="O223" t="s">
        <v>598</v>
      </c>
      <c r="P223" t="str">
        <f t="shared" si="17"/>
        <v>April 2025</v>
      </c>
      <c r="Q223" t="s">
        <v>959</v>
      </c>
      <c r="R223" s="8">
        <v>30380.18</v>
      </c>
      <c r="S223" s="8">
        <f t="shared" si="18"/>
        <v>109029.92000000001</v>
      </c>
      <c r="T223" s="6">
        <f t="shared" si="19"/>
        <v>4</v>
      </c>
    </row>
    <row r="224" spans="1:20" x14ac:dyDescent="0.3">
      <c r="A224" t="s">
        <v>1290</v>
      </c>
      <c r="B224" s="13" t="s">
        <v>466</v>
      </c>
      <c r="C224" s="16">
        <f t="shared" si="15"/>
        <v>45717</v>
      </c>
      <c r="D224" t="s">
        <v>961</v>
      </c>
      <c r="E224" t="s">
        <v>990</v>
      </c>
      <c r="F224" t="s">
        <v>956</v>
      </c>
      <c r="G224" t="s">
        <v>1036</v>
      </c>
      <c r="H224" t="s">
        <v>973</v>
      </c>
      <c r="I224">
        <v>1458</v>
      </c>
      <c r="J224" s="3">
        <v>451.12</v>
      </c>
      <c r="K224" s="3">
        <v>657732.96</v>
      </c>
      <c r="L224">
        <v>707</v>
      </c>
      <c r="M224" t="s">
        <v>469</v>
      </c>
      <c r="N224" s="16">
        <f t="shared" si="16"/>
        <v>45717</v>
      </c>
      <c r="O224" t="s">
        <v>233</v>
      </c>
      <c r="P224" t="str">
        <f t="shared" si="17"/>
        <v>March 2025</v>
      </c>
      <c r="Q224" t="s">
        <v>959</v>
      </c>
      <c r="R224" s="8">
        <v>42123.86</v>
      </c>
      <c r="S224" s="8">
        <f t="shared" si="18"/>
        <v>699856.82</v>
      </c>
      <c r="T224" s="6">
        <f t="shared" si="19"/>
        <v>4</v>
      </c>
    </row>
    <row r="225" spans="1:20" x14ac:dyDescent="0.3">
      <c r="A225" t="s">
        <v>1291</v>
      </c>
      <c r="B225" s="13" t="s">
        <v>611</v>
      </c>
      <c r="C225" s="16">
        <f t="shared" si="15"/>
        <v>45839</v>
      </c>
      <c r="D225" t="s">
        <v>1003</v>
      </c>
      <c r="E225" t="s">
        <v>962</v>
      </c>
      <c r="F225" t="s">
        <v>971</v>
      </c>
      <c r="G225" t="s">
        <v>1026</v>
      </c>
      <c r="H225" t="s">
        <v>1023</v>
      </c>
      <c r="I225">
        <v>1393</v>
      </c>
      <c r="J225" s="3">
        <v>520.85</v>
      </c>
      <c r="K225" s="3">
        <v>725544.05</v>
      </c>
      <c r="L225">
        <v>62</v>
      </c>
      <c r="M225" t="s">
        <v>887</v>
      </c>
      <c r="N225" s="16">
        <f t="shared" si="16"/>
        <v>45839</v>
      </c>
      <c r="O225" t="s">
        <v>887</v>
      </c>
      <c r="P225" t="str">
        <f t="shared" si="17"/>
        <v>July 2025</v>
      </c>
      <c r="Q225" t="s">
        <v>966</v>
      </c>
      <c r="R225" s="8">
        <v>3356.94</v>
      </c>
      <c r="S225" s="8">
        <f t="shared" si="18"/>
        <v>728900.99</v>
      </c>
      <c r="T225" s="6">
        <f t="shared" si="19"/>
        <v>0</v>
      </c>
    </row>
    <row r="226" spans="1:20" x14ac:dyDescent="0.3">
      <c r="A226" t="s">
        <v>1292</v>
      </c>
      <c r="B226" s="13" t="s">
        <v>289</v>
      </c>
      <c r="C226" s="16">
        <f t="shared" si="15"/>
        <v>45870</v>
      </c>
      <c r="D226" t="s">
        <v>961</v>
      </c>
      <c r="E226" t="s">
        <v>990</v>
      </c>
      <c r="F226" t="s">
        <v>971</v>
      </c>
      <c r="G226" t="s">
        <v>1051</v>
      </c>
      <c r="H226" t="s">
        <v>973</v>
      </c>
      <c r="I226">
        <v>165</v>
      </c>
      <c r="J226" s="3">
        <v>652.80999999999995</v>
      </c>
      <c r="K226" s="3">
        <v>107713.65</v>
      </c>
      <c r="L226">
        <v>567</v>
      </c>
      <c r="M226" t="s">
        <v>1266</v>
      </c>
      <c r="N226" s="16">
        <f t="shared" si="16"/>
        <v>45870</v>
      </c>
      <c r="O226" t="s">
        <v>572</v>
      </c>
      <c r="P226" t="str">
        <f t="shared" si="17"/>
        <v>August 2025</v>
      </c>
      <c r="Q226" t="s">
        <v>959</v>
      </c>
      <c r="R226" s="8">
        <v>23317.72</v>
      </c>
      <c r="S226" s="8">
        <f t="shared" si="18"/>
        <v>131031.37</v>
      </c>
      <c r="T226" s="6">
        <f t="shared" si="19"/>
        <v>2</v>
      </c>
    </row>
    <row r="227" spans="1:20" x14ac:dyDescent="0.3">
      <c r="A227" t="s">
        <v>1293</v>
      </c>
      <c r="B227" s="13" t="s">
        <v>754</v>
      </c>
      <c r="C227" s="16">
        <f t="shared" si="15"/>
        <v>45689</v>
      </c>
      <c r="D227" t="s">
        <v>968</v>
      </c>
      <c r="E227" t="s">
        <v>987</v>
      </c>
      <c r="F227" t="s">
        <v>956</v>
      </c>
      <c r="G227" t="s">
        <v>1026</v>
      </c>
      <c r="H227" t="s">
        <v>1034</v>
      </c>
      <c r="I227">
        <v>1129</v>
      </c>
      <c r="J227" s="3">
        <v>759.47</v>
      </c>
      <c r="K227" s="3">
        <v>857441.63</v>
      </c>
      <c r="L227">
        <v>699</v>
      </c>
      <c r="M227" t="s">
        <v>152</v>
      </c>
      <c r="N227" s="16">
        <f t="shared" si="16"/>
        <v>45689</v>
      </c>
      <c r="O227" t="s">
        <v>152</v>
      </c>
      <c r="P227" t="str">
        <f t="shared" si="17"/>
        <v>February 2025</v>
      </c>
      <c r="Q227" t="s">
        <v>966</v>
      </c>
      <c r="R227" s="8">
        <v>30349.06</v>
      </c>
      <c r="S227" s="8">
        <f t="shared" si="18"/>
        <v>887790.69000000006</v>
      </c>
      <c r="T227" s="6">
        <f t="shared" si="19"/>
        <v>0</v>
      </c>
    </row>
    <row r="228" spans="1:20" x14ac:dyDescent="0.3">
      <c r="A228" t="s">
        <v>1294</v>
      </c>
      <c r="B228" s="13" t="s">
        <v>532</v>
      </c>
      <c r="C228" s="16">
        <f t="shared" si="15"/>
        <v>45839</v>
      </c>
      <c r="D228" t="s">
        <v>955</v>
      </c>
      <c r="E228" t="s">
        <v>987</v>
      </c>
      <c r="F228" t="s">
        <v>971</v>
      </c>
      <c r="G228" t="s">
        <v>981</v>
      </c>
      <c r="H228" t="s">
        <v>992</v>
      </c>
      <c r="I228">
        <v>1622</v>
      </c>
      <c r="J228" s="3">
        <v>570.45000000000005</v>
      </c>
      <c r="K228" s="3">
        <v>925269.9</v>
      </c>
      <c r="L228">
        <v>668</v>
      </c>
      <c r="M228" t="s">
        <v>1005</v>
      </c>
      <c r="N228" s="16">
        <f t="shared" si="16"/>
        <v>45839</v>
      </c>
      <c r="O228" t="s">
        <v>107</v>
      </c>
      <c r="P228" t="str">
        <f t="shared" si="17"/>
        <v>July 2025</v>
      </c>
      <c r="Q228" t="s">
        <v>959</v>
      </c>
      <c r="R228" s="8">
        <v>37244.81</v>
      </c>
      <c r="S228" s="8">
        <f t="shared" si="18"/>
        <v>962514.71</v>
      </c>
      <c r="T228" s="6">
        <f t="shared" si="19"/>
        <v>2</v>
      </c>
    </row>
    <row r="229" spans="1:20" x14ac:dyDescent="0.3">
      <c r="A229" t="s">
        <v>1295</v>
      </c>
      <c r="B229" s="13" t="s">
        <v>730</v>
      </c>
      <c r="C229" s="16">
        <f t="shared" si="15"/>
        <v>45658</v>
      </c>
      <c r="D229" t="s">
        <v>1021</v>
      </c>
      <c r="E229" t="s">
        <v>43</v>
      </c>
      <c r="F229" t="s">
        <v>980</v>
      </c>
      <c r="G229" t="s">
        <v>1068</v>
      </c>
      <c r="H229" t="s">
        <v>965</v>
      </c>
      <c r="I229">
        <v>194</v>
      </c>
      <c r="J229" s="3">
        <v>304.63</v>
      </c>
      <c r="K229" s="3">
        <v>59098.22</v>
      </c>
      <c r="L229">
        <v>182</v>
      </c>
      <c r="M229" t="s">
        <v>459</v>
      </c>
      <c r="N229" s="16">
        <f t="shared" si="16"/>
        <v>45658</v>
      </c>
      <c r="O229" t="s">
        <v>459</v>
      </c>
      <c r="P229" t="str">
        <f t="shared" si="17"/>
        <v>January 2025</v>
      </c>
      <c r="Q229" t="s">
        <v>966</v>
      </c>
      <c r="R229" s="8">
        <v>6719.53</v>
      </c>
      <c r="S229" s="8">
        <f t="shared" si="18"/>
        <v>65817.75</v>
      </c>
      <c r="T229" s="6">
        <f t="shared" si="19"/>
        <v>0</v>
      </c>
    </row>
    <row r="230" spans="1:20" x14ac:dyDescent="0.3">
      <c r="A230" t="s">
        <v>1296</v>
      </c>
      <c r="B230" s="13" t="s">
        <v>270</v>
      </c>
      <c r="C230" s="16">
        <f t="shared" si="15"/>
        <v>45962</v>
      </c>
      <c r="D230" t="s">
        <v>975</v>
      </c>
      <c r="E230" t="s">
        <v>43</v>
      </c>
      <c r="F230" t="s">
        <v>956</v>
      </c>
      <c r="G230" t="s">
        <v>1072</v>
      </c>
      <c r="H230" t="s">
        <v>973</v>
      </c>
      <c r="I230">
        <v>327</v>
      </c>
      <c r="J230" s="3">
        <v>616.73</v>
      </c>
      <c r="K230" s="3">
        <v>201670.71</v>
      </c>
      <c r="L230">
        <v>376</v>
      </c>
      <c r="M230" t="s">
        <v>1174</v>
      </c>
      <c r="N230" s="16">
        <f t="shared" si="16"/>
        <v>45962</v>
      </c>
      <c r="O230" t="s">
        <v>42</v>
      </c>
      <c r="P230" t="str">
        <f t="shared" si="17"/>
        <v>November 2025</v>
      </c>
      <c r="Q230" t="s">
        <v>966</v>
      </c>
      <c r="R230" s="8">
        <v>18872.560000000001</v>
      </c>
      <c r="S230" s="8">
        <f t="shared" si="18"/>
        <v>220543.27</v>
      </c>
      <c r="T230" s="6">
        <f t="shared" si="19"/>
        <v>-1</v>
      </c>
    </row>
    <row r="231" spans="1:20" x14ac:dyDescent="0.3">
      <c r="A231" t="s">
        <v>1297</v>
      </c>
      <c r="B231" s="13" t="s">
        <v>1298</v>
      </c>
      <c r="C231" s="16">
        <f t="shared" si="15"/>
        <v>45717</v>
      </c>
      <c r="D231" t="s">
        <v>955</v>
      </c>
      <c r="E231" t="s">
        <v>33</v>
      </c>
      <c r="F231" t="s">
        <v>971</v>
      </c>
      <c r="G231" t="s">
        <v>998</v>
      </c>
      <c r="H231" t="s">
        <v>965</v>
      </c>
      <c r="I231">
        <v>1009</v>
      </c>
      <c r="J231" s="3">
        <v>726.41</v>
      </c>
      <c r="K231" s="3">
        <v>732947.69</v>
      </c>
      <c r="L231">
        <v>459</v>
      </c>
      <c r="M231" t="s">
        <v>478</v>
      </c>
      <c r="N231" s="16">
        <f t="shared" si="16"/>
        <v>45717</v>
      </c>
      <c r="O231" t="s">
        <v>433</v>
      </c>
      <c r="P231" t="str">
        <f t="shared" si="17"/>
        <v>March 2025</v>
      </c>
      <c r="Q231" t="s">
        <v>959</v>
      </c>
      <c r="R231" s="8">
        <v>18885.009999999998</v>
      </c>
      <c r="S231" s="8">
        <f t="shared" si="18"/>
        <v>751832.7</v>
      </c>
      <c r="T231" s="6">
        <f t="shared" si="19"/>
        <v>1</v>
      </c>
    </row>
    <row r="232" spans="1:20" x14ac:dyDescent="0.3">
      <c r="A232" t="s">
        <v>1299</v>
      </c>
      <c r="B232" s="13" t="s">
        <v>210</v>
      </c>
      <c r="C232" s="16">
        <f t="shared" si="15"/>
        <v>45931</v>
      </c>
      <c r="D232" t="s">
        <v>961</v>
      </c>
      <c r="E232" t="s">
        <v>962</v>
      </c>
      <c r="F232" t="s">
        <v>956</v>
      </c>
      <c r="G232" t="s">
        <v>994</v>
      </c>
      <c r="H232" t="s">
        <v>958</v>
      </c>
      <c r="I232">
        <v>1472</v>
      </c>
      <c r="J232" s="3">
        <v>114.48</v>
      </c>
      <c r="K232" s="3">
        <v>168514.56</v>
      </c>
      <c r="L232">
        <v>713</v>
      </c>
      <c r="M232" t="s">
        <v>681</v>
      </c>
      <c r="N232" s="16">
        <f t="shared" si="16"/>
        <v>45931</v>
      </c>
      <c r="O232" t="s">
        <v>239</v>
      </c>
      <c r="P232" t="str">
        <f t="shared" si="17"/>
        <v>October 2025</v>
      </c>
      <c r="Q232" t="s">
        <v>959</v>
      </c>
      <c r="R232" s="8">
        <v>33519.79</v>
      </c>
      <c r="S232" s="8">
        <f t="shared" si="18"/>
        <v>202034.35</v>
      </c>
      <c r="T232" s="6">
        <f t="shared" si="19"/>
        <v>4</v>
      </c>
    </row>
    <row r="233" spans="1:20" x14ac:dyDescent="0.3">
      <c r="A233" t="s">
        <v>1300</v>
      </c>
      <c r="B233" s="13" t="s">
        <v>1177</v>
      </c>
      <c r="C233" s="16">
        <f t="shared" si="15"/>
        <v>45901</v>
      </c>
      <c r="D233" t="s">
        <v>1003</v>
      </c>
      <c r="E233" t="s">
        <v>962</v>
      </c>
      <c r="F233" t="s">
        <v>971</v>
      </c>
      <c r="G233" t="s">
        <v>988</v>
      </c>
      <c r="H233" t="s">
        <v>1000</v>
      </c>
      <c r="I233">
        <v>1497</v>
      </c>
      <c r="J233" s="3">
        <v>353.13</v>
      </c>
      <c r="K233" s="3">
        <v>528635.61</v>
      </c>
      <c r="L233">
        <v>274</v>
      </c>
      <c r="M233" t="s">
        <v>61</v>
      </c>
      <c r="N233" s="16">
        <f t="shared" si="16"/>
        <v>45901</v>
      </c>
      <c r="O233" t="s">
        <v>648</v>
      </c>
      <c r="P233" t="str">
        <f t="shared" si="17"/>
        <v>September 2025</v>
      </c>
      <c r="Q233" t="s">
        <v>959</v>
      </c>
      <c r="R233" s="8">
        <v>15504.45</v>
      </c>
      <c r="S233" s="8">
        <f t="shared" si="18"/>
        <v>544140.05999999994</v>
      </c>
      <c r="T233" s="6">
        <f t="shared" si="19"/>
        <v>4</v>
      </c>
    </row>
    <row r="234" spans="1:20" x14ac:dyDescent="0.3">
      <c r="A234" t="s">
        <v>1301</v>
      </c>
      <c r="B234" s="13" t="s">
        <v>1032</v>
      </c>
      <c r="C234" s="16">
        <f t="shared" si="15"/>
        <v>45689</v>
      </c>
      <c r="D234" t="s">
        <v>975</v>
      </c>
      <c r="E234" t="s">
        <v>43</v>
      </c>
      <c r="F234" t="s">
        <v>971</v>
      </c>
      <c r="G234" t="s">
        <v>1051</v>
      </c>
      <c r="H234" t="s">
        <v>1000</v>
      </c>
      <c r="I234">
        <v>376</v>
      </c>
      <c r="J234" s="3">
        <v>683.45</v>
      </c>
      <c r="K234" s="3">
        <v>256977.2</v>
      </c>
      <c r="L234">
        <v>538</v>
      </c>
      <c r="M234" t="s">
        <v>1233</v>
      </c>
      <c r="N234" s="16">
        <f t="shared" si="16"/>
        <v>45717</v>
      </c>
      <c r="O234" t="s">
        <v>120</v>
      </c>
      <c r="P234" t="str">
        <f t="shared" si="17"/>
        <v>March 2025</v>
      </c>
      <c r="Q234" t="s">
        <v>959</v>
      </c>
      <c r="R234" s="8">
        <v>20719.05</v>
      </c>
      <c r="S234" s="8">
        <f t="shared" si="18"/>
        <v>277696.25</v>
      </c>
      <c r="T234" s="6">
        <f t="shared" si="19"/>
        <v>1</v>
      </c>
    </row>
    <row r="235" spans="1:20" x14ac:dyDescent="0.3">
      <c r="A235" t="s">
        <v>1302</v>
      </c>
      <c r="B235" s="13" t="s">
        <v>613</v>
      </c>
      <c r="C235" s="16">
        <f t="shared" si="15"/>
        <v>45658</v>
      </c>
      <c r="D235" t="s">
        <v>984</v>
      </c>
      <c r="E235" t="s">
        <v>990</v>
      </c>
      <c r="F235" t="s">
        <v>980</v>
      </c>
      <c r="G235" t="s">
        <v>1098</v>
      </c>
      <c r="H235" t="s">
        <v>982</v>
      </c>
      <c r="I235">
        <v>564</v>
      </c>
      <c r="J235" s="3">
        <v>640.12</v>
      </c>
      <c r="K235" s="3">
        <v>361027.68</v>
      </c>
      <c r="L235">
        <v>683</v>
      </c>
      <c r="M235" t="s">
        <v>916</v>
      </c>
      <c r="N235" s="16">
        <f t="shared" si="16"/>
        <v>45658</v>
      </c>
      <c r="O235" t="s">
        <v>861</v>
      </c>
      <c r="P235" t="str">
        <f t="shared" si="17"/>
        <v>January 2025</v>
      </c>
      <c r="Q235" t="s">
        <v>959</v>
      </c>
      <c r="R235" s="8">
        <v>39253.14</v>
      </c>
      <c r="S235" s="8">
        <f t="shared" si="18"/>
        <v>400280.82</v>
      </c>
      <c r="T235" s="6">
        <f t="shared" si="19"/>
        <v>2</v>
      </c>
    </row>
    <row r="236" spans="1:20" x14ac:dyDescent="0.3">
      <c r="A236" t="s">
        <v>1303</v>
      </c>
      <c r="B236" s="13" t="s">
        <v>163</v>
      </c>
      <c r="C236" s="16">
        <f t="shared" si="15"/>
        <v>45992</v>
      </c>
      <c r="D236" t="s">
        <v>1021</v>
      </c>
      <c r="E236" t="s">
        <v>962</v>
      </c>
      <c r="F236" t="s">
        <v>956</v>
      </c>
      <c r="G236" t="s">
        <v>1015</v>
      </c>
      <c r="H236" t="s">
        <v>1000</v>
      </c>
      <c r="I236">
        <v>1557</v>
      </c>
      <c r="J236" s="3">
        <v>787.87</v>
      </c>
      <c r="K236" s="3">
        <v>1226713.5900000001</v>
      </c>
      <c r="L236">
        <v>497</v>
      </c>
      <c r="M236" t="s">
        <v>575</v>
      </c>
      <c r="N236" s="16">
        <f t="shared" si="16"/>
        <v>45992</v>
      </c>
      <c r="O236" t="s">
        <v>58</v>
      </c>
      <c r="P236" t="str">
        <f t="shared" si="17"/>
        <v>December 2025</v>
      </c>
      <c r="Q236" t="s">
        <v>959</v>
      </c>
      <c r="R236" s="8">
        <v>29522.97</v>
      </c>
      <c r="S236" s="8">
        <f t="shared" si="18"/>
        <v>1256236.56</v>
      </c>
      <c r="T236" s="6">
        <f t="shared" si="19"/>
        <v>1</v>
      </c>
    </row>
    <row r="237" spans="1:20" x14ac:dyDescent="0.3">
      <c r="A237" t="s">
        <v>1304</v>
      </c>
      <c r="B237" s="13" t="s">
        <v>430</v>
      </c>
      <c r="C237" s="16">
        <f t="shared" si="15"/>
        <v>45839</v>
      </c>
      <c r="D237" t="s">
        <v>1003</v>
      </c>
      <c r="E237" t="s">
        <v>49</v>
      </c>
      <c r="F237" t="s">
        <v>956</v>
      </c>
      <c r="G237" t="s">
        <v>985</v>
      </c>
      <c r="H237" t="s">
        <v>958</v>
      </c>
      <c r="I237">
        <v>454</v>
      </c>
      <c r="J237" s="3">
        <v>539.24</v>
      </c>
      <c r="K237" s="3">
        <v>244814.96</v>
      </c>
      <c r="L237">
        <v>217</v>
      </c>
      <c r="M237" t="s">
        <v>492</v>
      </c>
      <c r="N237" s="16">
        <f t="shared" si="16"/>
        <v>45870</v>
      </c>
      <c r="O237" t="s">
        <v>498</v>
      </c>
      <c r="P237" t="str">
        <f t="shared" si="17"/>
        <v>August 2025</v>
      </c>
      <c r="Q237" t="s">
        <v>959</v>
      </c>
      <c r="R237" s="8">
        <v>9780.49</v>
      </c>
      <c r="S237" s="8">
        <f t="shared" si="18"/>
        <v>254595.44999999998</v>
      </c>
      <c r="T237" s="6">
        <f t="shared" si="19"/>
        <v>3</v>
      </c>
    </row>
    <row r="238" spans="1:20" x14ac:dyDescent="0.3">
      <c r="A238" t="s">
        <v>1305</v>
      </c>
      <c r="B238" s="13" t="s">
        <v>714</v>
      </c>
      <c r="C238" s="16">
        <f t="shared" si="15"/>
        <v>45962</v>
      </c>
      <c r="D238" t="s">
        <v>955</v>
      </c>
      <c r="E238" t="s">
        <v>43</v>
      </c>
      <c r="F238" t="s">
        <v>963</v>
      </c>
      <c r="G238" t="s">
        <v>1068</v>
      </c>
      <c r="H238" t="s">
        <v>958</v>
      </c>
      <c r="I238">
        <v>474</v>
      </c>
      <c r="J238" s="3">
        <v>544.36</v>
      </c>
      <c r="K238" s="3">
        <v>258026.64</v>
      </c>
      <c r="L238">
        <v>617</v>
      </c>
      <c r="M238" t="s">
        <v>1048</v>
      </c>
      <c r="N238" s="16">
        <f t="shared" si="16"/>
        <v>45962</v>
      </c>
      <c r="O238" t="s">
        <v>796</v>
      </c>
      <c r="P238" t="str">
        <f t="shared" si="17"/>
        <v>November 2025</v>
      </c>
      <c r="Q238" t="s">
        <v>966</v>
      </c>
      <c r="R238" s="8">
        <v>24848.12</v>
      </c>
      <c r="S238" s="8">
        <f t="shared" si="18"/>
        <v>282874.76</v>
      </c>
      <c r="T238" s="6">
        <f t="shared" si="19"/>
        <v>-1</v>
      </c>
    </row>
    <row r="239" spans="1:20" x14ac:dyDescent="0.3">
      <c r="A239" t="s">
        <v>1306</v>
      </c>
      <c r="B239" s="13" t="s">
        <v>389</v>
      </c>
      <c r="C239" s="16">
        <f t="shared" si="15"/>
        <v>45992</v>
      </c>
      <c r="D239" t="s">
        <v>1011</v>
      </c>
      <c r="E239" t="s">
        <v>49</v>
      </c>
      <c r="F239" t="s">
        <v>956</v>
      </c>
      <c r="G239" t="s">
        <v>1026</v>
      </c>
      <c r="H239" t="s">
        <v>977</v>
      </c>
      <c r="I239">
        <v>1935</v>
      </c>
      <c r="J239" s="3">
        <v>807.69</v>
      </c>
      <c r="K239" s="3">
        <v>1562880.15</v>
      </c>
      <c r="L239">
        <v>192</v>
      </c>
      <c r="M239" t="s">
        <v>765</v>
      </c>
      <c r="N239" s="16">
        <f t="shared" si="16"/>
        <v>45992</v>
      </c>
      <c r="O239" t="s">
        <v>163</v>
      </c>
      <c r="P239" t="str">
        <f t="shared" si="17"/>
        <v>December 2025</v>
      </c>
      <c r="Q239" t="s">
        <v>959</v>
      </c>
      <c r="R239" s="8">
        <v>11155.46</v>
      </c>
      <c r="S239" s="8">
        <f t="shared" si="18"/>
        <v>1574035.6099999999</v>
      </c>
      <c r="T239" s="6">
        <f t="shared" si="19"/>
        <v>1</v>
      </c>
    </row>
    <row r="240" spans="1:20" x14ac:dyDescent="0.3">
      <c r="A240" t="s">
        <v>1307</v>
      </c>
      <c r="B240" s="13" t="s">
        <v>120</v>
      </c>
      <c r="C240" s="16">
        <f t="shared" si="15"/>
        <v>45717</v>
      </c>
      <c r="D240" t="s">
        <v>1011</v>
      </c>
      <c r="E240" t="s">
        <v>987</v>
      </c>
      <c r="F240" t="s">
        <v>956</v>
      </c>
      <c r="G240" t="s">
        <v>1098</v>
      </c>
      <c r="H240" t="s">
        <v>965</v>
      </c>
      <c r="I240">
        <v>1886</v>
      </c>
      <c r="J240" s="3">
        <v>293.89</v>
      </c>
      <c r="K240" s="3">
        <v>554276.54</v>
      </c>
      <c r="L240">
        <v>138</v>
      </c>
      <c r="M240" t="s">
        <v>1298</v>
      </c>
      <c r="N240" s="16">
        <f t="shared" si="16"/>
        <v>45717</v>
      </c>
      <c r="O240" t="s">
        <v>433</v>
      </c>
      <c r="P240" t="str">
        <f t="shared" si="17"/>
        <v>March 2025</v>
      </c>
      <c r="Q240" t="s">
        <v>959</v>
      </c>
      <c r="R240" s="8">
        <v>5030.1400000000003</v>
      </c>
      <c r="S240" s="8">
        <f t="shared" si="18"/>
        <v>559306.68000000005</v>
      </c>
      <c r="T240" s="6">
        <f t="shared" si="19"/>
        <v>3</v>
      </c>
    </row>
    <row r="241" spans="1:20" x14ac:dyDescent="0.3">
      <c r="A241" t="s">
        <v>1308</v>
      </c>
      <c r="B241" s="13" t="s">
        <v>293</v>
      </c>
      <c r="C241" s="16">
        <f t="shared" si="15"/>
        <v>45778</v>
      </c>
      <c r="D241" t="s">
        <v>968</v>
      </c>
      <c r="E241" t="s">
        <v>962</v>
      </c>
      <c r="F241" t="s">
        <v>971</v>
      </c>
      <c r="G241" t="s">
        <v>1036</v>
      </c>
      <c r="H241" t="s">
        <v>1000</v>
      </c>
      <c r="I241">
        <v>2068</v>
      </c>
      <c r="J241" s="3">
        <v>128.12</v>
      </c>
      <c r="K241" s="3">
        <v>264952.15999999997</v>
      </c>
      <c r="L241">
        <v>602</v>
      </c>
      <c r="M241" t="s">
        <v>1125</v>
      </c>
      <c r="N241" s="16">
        <f t="shared" si="16"/>
        <v>45778</v>
      </c>
      <c r="O241" t="s">
        <v>126</v>
      </c>
      <c r="P241" t="str">
        <f t="shared" si="17"/>
        <v>May 2025</v>
      </c>
      <c r="Q241" t="s">
        <v>959</v>
      </c>
      <c r="R241" s="8">
        <v>27808.06</v>
      </c>
      <c r="S241" s="8">
        <f t="shared" si="18"/>
        <v>292760.21999999997</v>
      </c>
      <c r="T241" s="6">
        <f t="shared" si="19"/>
        <v>1</v>
      </c>
    </row>
    <row r="242" spans="1:20" x14ac:dyDescent="0.3">
      <c r="A242" t="s">
        <v>1309</v>
      </c>
      <c r="B242" s="13" t="s">
        <v>525</v>
      </c>
      <c r="C242" s="16">
        <f t="shared" si="15"/>
        <v>45931</v>
      </c>
      <c r="D242" t="s">
        <v>975</v>
      </c>
      <c r="E242" t="s">
        <v>43</v>
      </c>
      <c r="F242" t="s">
        <v>971</v>
      </c>
      <c r="G242" t="s">
        <v>996</v>
      </c>
      <c r="H242" t="s">
        <v>973</v>
      </c>
      <c r="I242">
        <v>2265</v>
      </c>
      <c r="J242" s="3">
        <v>762.6</v>
      </c>
      <c r="K242" s="3">
        <v>1727289</v>
      </c>
      <c r="L242">
        <v>562</v>
      </c>
      <c r="M242" t="s">
        <v>1198</v>
      </c>
      <c r="N242" s="16">
        <f t="shared" si="16"/>
        <v>45931</v>
      </c>
      <c r="O242" t="s">
        <v>311</v>
      </c>
      <c r="P242" t="str">
        <f t="shared" si="17"/>
        <v>October 2025</v>
      </c>
      <c r="Q242" t="s">
        <v>959</v>
      </c>
      <c r="R242" s="8">
        <v>28023.14</v>
      </c>
      <c r="S242" s="8">
        <f t="shared" si="18"/>
        <v>1755312.14</v>
      </c>
      <c r="T242" s="6">
        <f t="shared" si="19"/>
        <v>3</v>
      </c>
    </row>
    <row r="243" spans="1:20" x14ac:dyDescent="0.3">
      <c r="A243" t="s">
        <v>1310</v>
      </c>
      <c r="B243" s="13" t="s">
        <v>683</v>
      </c>
      <c r="C243" s="16">
        <f t="shared" si="15"/>
        <v>45748</v>
      </c>
      <c r="D243" t="s">
        <v>1011</v>
      </c>
      <c r="E243" t="s">
        <v>987</v>
      </c>
      <c r="F243" t="s">
        <v>971</v>
      </c>
      <c r="G243" t="s">
        <v>1132</v>
      </c>
      <c r="H243" t="s">
        <v>1023</v>
      </c>
      <c r="I243">
        <v>2459</v>
      </c>
      <c r="J243" s="3">
        <v>631.57000000000005</v>
      </c>
      <c r="K243" s="3">
        <v>1553030.63</v>
      </c>
      <c r="L243">
        <v>466</v>
      </c>
      <c r="M243" t="s">
        <v>167</v>
      </c>
      <c r="N243" s="16">
        <f t="shared" si="16"/>
        <v>45748</v>
      </c>
      <c r="O243" t="s">
        <v>530</v>
      </c>
      <c r="P243" t="str">
        <f t="shared" si="17"/>
        <v>May 2025</v>
      </c>
      <c r="Q243" t="s">
        <v>959</v>
      </c>
      <c r="R243" s="8">
        <v>28851.19</v>
      </c>
      <c r="S243" s="8">
        <f t="shared" si="18"/>
        <v>1581881.8199999998</v>
      </c>
      <c r="T243" s="6">
        <f t="shared" si="19"/>
        <v>3</v>
      </c>
    </row>
    <row r="244" spans="1:20" x14ac:dyDescent="0.3">
      <c r="A244" t="s">
        <v>1311</v>
      </c>
      <c r="B244" s="13" t="s">
        <v>182</v>
      </c>
      <c r="C244" s="16">
        <f t="shared" si="15"/>
        <v>45689</v>
      </c>
      <c r="D244" t="s">
        <v>984</v>
      </c>
      <c r="E244" t="s">
        <v>43</v>
      </c>
      <c r="F244" t="s">
        <v>956</v>
      </c>
      <c r="G244" t="s">
        <v>994</v>
      </c>
      <c r="H244" t="s">
        <v>982</v>
      </c>
      <c r="I244">
        <v>291</v>
      </c>
      <c r="J244" s="3">
        <v>130.78</v>
      </c>
      <c r="K244" s="3">
        <v>38056.980000000003</v>
      </c>
      <c r="L244">
        <v>533</v>
      </c>
      <c r="M244" t="s">
        <v>1312</v>
      </c>
      <c r="N244" s="16">
        <f t="shared" si="16"/>
        <v>45689</v>
      </c>
      <c r="O244" t="s">
        <v>697</v>
      </c>
      <c r="P244" t="str">
        <f t="shared" si="17"/>
        <v>February 2025</v>
      </c>
      <c r="Q244" t="s">
        <v>966</v>
      </c>
      <c r="R244" s="8">
        <v>31445.96</v>
      </c>
      <c r="S244" s="8">
        <f t="shared" si="18"/>
        <v>69502.94</v>
      </c>
      <c r="T244" s="6">
        <f t="shared" si="19"/>
        <v>-1</v>
      </c>
    </row>
    <row r="245" spans="1:20" x14ac:dyDescent="0.3">
      <c r="A245" t="s">
        <v>1313</v>
      </c>
      <c r="B245" s="13" t="s">
        <v>330</v>
      </c>
      <c r="C245" s="16">
        <f t="shared" si="15"/>
        <v>45992</v>
      </c>
      <c r="D245" t="s">
        <v>984</v>
      </c>
      <c r="E245" t="s">
        <v>962</v>
      </c>
      <c r="F245" t="s">
        <v>956</v>
      </c>
      <c r="G245" t="s">
        <v>991</v>
      </c>
      <c r="H245" t="s">
        <v>958</v>
      </c>
      <c r="I245">
        <v>2011</v>
      </c>
      <c r="J245" s="3">
        <v>798.74</v>
      </c>
      <c r="K245" s="3">
        <v>1606266.14</v>
      </c>
      <c r="L245">
        <v>557</v>
      </c>
      <c r="M245" t="s">
        <v>1133</v>
      </c>
      <c r="N245" s="16">
        <f t="shared" si="16"/>
        <v>46023</v>
      </c>
      <c r="O245" t="s">
        <v>1314</v>
      </c>
      <c r="P245" t="str">
        <f t="shared" si="17"/>
        <v>January 2026</v>
      </c>
      <c r="Q245" t="s">
        <v>959</v>
      </c>
      <c r="R245" s="8">
        <v>23987.5</v>
      </c>
      <c r="S245" s="8">
        <f t="shared" si="18"/>
        <v>1630253.64</v>
      </c>
      <c r="T245" s="6">
        <f t="shared" si="19"/>
        <v>4</v>
      </c>
    </row>
    <row r="246" spans="1:20" x14ac:dyDescent="0.3">
      <c r="A246" t="s">
        <v>1315</v>
      </c>
      <c r="B246" s="13" t="s">
        <v>363</v>
      </c>
      <c r="C246" s="16">
        <f t="shared" si="15"/>
        <v>45689</v>
      </c>
      <c r="D246" t="s">
        <v>1011</v>
      </c>
      <c r="E246" t="s">
        <v>962</v>
      </c>
      <c r="F246" t="s">
        <v>956</v>
      </c>
      <c r="G246" t="s">
        <v>1026</v>
      </c>
      <c r="H246" t="s">
        <v>1000</v>
      </c>
      <c r="I246">
        <v>725</v>
      </c>
      <c r="J246" s="3">
        <v>802.87</v>
      </c>
      <c r="K246" s="3">
        <v>582080.75</v>
      </c>
      <c r="L246">
        <v>111</v>
      </c>
      <c r="M246" t="s">
        <v>152</v>
      </c>
      <c r="N246" s="16">
        <f t="shared" si="16"/>
        <v>45689</v>
      </c>
      <c r="O246" t="s">
        <v>152</v>
      </c>
      <c r="P246" t="str">
        <f t="shared" si="17"/>
        <v>February 2025</v>
      </c>
      <c r="Q246" t="s">
        <v>966</v>
      </c>
      <c r="R246" s="8">
        <v>6739.03</v>
      </c>
      <c r="S246" s="8">
        <f t="shared" si="18"/>
        <v>588819.78</v>
      </c>
      <c r="T246" s="6">
        <f t="shared" si="19"/>
        <v>0</v>
      </c>
    </row>
    <row r="247" spans="1:20" x14ac:dyDescent="0.3">
      <c r="A247" t="s">
        <v>1316</v>
      </c>
      <c r="B247" s="13" t="s">
        <v>392</v>
      </c>
      <c r="C247" s="16">
        <f t="shared" si="15"/>
        <v>45962</v>
      </c>
      <c r="D247" t="s">
        <v>968</v>
      </c>
      <c r="E247" t="s">
        <v>990</v>
      </c>
      <c r="F247" t="s">
        <v>980</v>
      </c>
      <c r="G247" t="s">
        <v>1015</v>
      </c>
      <c r="H247" t="s">
        <v>1023</v>
      </c>
      <c r="I247">
        <v>1551</v>
      </c>
      <c r="J247" s="3">
        <v>616.16999999999996</v>
      </c>
      <c r="K247" s="3">
        <v>955679.67</v>
      </c>
      <c r="L247">
        <v>60</v>
      </c>
      <c r="M247" t="s">
        <v>1317</v>
      </c>
      <c r="N247" s="16">
        <f t="shared" si="16"/>
        <v>45962</v>
      </c>
      <c r="O247" t="s">
        <v>318</v>
      </c>
      <c r="P247" t="str">
        <f t="shared" si="17"/>
        <v>December 2025</v>
      </c>
      <c r="Q247" t="s">
        <v>959</v>
      </c>
      <c r="R247" s="8">
        <v>3137.35</v>
      </c>
      <c r="S247" s="8">
        <f t="shared" si="18"/>
        <v>958817.02</v>
      </c>
      <c r="T247" s="6">
        <f t="shared" si="19"/>
        <v>2</v>
      </c>
    </row>
    <row r="248" spans="1:20" x14ac:dyDescent="0.3">
      <c r="A248" t="s">
        <v>1318</v>
      </c>
      <c r="B248" s="13" t="s">
        <v>714</v>
      </c>
      <c r="C248" s="16">
        <f t="shared" si="15"/>
        <v>45962</v>
      </c>
      <c r="D248" t="s">
        <v>961</v>
      </c>
      <c r="E248" t="s">
        <v>49</v>
      </c>
      <c r="F248" t="s">
        <v>971</v>
      </c>
      <c r="G248" t="s">
        <v>1040</v>
      </c>
      <c r="H248" t="s">
        <v>965</v>
      </c>
      <c r="I248">
        <v>1980</v>
      </c>
      <c r="J248" s="3">
        <v>811.89</v>
      </c>
      <c r="K248" s="3">
        <v>1607542.2</v>
      </c>
      <c r="L248">
        <v>270</v>
      </c>
      <c r="M248" t="s">
        <v>796</v>
      </c>
      <c r="N248" s="16">
        <f t="shared" si="16"/>
        <v>45962</v>
      </c>
      <c r="O248" t="s">
        <v>796</v>
      </c>
      <c r="P248" t="str">
        <f t="shared" si="17"/>
        <v>November 2025</v>
      </c>
      <c r="Q248" t="s">
        <v>966</v>
      </c>
      <c r="R248" s="8">
        <v>16404.5</v>
      </c>
      <c r="S248" s="8">
        <f t="shared" si="18"/>
        <v>1623946.7</v>
      </c>
      <c r="T248" s="6">
        <f t="shared" si="19"/>
        <v>0</v>
      </c>
    </row>
    <row r="249" spans="1:20" x14ac:dyDescent="0.3">
      <c r="A249" t="s">
        <v>1319</v>
      </c>
      <c r="B249" s="13" t="s">
        <v>165</v>
      </c>
      <c r="C249" s="16">
        <f t="shared" si="15"/>
        <v>45778</v>
      </c>
      <c r="D249" t="s">
        <v>955</v>
      </c>
      <c r="E249" t="s">
        <v>990</v>
      </c>
      <c r="F249" t="s">
        <v>971</v>
      </c>
      <c r="G249" t="s">
        <v>972</v>
      </c>
      <c r="H249" t="s">
        <v>1023</v>
      </c>
      <c r="I249">
        <v>2424</v>
      </c>
      <c r="J249" s="3">
        <v>872.14</v>
      </c>
      <c r="K249" s="3">
        <v>2114067.36</v>
      </c>
      <c r="L249">
        <v>177</v>
      </c>
      <c r="M249" t="s">
        <v>802</v>
      </c>
      <c r="N249" s="16">
        <f t="shared" si="16"/>
        <v>45778</v>
      </c>
      <c r="O249" t="s">
        <v>1094</v>
      </c>
      <c r="P249" t="str">
        <f t="shared" si="17"/>
        <v>June 2025</v>
      </c>
      <c r="Q249" t="s">
        <v>959</v>
      </c>
      <c r="R249" s="8">
        <v>9793.0400000000009</v>
      </c>
      <c r="S249" s="8">
        <f t="shared" si="18"/>
        <v>2123860.4</v>
      </c>
      <c r="T249" s="6">
        <f t="shared" si="19"/>
        <v>3</v>
      </c>
    </row>
    <row r="250" spans="1:20" x14ac:dyDescent="0.3">
      <c r="A250" t="s">
        <v>1320</v>
      </c>
      <c r="B250" s="13" t="s">
        <v>141</v>
      </c>
      <c r="C250" s="16">
        <f t="shared" si="15"/>
        <v>45717</v>
      </c>
      <c r="D250" t="s">
        <v>1011</v>
      </c>
      <c r="E250" t="s">
        <v>33</v>
      </c>
      <c r="F250" t="s">
        <v>980</v>
      </c>
      <c r="G250" t="s">
        <v>1221</v>
      </c>
      <c r="H250" t="s">
        <v>973</v>
      </c>
      <c r="I250">
        <v>260</v>
      </c>
      <c r="J250" s="3">
        <v>566.11</v>
      </c>
      <c r="K250" s="3">
        <v>147188.6</v>
      </c>
      <c r="L250">
        <v>173</v>
      </c>
      <c r="M250" t="s">
        <v>233</v>
      </c>
      <c r="N250" s="16">
        <f t="shared" si="16"/>
        <v>45717</v>
      </c>
      <c r="O250" t="s">
        <v>233</v>
      </c>
      <c r="P250" t="str">
        <f t="shared" si="17"/>
        <v>March 2025</v>
      </c>
      <c r="Q250" t="s">
        <v>966</v>
      </c>
      <c r="R250" s="8">
        <v>6303.32</v>
      </c>
      <c r="S250" s="8">
        <f t="shared" si="18"/>
        <v>153491.92000000001</v>
      </c>
      <c r="T250" s="6">
        <f t="shared" si="19"/>
        <v>0</v>
      </c>
    </row>
    <row r="251" spans="1:20" x14ac:dyDescent="0.3">
      <c r="A251" t="s">
        <v>1321</v>
      </c>
      <c r="B251" s="13" t="s">
        <v>873</v>
      </c>
      <c r="C251" s="16">
        <f t="shared" si="15"/>
        <v>45901</v>
      </c>
      <c r="D251" t="s">
        <v>1011</v>
      </c>
      <c r="E251" t="s">
        <v>49</v>
      </c>
      <c r="F251" t="s">
        <v>980</v>
      </c>
      <c r="G251" t="s">
        <v>998</v>
      </c>
      <c r="H251" t="s">
        <v>982</v>
      </c>
      <c r="I251">
        <v>246</v>
      </c>
      <c r="J251" s="3">
        <v>823.81</v>
      </c>
      <c r="K251" s="3">
        <v>202657.26</v>
      </c>
      <c r="L251">
        <v>257</v>
      </c>
      <c r="M251" t="s">
        <v>156</v>
      </c>
      <c r="N251" s="16">
        <f t="shared" si="16"/>
        <v>45901</v>
      </c>
      <c r="O251" t="s">
        <v>156</v>
      </c>
      <c r="P251" t="str">
        <f t="shared" si="17"/>
        <v>September 2025</v>
      </c>
      <c r="Q251" t="s">
        <v>966</v>
      </c>
      <c r="R251" s="8">
        <v>11862.84</v>
      </c>
      <c r="S251" s="8">
        <f t="shared" si="18"/>
        <v>214520.1</v>
      </c>
      <c r="T251" s="6">
        <f t="shared" si="19"/>
        <v>0</v>
      </c>
    </row>
    <row r="252" spans="1:20" x14ac:dyDescent="0.3">
      <c r="A252" t="s">
        <v>1322</v>
      </c>
      <c r="B252" s="13" t="s">
        <v>1016</v>
      </c>
      <c r="C252" s="16">
        <f t="shared" si="15"/>
        <v>45992</v>
      </c>
      <c r="D252" t="s">
        <v>955</v>
      </c>
      <c r="E252" t="s">
        <v>49</v>
      </c>
      <c r="F252" t="s">
        <v>971</v>
      </c>
      <c r="G252" t="s">
        <v>1068</v>
      </c>
      <c r="H252" t="s">
        <v>1000</v>
      </c>
      <c r="I252">
        <v>928</v>
      </c>
      <c r="J252" s="3">
        <v>571.94000000000005</v>
      </c>
      <c r="K252" s="3">
        <v>530760.31999999995</v>
      </c>
      <c r="L252">
        <v>468</v>
      </c>
      <c r="M252" t="s">
        <v>899</v>
      </c>
      <c r="N252" s="16">
        <f t="shared" si="16"/>
        <v>45992</v>
      </c>
      <c r="O252" t="s">
        <v>503</v>
      </c>
      <c r="P252" t="str">
        <f t="shared" si="17"/>
        <v>December 2025</v>
      </c>
      <c r="Q252" t="s">
        <v>959</v>
      </c>
      <c r="R252" s="8">
        <v>27447.17</v>
      </c>
      <c r="S252" s="8">
        <f t="shared" si="18"/>
        <v>558207.49</v>
      </c>
      <c r="T252" s="6">
        <f t="shared" si="19"/>
        <v>3</v>
      </c>
    </row>
    <row r="253" spans="1:20" x14ac:dyDescent="0.3">
      <c r="A253" t="s">
        <v>1323</v>
      </c>
      <c r="B253" s="13" t="s">
        <v>217</v>
      </c>
      <c r="C253" s="16">
        <f t="shared" si="15"/>
        <v>45962</v>
      </c>
      <c r="D253" t="s">
        <v>968</v>
      </c>
      <c r="E253" t="s">
        <v>990</v>
      </c>
      <c r="F253" t="s">
        <v>980</v>
      </c>
      <c r="G253" t="s">
        <v>1036</v>
      </c>
      <c r="H253" t="s">
        <v>958</v>
      </c>
      <c r="I253">
        <v>645</v>
      </c>
      <c r="J253" s="3">
        <v>495.6</v>
      </c>
      <c r="K253" s="3">
        <v>319662</v>
      </c>
      <c r="L253">
        <v>241</v>
      </c>
      <c r="M253" t="s">
        <v>624</v>
      </c>
      <c r="N253" s="16">
        <f t="shared" si="16"/>
        <v>45962</v>
      </c>
      <c r="O253" t="s">
        <v>536</v>
      </c>
      <c r="P253" t="str">
        <f t="shared" si="17"/>
        <v>November 2025</v>
      </c>
      <c r="Q253" t="s">
        <v>959</v>
      </c>
      <c r="R253" s="8">
        <v>12007.22</v>
      </c>
      <c r="S253" s="8">
        <f t="shared" si="18"/>
        <v>331669.21999999997</v>
      </c>
      <c r="T253" s="6">
        <f t="shared" si="19"/>
        <v>2</v>
      </c>
    </row>
    <row r="254" spans="1:20" x14ac:dyDescent="0.3">
      <c r="A254" t="s">
        <v>1324</v>
      </c>
      <c r="B254" s="13" t="s">
        <v>143</v>
      </c>
      <c r="C254" s="16">
        <f t="shared" si="15"/>
        <v>45778</v>
      </c>
      <c r="D254" t="s">
        <v>975</v>
      </c>
      <c r="E254" t="s">
        <v>990</v>
      </c>
      <c r="F254" t="s">
        <v>971</v>
      </c>
      <c r="G254" t="s">
        <v>985</v>
      </c>
      <c r="H254" t="s">
        <v>992</v>
      </c>
      <c r="I254">
        <v>1824</v>
      </c>
      <c r="J254" s="3">
        <v>119.92</v>
      </c>
      <c r="K254" s="3">
        <v>218734.07999999999</v>
      </c>
      <c r="L254">
        <v>284</v>
      </c>
      <c r="M254" t="s">
        <v>161</v>
      </c>
      <c r="N254" s="16">
        <f t="shared" si="16"/>
        <v>45778</v>
      </c>
      <c r="O254" t="s">
        <v>161</v>
      </c>
      <c r="P254" t="str">
        <f t="shared" si="17"/>
        <v>May 2025</v>
      </c>
      <c r="Q254" t="s">
        <v>966</v>
      </c>
      <c r="R254" s="8">
        <v>16580.939999999999</v>
      </c>
      <c r="S254" s="8">
        <f t="shared" si="18"/>
        <v>235315.02</v>
      </c>
      <c r="T254" s="6">
        <f t="shared" si="19"/>
        <v>0</v>
      </c>
    </row>
    <row r="255" spans="1:20" x14ac:dyDescent="0.3">
      <c r="A255" t="s">
        <v>1325</v>
      </c>
      <c r="B255" s="13" t="s">
        <v>633</v>
      </c>
      <c r="C255" s="16">
        <f t="shared" si="15"/>
        <v>45839</v>
      </c>
      <c r="D255" t="s">
        <v>961</v>
      </c>
      <c r="E255" t="s">
        <v>43</v>
      </c>
      <c r="F255" t="s">
        <v>980</v>
      </c>
      <c r="G255" t="s">
        <v>1072</v>
      </c>
      <c r="H255" t="s">
        <v>992</v>
      </c>
      <c r="I255">
        <v>646</v>
      </c>
      <c r="J255" s="3">
        <v>675.62</v>
      </c>
      <c r="K255" s="3">
        <v>436450.52</v>
      </c>
      <c r="L255">
        <v>587</v>
      </c>
      <c r="M255" t="s">
        <v>908</v>
      </c>
      <c r="N255" s="16">
        <f t="shared" si="16"/>
        <v>45839</v>
      </c>
      <c r="O255" t="s">
        <v>611</v>
      </c>
      <c r="P255" t="str">
        <f t="shared" si="17"/>
        <v>July 2025</v>
      </c>
      <c r="Q255" t="s">
        <v>959</v>
      </c>
      <c r="R255" s="8">
        <v>27883.51</v>
      </c>
      <c r="S255" s="8">
        <f t="shared" si="18"/>
        <v>464334.03</v>
      </c>
      <c r="T255" s="6">
        <f t="shared" si="19"/>
        <v>3</v>
      </c>
    </row>
    <row r="256" spans="1:20" x14ac:dyDescent="0.3">
      <c r="A256" t="s">
        <v>1326</v>
      </c>
      <c r="B256" s="13" t="s">
        <v>122</v>
      </c>
      <c r="C256" s="16">
        <f t="shared" si="15"/>
        <v>45931</v>
      </c>
      <c r="D256" t="s">
        <v>975</v>
      </c>
      <c r="E256" t="s">
        <v>987</v>
      </c>
      <c r="F256" t="s">
        <v>980</v>
      </c>
      <c r="G256" t="s">
        <v>957</v>
      </c>
      <c r="H256" t="s">
        <v>973</v>
      </c>
      <c r="I256">
        <v>2059</v>
      </c>
      <c r="J256" s="3">
        <v>635.54999999999995</v>
      </c>
      <c r="K256" s="3">
        <v>1308597.45</v>
      </c>
      <c r="L256">
        <v>253</v>
      </c>
      <c r="M256" t="s">
        <v>64</v>
      </c>
      <c r="N256" s="16">
        <f t="shared" si="16"/>
        <v>45931</v>
      </c>
      <c r="O256" t="s">
        <v>210</v>
      </c>
      <c r="P256" t="str">
        <f t="shared" si="17"/>
        <v>October 2025</v>
      </c>
      <c r="Q256" t="s">
        <v>959</v>
      </c>
      <c r="R256" s="8">
        <v>13127.55</v>
      </c>
      <c r="S256" s="8">
        <f t="shared" si="18"/>
        <v>1321725</v>
      </c>
      <c r="T256" s="6">
        <f t="shared" si="19"/>
        <v>3</v>
      </c>
    </row>
    <row r="257" spans="1:20" x14ac:dyDescent="0.3">
      <c r="A257" t="s">
        <v>1327</v>
      </c>
      <c r="B257" s="13" t="s">
        <v>323</v>
      </c>
      <c r="C257" s="16">
        <f t="shared" si="15"/>
        <v>45870</v>
      </c>
      <c r="D257" t="s">
        <v>1003</v>
      </c>
      <c r="E257" t="s">
        <v>962</v>
      </c>
      <c r="F257" t="s">
        <v>956</v>
      </c>
      <c r="G257" t="s">
        <v>972</v>
      </c>
      <c r="H257" t="s">
        <v>1034</v>
      </c>
      <c r="I257">
        <v>1322</v>
      </c>
      <c r="J257" s="3">
        <v>820.71</v>
      </c>
      <c r="K257" s="3">
        <v>1084978.6200000001</v>
      </c>
      <c r="L257">
        <v>380</v>
      </c>
      <c r="M257" t="s">
        <v>266</v>
      </c>
      <c r="N257" s="16">
        <f t="shared" si="16"/>
        <v>45901</v>
      </c>
      <c r="O257" t="s">
        <v>266</v>
      </c>
      <c r="P257" t="str">
        <f t="shared" si="17"/>
        <v>September 2025</v>
      </c>
      <c r="Q257" t="s">
        <v>966</v>
      </c>
      <c r="R257" s="8">
        <v>19509.810000000001</v>
      </c>
      <c r="S257" s="8">
        <f t="shared" si="18"/>
        <v>1104488.4300000002</v>
      </c>
      <c r="T257" s="6">
        <f t="shared" si="19"/>
        <v>0</v>
      </c>
    </row>
    <row r="258" spans="1:20" x14ac:dyDescent="0.3">
      <c r="A258" t="s">
        <v>1328</v>
      </c>
      <c r="B258" s="13" t="s">
        <v>184</v>
      </c>
      <c r="C258" s="16">
        <f t="shared" si="15"/>
        <v>45901</v>
      </c>
      <c r="D258" t="s">
        <v>968</v>
      </c>
      <c r="E258" t="s">
        <v>987</v>
      </c>
      <c r="F258" t="s">
        <v>963</v>
      </c>
      <c r="G258" t="s">
        <v>1036</v>
      </c>
      <c r="H258" t="s">
        <v>1000</v>
      </c>
      <c r="I258">
        <v>1913</v>
      </c>
      <c r="J258" s="3">
        <v>527.52</v>
      </c>
      <c r="K258" s="3">
        <v>1009145.76</v>
      </c>
      <c r="L258">
        <v>448</v>
      </c>
      <c r="M258" t="s">
        <v>1254</v>
      </c>
      <c r="N258" s="16">
        <f t="shared" si="16"/>
        <v>45901</v>
      </c>
      <c r="O258" t="s">
        <v>48</v>
      </c>
      <c r="P258" t="str">
        <f t="shared" si="17"/>
        <v>September 2025</v>
      </c>
      <c r="Q258" t="s">
        <v>959</v>
      </c>
      <c r="R258" s="8">
        <v>25723.88</v>
      </c>
      <c r="S258" s="8">
        <f t="shared" si="18"/>
        <v>1034869.64</v>
      </c>
      <c r="T258" s="6">
        <f t="shared" si="19"/>
        <v>2</v>
      </c>
    </row>
    <row r="259" spans="1:20" x14ac:dyDescent="0.3">
      <c r="A259" t="s">
        <v>1329</v>
      </c>
      <c r="B259" s="13" t="s">
        <v>668</v>
      </c>
      <c r="C259" s="16">
        <f t="shared" ref="C259:C322" si="20">DATE(YEAR(B259), MONTH(B259), 1)</f>
        <v>45778</v>
      </c>
      <c r="D259" t="s">
        <v>1011</v>
      </c>
      <c r="E259" t="s">
        <v>33</v>
      </c>
      <c r="F259" t="s">
        <v>963</v>
      </c>
      <c r="G259" t="s">
        <v>991</v>
      </c>
      <c r="H259" t="s">
        <v>1018</v>
      </c>
      <c r="I259">
        <v>203</v>
      </c>
      <c r="J259" s="3">
        <v>690.48</v>
      </c>
      <c r="K259" s="3">
        <v>140167.44</v>
      </c>
      <c r="L259">
        <v>590</v>
      </c>
      <c r="M259" t="s">
        <v>642</v>
      </c>
      <c r="N259" s="16">
        <f t="shared" ref="N259:N322" si="21">DATE(YEAR(M259), MONTH(M259),1)</f>
        <v>45778</v>
      </c>
      <c r="O259" t="s">
        <v>650</v>
      </c>
      <c r="P259" t="str">
        <f t="shared" ref="P259:P322" si="22">TEXT(O259, "mmmm yyyy")</f>
        <v>May 2025</v>
      </c>
      <c r="Q259" t="s">
        <v>959</v>
      </c>
      <c r="R259" s="8">
        <v>32064.49</v>
      </c>
      <c r="S259" s="8">
        <f t="shared" ref="S259:S322" si="23">K259 +R259</f>
        <v>172231.93</v>
      </c>
      <c r="T259" s="6">
        <f t="shared" si="19"/>
        <v>2</v>
      </c>
    </row>
    <row r="260" spans="1:20" x14ac:dyDescent="0.3">
      <c r="A260" t="s">
        <v>1330</v>
      </c>
      <c r="B260" s="13" t="s">
        <v>441</v>
      </c>
      <c r="C260" s="16">
        <f t="shared" si="20"/>
        <v>45809</v>
      </c>
      <c r="D260" t="s">
        <v>1003</v>
      </c>
      <c r="E260" t="s">
        <v>987</v>
      </c>
      <c r="F260" t="s">
        <v>956</v>
      </c>
      <c r="G260" t="s">
        <v>1098</v>
      </c>
      <c r="H260" t="s">
        <v>965</v>
      </c>
      <c r="I260">
        <v>1333</v>
      </c>
      <c r="J260" s="3">
        <v>723.7</v>
      </c>
      <c r="K260" s="3">
        <v>964692.1</v>
      </c>
      <c r="L260">
        <v>190</v>
      </c>
      <c r="M260" t="s">
        <v>367</v>
      </c>
      <c r="N260" s="16">
        <f t="shared" si="21"/>
        <v>45809</v>
      </c>
      <c r="O260" t="s">
        <v>367</v>
      </c>
      <c r="P260" t="str">
        <f t="shared" si="22"/>
        <v>June 2025</v>
      </c>
      <c r="Q260" t="s">
        <v>966</v>
      </c>
      <c r="R260" s="8">
        <v>8753.56</v>
      </c>
      <c r="S260" s="8">
        <f t="shared" si="23"/>
        <v>973445.66</v>
      </c>
      <c r="T260" s="6">
        <f t="shared" ref="T260:T323" si="24">O260 -M260</f>
        <v>0</v>
      </c>
    </row>
    <row r="261" spans="1:20" x14ac:dyDescent="0.3">
      <c r="A261" t="s">
        <v>1331</v>
      </c>
      <c r="B261" s="13" t="s">
        <v>254</v>
      </c>
      <c r="C261" s="16">
        <f t="shared" si="20"/>
        <v>45839</v>
      </c>
      <c r="D261" t="s">
        <v>975</v>
      </c>
      <c r="E261" t="s">
        <v>49</v>
      </c>
      <c r="F261" t="s">
        <v>963</v>
      </c>
      <c r="G261" t="s">
        <v>1038</v>
      </c>
      <c r="H261" t="s">
        <v>973</v>
      </c>
      <c r="I261">
        <v>1755</v>
      </c>
      <c r="J261" s="3">
        <v>767.92</v>
      </c>
      <c r="K261" s="3">
        <v>1347699.6</v>
      </c>
      <c r="L261">
        <v>352</v>
      </c>
      <c r="M261" t="s">
        <v>1127</v>
      </c>
      <c r="N261" s="16">
        <f t="shared" si="21"/>
        <v>45839</v>
      </c>
      <c r="O261" t="s">
        <v>1127</v>
      </c>
      <c r="P261" t="str">
        <f t="shared" si="22"/>
        <v>July 2025</v>
      </c>
      <c r="Q261" t="s">
        <v>966</v>
      </c>
      <c r="R261" s="8">
        <v>13825.56</v>
      </c>
      <c r="S261" s="8">
        <f t="shared" si="23"/>
        <v>1361525.1600000001</v>
      </c>
      <c r="T261" s="6">
        <f t="shared" si="24"/>
        <v>0</v>
      </c>
    </row>
    <row r="262" spans="1:20" x14ac:dyDescent="0.3">
      <c r="A262" t="s">
        <v>1332</v>
      </c>
      <c r="B262" s="13" t="s">
        <v>244</v>
      </c>
      <c r="C262" s="16">
        <f t="shared" si="20"/>
        <v>45809</v>
      </c>
      <c r="D262" t="s">
        <v>975</v>
      </c>
      <c r="E262" t="s">
        <v>990</v>
      </c>
      <c r="F262" t="s">
        <v>980</v>
      </c>
      <c r="G262" t="s">
        <v>1078</v>
      </c>
      <c r="H262" t="s">
        <v>1034</v>
      </c>
      <c r="I262">
        <v>1733</v>
      </c>
      <c r="J262" s="3">
        <v>257.19</v>
      </c>
      <c r="K262" s="3">
        <v>445710.27</v>
      </c>
      <c r="L262">
        <v>257</v>
      </c>
      <c r="M262" t="s">
        <v>186</v>
      </c>
      <c r="N262" s="16">
        <f t="shared" si="21"/>
        <v>45809</v>
      </c>
      <c r="O262" t="s">
        <v>1245</v>
      </c>
      <c r="P262" t="str">
        <f t="shared" si="22"/>
        <v>June 2025</v>
      </c>
      <c r="Q262" t="s">
        <v>959</v>
      </c>
      <c r="R262" s="8">
        <v>11065.42</v>
      </c>
      <c r="S262" s="8">
        <f t="shared" si="23"/>
        <v>456775.69</v>
      </c>
      <c r="T262" s="6">
        <f t="shared" si="24"/>
        <v>2</v>
      </c>
    </row>
    <row r="263" spans="1:20" x14ac:dyDescent="0.3">
      <c r="A263" t="s">
        <v>1333</v>
      </c>
      <c r="B263" s="13" t="s">
        <v>96</v>
      </c>
      <c r="C263" s="16">
        <f t="shared" si="20"/>
        <v>45931</v>
      </c>
      <c r="D263" t="s">
        <v>968</v>
      </c>
      <c r="E263" t="s">
        <v>43</v>
      </c>
      <c r="F263" t="s">
        <v>971</v>
      </c>
      <c r="G263" t="s">
        <v>981</v>
      </c>
      <c r="H263" t="str">
        <f xml:space="preserve"> "Not Found"</f>
        <v>Not Found</v>
      </c>
      <c r="I263">
        <v>865</v>
      </c>
      <c r="J263" s="3">
        <v>603.63</v>
      </c>
      <c r="K263" s="3">
        <v>522139.95</v>
      </c>
      <c r="L263">
        <v>453</v>
      </c>
      <c r="M263" t="s">
        <v>114</v>
      </c>
      <c r="N263" s="16">
        <f t="shared" si="21"/>
        <v>45931</v>
      </c>
      <c r="O263" t="s">
        <v>925</v>
      </c>
      <c r="P263" t="str">
        <f t="shared" si="22"/>
        <v>November 2025</v>
      </c>
      <c r="Q263" t="s">
        <v>959</v>
      </c>
      <c r="R263" s="8">
        <v>22124.77</v>
      </c>
      <c r="S263" s="8">
        <f t="shared" si="23"/>
        <v>544264.72</v>
      </c>
      <c r="T263" s="6">
        <f t="shared" si="24"/>
        <v>3</v>
      </c>
    </row>
    <row r="264" spans="1:20" x14ac:dyDescent="0.3">
      <c r="A264" t="s">
        <v>1334</v>
      </c>
      <c r="B264" s="13" t="s">
        <v>1114</v>
      </c>
      <c r="C264" s="16">
        <f t="shared" si="20"/>
        <v>45962</v>
      </c>
      <c r="D264" t="s">
        <v>1011</v>
      </c>
      <c r="E264" t="s">
        <v>49</v>
      </c>
      <c r="F264" t="s">
        <v>956</v>
      </c>
      <c r="G264" t="s">
        <v>988</v>
      </c>
      <c r="H264" t="s">
        <v>965</v>
      </c>
      <c r="I264">
        <v>1210</v>
      </c>
      <c r="J264" s="3">
        <v>214.67</v>
      </c>
      <c r="K264" s="3">
        <v>259750.7</v>
      </c>
      <c r="L264">
        <v>207</v>
      </c>
      <c r="M264" t="s">
        <v>644</v>
      </c>
      <c r="N264" s="16">
        <f t="shared" si="21"/>
        <v>45962</v>
      </c>
      <c r="O264" t="s">
        <v>644</v>
      </c>
      <c r="P264" t="str">
        <f t="shared" si="22"/>
        <v>November 2025</v>
      </c>
      <c r="Q264" t="s">
        <v>966</v>
      </c>
      <c r="R264" s="8">
        <v>10416.24</v>
      </c>
      <c r="S264" s="8">
        <f t="shared" si="23"/>
        <v>270166.94</v>
      </c>
      <c r="T264" s="6">
        <f t="shared" si="24"/>
        <v>0</v>
      </c>
    </row>
    <row r="265" spans="1:20" x14ac:dyDescent="0.3">
      <c r="A265" t="s">
        <v>1335</v>
      </c>
      <c r="B265" s="13" t="s">
        <v>754</v>
      </c>
      <c r="C265" s="16">
        <f t="shared" si="20"/>
        <v>45689</v>
      </c>
      <c r="D265" t="s">
        <v>1021</v>
      </c>
      <c r="E265" t="s">
        <v>987</v>
      </c>
      <c r="F265" t="s">
        <v>971</v>
      </c>
      <c r="G265" t="s">
        <v>998</v>
      </c>
      <c r="H265" t="s">
        <v>973</v>
      </c>
      <c r="I265">
        <v>1183</v>
      </c>
      <c r="J265" s="3">
        <v>805.26</v>
      </c>
      <c r="K265" s="3">
        <v>952622.58</v>
      </c>
      <c r="L265">
        <v>511</v>
      </c>
      <c r="M265" t="s">
        <v>152</v>
      </c>
      <c r="N265" s="16">
        <f t="shared" si="21"/>
        <v>45689</v>
      </c>
      <c r="O265" t="s">
        <v>363</v>
      </c>
      <c r="P265" t="str">
        <f t="shared" si="22"/>
        <v>February 2025</v>
      </c>
      <c r="Q265" t="s">
        <v>966</v>
      </c>
      <c r="R265" s="8">
        <v>28720.3</v>
      </c>
      <c r="S265" s="8">
        <f t="shared" si="23"/>
        <v>981342.88</v>
      </c>
      <c r="T265" s="6">
        <f t="shared" si="24"/>
        <v>-1</v>
      </c>
    </row>
    <row r="266" spans="1:20" x14ac:dyDescent="0.3">
      <c r="A266" t="s">
        <v>1336</v>
      </c>
      <c r="B266" s="13" t="s">
        <v>873</v>
      </c>
      <c r="C266" s="16">
        <f t="shared" si="20"/>
        <v>45901</v>
      </c>
      <c r="D266" t="s">
        <v>975</v>
      </c>
      <c r="E266" t="s">
        <v>49</v>
      </c>
      <c r="F266" t="s">
        <v>980</v>
      </c>
      <c r="G266" t="s">
        <v>988</v>
      </c>
      <c r="H266" t="s">
        <v>1000</v>
      </c>
      <c r="I266">
        <v>2488</v>
      </c>
      <c r="J266" s="3">
        <v>783.38</v>
      </c>
      <c r="K266" s="3">
        <v>1949049.44</v>
      </c>
      <c r="L266">
        <v>85</v>
      </c>
      <c r="M266" t="s">
        <v>156</v>
      </c>
      <c r="N266" s="16">
        <f t="shared" si="21"/>
        <v>45901</v>
      </c>
      <c r="O266" t="s">
        <v>873</v>
      </c>
      <c r="P266" t="str">
        <f t="shared" si="22"/>
        <v>September 2025</v>
      </c>
      <c r="Q266" t="s">
        <v>966</v>
      </c>
      <c r="R266" s="8">
        <v>4858.6899999999996</v>
      </c>
      <c r="S266" s="8">
        <f t="shared" si="23"/>
        <v>1953908.13</v>
      </c>
      <c r="T266" s="6">
        <f t="shared" si="24"/>
        <v>-1</v>
      </c>
    </row>
    <row r="267" spans="1:20" x14ac:dyDescent="0.3">
      <c r="A267" t="s">
        <v>1337</v>
      </c>
      <c r="B267" s="13" t="s">
        <v>217</v>
      </c>
      <c r="C267" s="16">
        <f t="shared" si="20"/>
        <v>45962</v>
      </c>
      <c r="D267" t="s">
        <v>961</v>
      </c>
      <c r="E267" t="s">
        <v>987</v>
      </c>
      <c r="F267" t="s">
        <v>971</v>
      </c>
      <c r="G267" t="s">
        <v>1078</v>
      </c>
      <c r="H267" t="s">
        <v>982</v>
      </c>
      <c r="I267">
        <v>1475</v>
      </c>
      <c r="J267" s="3">
        <v>484.23</v>
      </c>
      <c r="K267" s="3">
        <v>714239.25</v>
      </c>
      <c r="L267">
        <v>329</v>
      </c>
      <c r="M267" t="s">
        <v>624</v>
      </c>
      <c r="N267" s="16">
        <f t="shared" si="21"/>
        <v>45962</v>
      </c>
      <c r="O267" t="s">
        <v>778</v>
      </c>
      <c r="P267" t="str">
        <f t="shared" si="22"/>
        <v>November 2025</v>
      </c>
      <c r="Q267" t="s">
        <v>959</v>
      </c>
      <c r="R267" s="8">
        <v>11787.41</v>
      </c>
      <c r="S267" s="8">
        <f t="shared" si="23"/>
        <v>726026.66</v>
      </c>
      <c r="T267" s="6">
        <f t="shared" si="24"/>
        <v>1</v>
      </c>
    </row>
    <row r="268" spans="1:20" x14ac:dyDescent="0.3">
      <c r="A268" t="s">
        <v>1338</v>
      </c>
      <c r="B268" s="13" t="s">
        <v>745</v>
      </c>
      <c r="C268" s="16">
        <f t="shared" si="20"/>
        <v>45748</v>
      </c>
      <c r="D268" t="s">
        <v>1021</v>
      </c>
      <c r="E268" t="s">
        <v>990</v>
      </c>
      <c r="F268" t="s">
        <v>980</v>
      </c>
      <c r="G268" t="s">
        <v>976</v>
      </c>
      <c r="H268" t="s">
        <v>977</v>
      </c>
      <c r="I268">
        <v>1633</v>
      </c>
      <c r="J268" s="3">
        <v>672.94</v>
      </c>
      <c r="K268" s="3">
        <v>1098911.02</v>
      </c>
      <c r="L268">
        <v>713</v>
      </c>
      <c r="M268" t="s">
        <v>320</v>
      </c>
      <c r="N268" s="16">
        <f t="shared" si="21"/>
        <v>45748</v>
      </c>
      <c r="O268" t="s">
        <v>287</v>
      </c>
      <c r="P268" t="str">
        <f t="shared" si="22"/>
        <v>April 2025</v>
      </c>
      <c r="Q268" t="s">
        <v>959</v>
      </c>
      <c r="R268" s="8">
        <v>38729.94</v>
      </c>
      <c r="S268" s="8">
        <f t="shared" si="23"/>
        <v>1137640.96</v>
      </c>
      <c r="T268" s="6">
        <f t="shared" si="24"/>
        <v>3</v>
      </c>
    </row>
    <row r="269" spans="1:20" x14ac:dyDescent="0.3">
      <c r="A269" t="s">
        <v>1339</v>
      </c>
      <c r="B269" s="13" t="s">
        <v>726</v>
      </c>
      <c r="C269" s="16">
        <f t="shared" si="20"/>
        <v>45689</v>
      </c>
      <c r="D269" t="s">
        <v>961</v>
      </c>
      <c r="E269" t="s">
        <v>49</v>
      </c>
      <c r="F269" t="s">
        <v>963</v>
      </c>
      <c r="G269" t="s">
        <v>964</v>
      </c>
      <c r="H269" t="s">
        <v>982</v>
      </c>
      <c r="I269">
        <v>364</v>
      </c>
      <c r="J269" s="3">
        <v>211.85</v>
      </c>
      <c r="K269" s="3">
        <v>77113.399999999994</v>
      </c>
      <c r="L269">
        <v>442</v>
      </c>
      <c r="M269" t="s">
        <v>182</v>
      </c>
      <c r="N269" s="16">
        <f t="shared" si="21"/>
        <v>45689</v>
      </c>
      <c r="O269" t="s">
        <v>74</v>
      </c>
      <c r="P269" t="str">
        <f t="shared" si="22"/>
        <v>February 2025</v>
      </c>
      <c r="Q269" t="s">
        <v>966</v>
      </c>
      <c r="R269" s="8">
        <v>17319.400000000001</v>
      </c>
      <c r="S269" s="8">
        <f t="shared" si="23"/>
        <v>94432.799999999988</v>
      </c>
      <c r="T269" s="6">
        <f t="shared" si="24"/>
        <v>-1</v>
      </c>
    </row>
    <row r="270" spans="1:20" x14ac:dyDescent="0.3">
      <c r="A270" t="s">
        <v>1340</v>
      </c>
      <c r="B270" s="13" t="s">
        <v>273</v>
      </c>
      <c r="C270" s="16">
        <f t="shared" si="20"/>
        <v>45658</v>
      </c>
      <c r="D270" t="s">
        <v>1021</v>
      </c>
      <c r="E270" t="s">
        <v>43</v>
      </c>
      <c r="F270" t="s">
        <v>963</v>
      </c>
      <c r="G270" t="s">
        <v>957</v>
      </c>
      <c r="H270" t="s">
        <v>958</v>
      </c>
      <c r="I270">
        <v>455</v>
      </c>
      <c r="J270" s="3">
        <v>453.51</v>
      </c>
      <c r="K270" s="3">
        <v>206347.05</v>
      </c>
      <c r="L270">
        <v>399</v>
      </c>
      <c r="M270" t="s">
        <v>459</v>
      </c>
      <c r="N270" s="16">
        <f t="shared" si="21"/>
        <v>45658</v>
      </c>
      <c r="O270" t="s">
        <v>15</v>
      </c>
      <c r="P270" t="str">
        <f t="shared" si="22"/>
        <v>February 2025</v>
      </c>
      <c r="Q270" t="s">
        <v>959</v>
      </c>
      <c r="R270" s="8">
        <v>16992.349999999999</v>
      </c>
      <c r="S270" s="8">
        <f t="shared" si="23"/>
        <v>223339.4</v>
      </c>
      <c r="T270" s="6">
        <f t="shared" si="24"/>
        <v>2</v>
      </c>
    </row>
    <row r="271" spans="1:20" x14ac:dyDescent="0.3">
      <c r="A271" t="s">
        <v>1341</v>
      </c>
      <c r="B271" s="13" t="s">
        <v>1092</v>
      </c>
      <c r="C271" s="16">
        <f t="shared" si="20"/>
        <v>45717</v>
      </c>
      <c r="D271" t="s">
        <v>961</v>
      </c>
      <c r="E271" t="s">
        <v>49</v>
      </c>
      <c r="F271" t="s">
        <v>956</v>
      </c>
      <c r="G271" t="s">
        <v>1040</v>
      </c>
      <c r="H271" t="s">
        <v>965</v>
      </c>
      <c r="I271">
        <v>813</v>
      </c>
      <c r="J271" s="3">
        <v>236.09</v>
      </c>
      <c r="K271" s="3">
        <v>191941.17</v>
      </c>
      <c r="L271">
        <v>363</v>
      </c>
      <c r="M271" t="s">
        <v>1184</v>
      </c>
      <c r="N271" s="16">
        <f t="shared" si="21"/>
        <v>45717</v>
      </c>
      <c r="O271" t="s">
        <v>1184</v>
      </c>
      <c r="P271" t="str">
        <f t="shared" si="22"/>
        <v>March 2025</v>
      </c>
      <c r="Q271" t="s">
        <v>966</v>
      </c>
      <c r="R271" s="8">
        <v>13116.94</v>
      </c>
      <c r="S271" s="8">
        <f t="shared" si="23"/>
        <v>205058.11000000002</v>
      </c>
      <c r="T271" s="6">
        <f t="shared" si="24"/>
        <v>0</v>
      </c>
    </row>
    <row r="272" spans="1:20" x14ac:dyDescent="0.3">
      <c r="A272" t="s">
        <v>1342</v>
      </c>
      <c r="B272" s="13" t="s">
        <v>219</v>
      </c>
      <c r="C272" s="16">
        <f t="shared" si="20"/>
        <v>45778</v>
      </c>
      <c r="D272" t="s">
        <v>961</v>
      </c>
      <c r="E272" t="s">
        <v>49</v>
      </c>
      <c r="F272" t="s">
        <v>963</v>
      </c>
      <c r="G272" t="s">
        <v>991</v>
      </c>
      <c r="H272" t="s">
        <v>992</v>
      </c>
      <c r="I272">
        <v>688</v>
      </c>
      <c r="J272" s="3">
        <v>180.13</v>
      </c>
      <c r="K272" s="3">
        <v>123929.44</v>
      </c>
      <c r="L272">
        <v>537</v>
      </c>
      <c r="M272" t="s">
        <v>876</v>
      </c>
      <c r="N272" s="16">
        <f t="shared" si="21"/>
        <v>45778</v>
      </c>
      <c r="O272" t="s">
        <v>918</v>
      </c>
      <c r="P272" t="str">
        <f t="shared" si="22"/>
        <v>May 2025</v>
      </c>
      <c r="Q272" t="s">
        <v>959</v>
      </c>
      <c r="R272" s="8">
        <v>27327.86</v>
      </c>
      <c r="S272" s="8">
        <f t="shared" si="23"/>
        <v>151257.29999999999</v>
      </c>
      <c r="T272" s="6">
        <f t="shared" si="24"/>
        <v>4</v>
      </c>
    </row>
    <row r="273" spans="1:20" x14ac:dyDescent="0.3">
      <c r="A273" t="s">
        <v>1343</v>
      </c>
      <c r="B273" s="13" t="s">
        <v>340</v>
      </c>
      <c r="C273" s="16">
        <f t="shared" si="20"/>
        <v>45748</v>
      </c>
      <c r="D273" t="s">
        <v>1003</v>
      </c>
      <c r="E273" t="s">
        <v>33</v>
      </c>
      <c r="F273" t="s">
        <v>963</v>
      </c>
      <c r="G273" t="s">
        <v>996</v>
      </c>
      <c r="H273" t="s">
        <v>992</v>
      </c>
      <c r="I273">
        <v>1318</v>
      </c>
      <c r="J273" s="3">
        <v>769.48</v>
      </c>
      <c r="K273" s="3">
        <v>1014174.64</v>
      </c>
      <c r="L273">
        <v>388</v>
      </c>
      <c r="M273" t="s">
        <v>1147</v>
      </c>
      <c r="N273" s="16">
        <f t="shared" si="21"/>
        <v>45748</v>
      </c>
      <c r="O273" t="s">
        <v>167</v>
      </c>
      <c r="P273" t="str">
        <f t="shared" si="22"/>
        <v>April 2025</v>
      </c>
      <c r="Q273" t="s">
        <v>966</v>
      </c>
      <c r="R273" s="8">
        <v>22387.99</v>
      </c>
      <c r="S273" s="8">
        <f t="shared" si="23"/>
        <v>1036562.63</v>
      </c>
      <c r="T273" s="6">
        <f t="shared" si="24"/>
        <v>-1</v>
      </c>
    </row>
    <row r="274" spans="1:20" x14ac:dyDescent="0.3">
      <c r="A274" t="s">
        <v>1344</v>
      </c>
      <c r="B274" s="13" t="s">
        <v>416</v>
      </c>
      <c r="C274" s="16">
        <f t="shared" si="20"/>
        <v>45809</v>
      </c>
      <c r="D274" t="s">
        <v>955</v>
      </c>
      <c r="E274" t="s">
        <v>987</v>
      </c>
      <c r="F274" t="s">
        <v>980</v>
      </c>
      <c r="G274" t="s">
        <v>988</v>
      </c>
      <c r="H274" t="s">
        <v>1000</v>
      </c>
      <c r="I274">
        <v>1347</v>
      </c>
      <c r="J274" s="3">
        <v>97.27</v>
      </c>
      <c r="K274" s="3">
        <v>131022.69</v>
      </c>
      <c r="L274">
        <v>160</v>
      </c>
      <c r="M274" t="s">
        <v>79</v>
      </c>
      <c r="N274" s="16">
        <f t="shared" si="21"/>
        <v>45809</v>
      </c>
      <c r="O274" t="s">
        <v>79</v>
      </c>
      <c r="P274" t="str">
        <f t="shared" si="22"/>
        <v>June 2025</v>
      </c>
      <c r="Q274" t="s">
        <v>966</v>
      </c>
      <c r="R274" s="8">
        <v>9046.6</v>
      </c>
      <c r="S274" s="8">
        <f t="shared" si="23"/>
        <v>140069.29</v>
      </c>
      <c r="T274" s="6">
        <f t="shared" si="24"/>
        <v>0</v>
      </c>
    </row>
    <row r="275" spans="1:20" x14ac:dyDescent="0.3">
      <c r="A275" t="s">
        <v>1345</v>
      </c>
      <c r="B275" s="13" t="s">
        <v>96</v>
      </c>
      <c r="C275" s="16">
        <f t="shared" si="20"/>
        <v>45931</v>
      </c>
      <c r="D275" t="s">
        <v>1003</v>
      </c>
      <c r="E275" t="s">
        <v>43</v>
      </c>
      <c r="F275" t="s">
        <v>980</v>
      </c>
      <c r="G275" t="s">
        <v>1078</v>
      </c>
      <c r="H275" t="s">
        <v>958</v>
      </c>
      <c r="I275">
        <v>1189</v>
      </c>
      <c r="J275" s="3">
        <v>798.59</v>
      </c>
      <c r="K275" s="3">
        <v>949523.51</v>
      </c>
      <c r="L275">
        <v>408</v>
      </c>
      <c r="M275" t="s">
        <v>114</v>
      </c>
      <c r="N275" s="16">
        <f t="shared" si="21"/>
        <v>45931</v>
      </c>
      <c r="O275" t="s">
        <v>114</v>
      </c>
      <c r="P275" t="str">
        <f t="shared" si="22"/>
        <v>October 2025</v>
      </c>
      <c r="Q275" t="s">
        <v>966</v>
      </c>
      <c r="R275" s="8">
        <v>15752.62</v>
      </c>
      <c r="S275" s="8">
        <f t="shared" si="23"/>
        <v>965276.13</v>
      </c>
      <c r="T275" s="6">
        <f t="shared" si="24"/>
        <v>0</v>
      </c>
    </row>
    <row r="276" spans="1:20" x14ac:dyDescent="0.3">
      <c r="A276" t="s">
        <v>1346</v>
      </c>
      <c r="B276" s="13" t="s">
        <v>443</v>
      </c>
      <c r="C276" s="16">
        <f t="shared" si="20"/>
        <v>45901</v>
      </c>
      <c r="D276" t="s">
        <v>1003</v>
      </c>
      <c r="E276" t="s">
        <v>49</v>
      </c>
      <c r="F276" t="s">
        <v>980</v>
      </c>
      <c r="G276" t="s">
        <v>981</v>
      </c>
      <c r="H276" t="s">
        <v>977</v>
      </c>
      <c r="I276">
        <v>2405</v>
      </c>
      <c r="J276" s="3">
        <v>134.6</v>
      </c>
      <c r="K276" s="3">
        <v>323713</v>
      </c>
      <c r="L276">
        <v>405</v>
      </c>
      <c r="M276" t="s">
        <v>759</v>
      </c>
      <c r="N276" s="16">
        <f t="shared" si="21"/>
        <v>45901</v>
      </c>
      <c r="O276" t="s">
        <v>759</v>
      </c>
      <c r="P276" t="str">
        <f t="shared" si="22"/>
        <v>September 2025</v>
      </c>
      <c r="Q276" t="s">
        <v>966</v>
      </c>
      <c r="R276" s="8">
        <v>20676.8</v>
      </c>
      <c r="S276" s="8">
        <f t="shared" si="23"/>
        <v>344389.8</v>
      </c>
      <c r="T276" s="6">
        <f t="shared" si="24"/>
        <v>0</v>
      </c>
    </row>
    <row r="277" spans="1:20" x14ac:dyDescent="0.3">
      <c r="A277" t="s">
        <v>1347</v>
      </c>
      <c r="B277" s="13" t="s">
        <v>92</v>
      </c>
      <c r="C277" s="16">
        <f t="shared" si="20"/>
        <v>45870</v>
      </c>
      <c r="D277" t="s">
        <v>1011</v>
      </c>
      <c r="E277" t="s">
        <v>990</v>
      </c>
      <c r="F277" t="s">
        <v>956</v>
      </c>
      <c r="G277" t="s">
        <v>1221</v>
      </c>
      <c r="H277" t="s">
        <v>977</v>
      </c>
      <c r="I277">
        <v>2005</v>
      </c>
      <c r="J277" s="3">
        <v>709.49</v>
      </c>
      <c r="K277" s="3">
        <v>1422527.45</v>
      </c>
      <c r="L277">
        <v>576</v>
      </c>
      <c r="M277" t="s">
        <v>456</v>
      </c>
      <c r="N277" s="16">
        <f t="shared" si="21"/>
        <v>45870</v>
      </c>
      <c r="O277" t="s">
        <v>456</v>
      </c>
      <c r="P277" t="str">
        <f t="shared" si="22"/>
        <v>August 2025</v>
      </c>
      <c r="Q277" t="s">
        <v>966</v>
      </c>
      <c r="R277" s="8">
        <v>20305.169999999998</v>
      </c>
      <c r="S277" s="8">
        <f t="shared" si="23"/>
        <v>1442832.6199999999</v>
      </c>
      <c r="T277" s="6">
        <f t="shared" si="24"/>
        <v>0</v>
      </c>
    </row>
    <row r="278" spans="1:20" x14ac:dyDescent="0.3">
      <c r="A278" t="s">
        <v>1348</v>
      </c>
      <c r="B278" s="13" t="s">
        <v>1226</v>
      </c>
      <c r="C278" s="16">
        <f t="shared" si="20"/>
        <v>45689</v>
      </c>
      <c r="D278" t="s">
        <v>975</v>
      </c>
      <c r="E278" t="s">
        <v>43</v>
      </c>
      <c r="F278" t="s">
        <v>956</v>
      </c>
      <c r="G278" t="s">
        <v>1068</v>
      </c>
      <c r="H278" t="str">
        <f xml:space="preserve"> "Not Found"</f>
        <v>Not Found</v>
      </c>
      <c r="I278">
        <v>1880</v>
      </c>
      <c r="J278" s="3">
        <v>303.5</v>
      </c>
      <c r="K278" s="3">
        <v>570580</v>
      </c>
      <c r="L278">
        <v>234</v>
      </c>
      <c r="M278" t="s">
        <v>230</v>
      </c>
      <c r="N278" s="16">
        <f t="shared" si="21"/>
        <v>45689</v>
      </c>
      <c r="O278" t="s">
        <v>754</v>
      </c>
      <c r="P278" t="str">
        <f t="shared" si="22"/>
        <v>February 2025</v>
      </c>
      <c r="Q278" t="s">
        <v>959</v>
      </c>
      <c r="R278" s="8">
        <v>13353.53</v>
      </c>
      <c r="S278" s="8">
        <f t="shared" si="23"/>
        <v>583933.53</v>
      </c>
      <c r="T278" s="6">
        <f t="shared" si="24"/>
        <v>3</v>
      </c>
    </row>
    <row r="279" spans="1:20" x14ac:dyDescent="0.3">
      <c r="A279" t="s">
        <v>1349</v>
      </c>
      <c r="B279" s="13" t="s">
        <v>896</v>
      </c>
      <c r="C279" s="16">
        <f t="shared" si="20"/>
        <v>45870</v>
      </c>
      <c r="D279" t="s">
        <v>955</v>
      </c>
      <c r="E279" t="s">
        <v>962</v>
      </c>
      <c r="F279" t="s">
        <v>980</v>
      </c>
      <c r="G279" t="s">
        <v>1098</v>
      </c>
      <c r="H279" t="s">
        <v>1000</v>
      </c>
      <c r="I279">
        <v>2200</v>
      </c>
      <c r="J279" s="3">
        <v>84.28</v>
      </c>
      <c r="K279" s="3">
        <v>185416</v>
      </c>
      <c r="L279">
        <v>95</v>
      </c>
      <c r="M279" t="s">
        <v>92</v>
      </c>
      <c r="N279" s="16">
        <f t="shared" si="21"/>
        <v>45870</v>
      </c>
      <c r="O279" t="s">
        <v>92</v>
      </c>
      <c r="P279" t="str">
        <f t="shared" si="22"/>
        <v>August 2025</v>
      </c>
      <c r="Q279" t="s">
        <v>966</v>
      </c>
      <c r="R279" s="8">
        <v>3964.55</v>
      </c>
      <c r="S279" s="8">
        <f t="shared" si="23"/>
        <v>189380.55</v>
      </c>
      <c r="T279" s="6">
        <f t="shared" si="24"/>
        <v>0</v>
      </c>
    </row>
    <row r="280" spans="1:20" x14ac:dyDescent="0.3">
      <c r="A280" t="s">
        <v>1350</v>
      </c>
      <c r="B280" s="13" t="s">
        <v>53</v>
      </c>
      <c r="C280" s="16">
        <f t="shared" si="20"/>
        <v>45689</v>
      </c>
      <c r="D280" t="s">
        <v>1003</v>
      </c>
      <c r="E280" t="s">
        <v>43</v>
      </c>
      <c r="F280" t="s">
        <v>956</v>
      </c>
      <c r="G280" t="s">
        <v>1045</v>
      </c>
      <c r="H280" t="s">
        <v>982</v>
      </c>
      <c r="I280">
        <v>705</v>
      </c>
      <c r="J280" s="3">
        <v>517.53</v>
      </c>
      <c r="K280" s="3">
        <v>364858.65</v>
      </c>
      <c r="L280">
        <v>29</v>
      </c>
      <c r="M280" t="s">
        <v>206</v>
      </c>
      <c r="N280" s="16">
        <f t="shared" si="21"/>
        <v>45689</v>
      </c>
      <c r="O280" t="s">
        <v>476</v>
      </c>
      <c r="P280" t="str">
        <f t="shared" si="22"/>
        <v>February 2025</v>
      </c>
      <c r="Q280" t="s">
        <v>959</v>
      </c>
      <c r="R280" s="8">
        <v>1669.61</v>
      </c>
      <c r="S280" s="8">
        <f t="shared" si="23"/>
        <v>366528.26</v>
      </c>
      <c r="T280" s="6">
        <f t="shared" si="24"/>
        <v>2</v>
      </c>
    </row>
    <row r="281" spans="1:20" x14ac:dyDescent="0.3">
      <c r="A281" t="s">
        <v>1351</v>
      </c>
      <c r="B281" s="13" t="s">
        <v>694</v>
      </c>
      <c r="C281" s="16">
        <f t="shared" si="20"/>
        <v>45717</v>
      </c>
      <c r="D281" t="s">
        <v>984</v>
      </c>
      <c r="E281" t="s">
        <v>962</v>
      </c>
      <c r="F281" t="s">
        <v>971</v>
      </c>
      <c r="G281" t="s">
        <v>981</v>
      </c>
      <c r="H281" t="s">
        <v>965</v>
      </c>
      <c r="I281">
        <v>1747</v>
      </c>
      <c r="J281" s="3">
        <v>553.15</v>
      </c>
      <c r="K281" s="3">
        <v>966353.05</v>
      </c>
      <c r="L281">
        <v>578</v>
      </c>
      <c r="M281" t="s">
        <v>309</v>
      </c>
      <c r="N281" s="16">
        <f t="shared" si="21"/>
        <v>45717</v>
      </c>
      <c r="O281" t="s">
        <v>577</v>
      </c>
      <c r="P281" t="str">
        <f t="shared" si="22"/>
        <v>March 2025</v>
      </c>
      <c r="Q281" t="s">
        <v>966</v>
      </c>
      <c r="R281" s="8">
        <v>24352.98</v>
      </c>
      <c r="S281" s="8">
        <f t="shared" si="23"/>
        <v>990706.03</v>
      </c>
      <c r="T281" s="6">
        <f t="shared" si="24"/>
        <v>-1</v>
      </c>
    </row>
    <row r="282" spans="1:20" x14ac:dyDescent="0.3">
      <c r="A282" t="s">
        <v>1352</v>
      </c>
      <c r="B282" s="13" t="s">
        <v>1298</v>
      </c>
      <c r="C282" s="16">
        <f t="shared" si="20"/>
        <v>45717</v>
      </c>
      <c r="D282" t="s">
        <v>968</v>
      </c>
      <c r="E282" t="s">
        <v>33</v>
      </c>
      <c r="F282" t="s">
        <v>963</v>
      </c>
      <c r="G282" t="s">
        <v>964</v>
      </c>
      <c r="H282" t="s">
        <v>1018</v>
      </c>
      <c r="I282">
        <v>189</v>
      </c>
      <c r="J282" s="3">
        <v>615.65</v>
      </c>
      <c r="K282" s="3">
        <v>116357.85</v>
      </c>
      <c r="L282">
        <v>389</v>
      </c>
      <c r="M282" t="s">
        <v>478</v>
      </c>
      <c r="N282" s="16">
        <f t="shared" si="21"/>
        <v>45717</v>
      </c>
      <c r="O282" t="s">
        <v>478</v>
      </c>
      <c r="P282" t="str">
        <f t="shared" si="22"/>
        <v>March 2025</v>
      </c>
      <c r="Q282" t="s">
        <v>966</v>
      </c>
      <c r="R282" s="8">
        <v>18401.64</v>
      </c>
      <c r="S282" s="8">
        <f t="shared" si="23"/>
        <v>134759.49</v>
      </c>
      <c r="T282" s="6">
        <f t="shared" si="24"/>
        <v>0</v>
      </c>
    </row>
    <row r="283" spans="1:20" x14ac:dyDescent="0.3">
      <c r="A283" t="s">
        <v>1353</v>
      </c>
      <c r="B283" s="13" t="s">
        <v>739</v>
      </c>
      <c r="C283" s="16">
        <f t="shared" si="20"/>
        <v>45839</v>
      </c>
      <c r="D283" t="s">
        <v>975</v>
      </c>
      <c r="E283" t="s">
        <v>43</v>
      </c>
      <c r="F283" t="s">
        <v>963</v>
      </c>
      <c r="G283" t="s">
        <v>957</v>
      </c>
      <c r="H283" t="s">
        <v>992</v>
      </c>
      <c r="I283">
        <v>1172</v>
      </c>
      <c r="J283" s="3">
        <v>83.97</v>
      </c>
      <c r="K283" s="3">
        <v>98412.84</v>
      </c>
      <c r="L283">
        <v>387</v>
      </c>
      <c r="M283" t="s">
        <v>71</v>
      </c>
      <c r="N283" s="16">
        <f t="shared" si="21"/>
        <v>45839</v>
      </c>
      <c r="O283" t="s">
        <v>871</v>
      </c>
      <c r="P283" t="str">
        <f t="shared" si="22"/>
        <v>July 2025</v>
      </c>
      <c r="Q283" t="s">
        <v>959</v>
      </c>
      <c r="R283" s="8">
        <v>14331.64</v>
      </c>
      <c r="S283" s="8">
        <f t="shared" si="23"/>
        <v>112744.48</v>
      </c>
      <c r="T283" s="6">
        <f t="shared" si="24"/>
        <v>1</v>
      </c>
    </row>
    <row r="284" spans="1:20" x14ac:dyDescent="0.3">
      <c r="A284" t="s">
        <v>1354</v>
      </c>
      <c r="B284" s="13" t="s">
        <v>1094</v>
      </c>
      <c r="C284" s="16">
        <f t="shared" si="20"/>
        <v>45809</v>
      </c>
      <c r="D284" t="s">
        <v>1003</v>
      </c>
      <c r="E284" t="s">
        <v>49</v>
      </c>
      <c r="F284" t="s">
        <v>963</v>
      </c>
      <c r="G284" t="s">
        <v>1132</v>
      </c>
      <c r="H284" t="s">
        <v>977</v>
      </c>
      <c r="I284">
        <v>1687</v>
      </c>
      <c r="J284" s="3">
        <v>309.08</v>
      </c>
      <c r="K284" s="3">
        <v>521417.96</v>
      </c>
      <c r="L284">
        <v>621</v>
      </c>
      <c r="M284" t="s">
        <v>807</v>
      </c>
      <c r="N284" s="16">
        <f t="shared" si="21"/>
        <v>45809</v>
      </c>
      <c r="O284" t="s">
        <v>807</v>
      </c>
      <c r="P284" t="str">
        <f t="shared" si="22"/>
        <v>June 2025</v>
      </c>
      <c r="Q284" t="s">
        <v>966</v>
      </c>
      <c r="R284" s="8">
        <v>26939.5</v>
      </c>
      <c r="S284" s="8">
        <f t="shared" si="23"/>
        <v>548357.46</v>
      </c>
      <c r="T284" s="6">
        <f t="shared" si="24"/>
        <v>0</v>
      </c>
    </row>
    <row r="285" spans="1:20" x14ac:dyDescent="0.3">
      <c r="A285" t="s">
        <v>1355</v>
      </c>
      <c r="B285" s="13" t="s">
        <v>163</v>
      </c>
      <c r="C285" s="16">
        <f t="shared" si="20"/>
        <v>45992</v>
      </c>
      <c r="D285" t="s">
        <v>975</v>
      </c>
      <c r="E285" t="s">
        <v>43</v>
      </c>
      <c r="F285" t="s">
        <v>980</v>
      </c>
      <c r="G285" t="s">
        <v>1152</v>
      </c>
      <c r="H285" t="s">
        <v>958</v>
      </c>
      <c r="I285">
        <v>1751</v>
      </c>
      <c r="J285" s="3">
        <v>250.76</v>
      </c>
      <c r="K285" s="3">
        <v>439080.76</v>
      </c>
      <c r="L285">
        <v>67</v>
      </c>
      <c r="M285" t="s">
        <v>130</v>
      </c>
      <c r="N285" s="16">
        <f t="shared" si="21"/>
        <v>45992</v>
      </c>
      <c r="O285" t="s">
        <v>575</v>
      </c>
      <c r="P285" t="str">
        <f t="shared" si="22"/>
        <v>December 2025</v>
      </c>
      <c r="Q285" t="s">
        <v>959</v>
      </c>
      <c r="R285" s="8">
        <v>3790.78</v>
      </c>
      <c r="S285" s="8">
        <f t="shared" si="23"/>
        <v>442871.54000000004</v>
      </c>
      <c r="T285" s="6">
        <f t="shared" si="24"/>
        <v>1</v>
      </c>
    </row>
    <row r="286" spans="1:20" x14ac:dyDescent="0.3">
      <c r="A286" t="s">
        <v>1356</v>
      </c>
      <c r="B286" s="13" t="s">
        <v>704</v>
      </c>
      <c r="C286" s="16">
        <f t="shared" si="20"/>
        <v>45748</v>
      </c>
      <c r="D286" t="s">
        <v>955</v>
      </c>
      <c r="E286" t="s">
        <v>49</v>
      </c>
      <c r="F286" t="s">
        <v>980</v>
      </c>
      <c r="G286" t="s">
        <v>1042</v>
      </c>
      <c r="H286" t="str">
        <f xml:space="preserve"> "Not Found"</f>
        <v>Not Found</v>
      </c>
      <c r="I286">
        <v>994</v>
      </c>
      <c r="J286" s="3">
        <v>85.02</v>
      </c>
      <c r="K286" s="3">
        <v>84509.88</v>
      </c>
      <c r="L286">
        <v>534</v>
      </c>
      <c r="M286" t="s">
        <v>287</v>
      </c>
      <c r="N286" s="16">
        <f t="shared" si="21"/>
        <v>45748</v>
      </c>
      <c r="O286" t="s">
        <v>208</v>
      </c>
      <c r="P286" t="str">
        <f t="shared" si="22"/>
        <v>April 2025</v>
      </c>
      <c r="Q286" t="s">
        <v>959</v>
      </c>
      <c r="R286" s="8">
        <v>21876.7</v>
      </c>
      <c r="S286" s="8">
        <f t="shared" si="23"/>
        <v>106386.58</v>
      </c>
      <c r="T286" s="6">
        <f t="shared" si="24"/>
        <v>4</v>
      </c>
    </row>
    <row r="287" spans="1:20" x14ac:dyDescent="0.3">
      <c r="A287" t="s">
        <v>1357</v>
      </c>
      <c r="B287" s="13" t="s">
        <v>136</v>
      </c>
      <c r="C287" s="16">
        <f t="shared" si="20"/>
        <v>45901</v>
      </c>
      <c r="D287" t="s">
        <v>1021</v>
      </c>
      <c r="E287" t="s">
        <v>33</v>
      </c>
      <c r="F287" t="s">
        <v>956</v>
      </c>
      <c r="G287" t="s">
        <v>1051</v>
      </c>
      <c r="H287" t="s">
        <v>982</v>
      </c>
      <c r="I287">
        <v>1902</v>
      </c>
      <c r="J287" s="3">
        <v>339.93</v>
      </c>
      <c r="K287" s="3">
        <v>646546.86</v>
      </c>
      <c r="L287">
        <v>603</v>
      </c>
      <c r="M287" t="s">
        <v>156</v>
      </c>
      <c r="N287" s="16">
        <f t="shared" si="21"/>
        <v>45901</v>
      </c>
      <c r="O287" t="s">
        <v>184</v>
      </c>
      <c r="P287" t="str">
        <f t="shared" si="22"/>
        <v>September 2025</v>
      </c>
      <c r="Q287" t="s">
        <v>959</v>
      </c>
      <c r="R287" s="8">
        <v>29884.21</v>
      </c>
      <c r="S287" s="8">
        <f t="shared" si="23"/>
        <v>676431.07</v>
      </c>
      <c r="T287" s="6">
        <f t="shared" si="24"/>
        <v>1</v>
      </c>
    </row>
    <row r="288" spans="1:20" x14ac:dyDescent="0.3">
      <c r="A288" t="s">
        <v>1358</v>
      </c>
      <c r="B288" s="13" t="s">
        <v>785</v>
      </c>
      <c r="C288" s="16">
        <f t="shared" si="20"/>
        <v>45748</v>
      </c>
      <c r="D288" t="s">
        <v>984</v>
      </c>
      <c r="E288" t="s">
        <v>987</v>
      </c>
      <c r="F288" t="s">
        <v>980</v>
      </c>
      <c r="G288" t="s">
        <v>1042</v>
      </c>
      <c r="H288" t="s">
        <v>1018</v>
      </c>
      <c r="I288">
        <v>2077</v>
      </c>
      <c r="J288" s="3">
        <v>332.74</v>
      </c>
      <c r="K288" s="3">
        <v>691100.98</v>
      </c>
      <c r="L288">
        <v>455</v>
      </c>
      <c r="M288" t="s">
        <v>604</v>
      </c>
      <c r="N288" s="16">
        <f t="shared" si="21"/>
        <v>45748</v>
      </c>
      <c r="O288" t="s">
        <v>1154</v>
      </c>
      <c r="P288" t="str">
        <f t="shared" si="22"/>
        <v>April 2025</v>
      </c>
      <c r="Q288" t="s">
        <v>966</v>
      </c>
      <c r="R288" s="8">
        <v>20568.919999999998</v>
      </c>
      <c r="S288" s="8">
        <f t="shared" si="23"/>
        <v>711669.9</v>
      </c>
      <c r="T288" s="6">
        <f t="shared" si="24"/>
        <v>-1</v>
      </c>
    </row>
    <row r="289" spans="1:20" x14ac:dyDescent="0.3">
      <c r="A289" t="s">
        <v>1359</v>
      </c>
      <c r="B289" s="13" t="s">
        <v>887</v>
      </c>
      <c r="C289" s="16">
        <f t="shared" si="20"/>
        <v>45839</v>
      </c>
      <c r="D289" t="s">
        <v>1003</v>
      </c>
      <c r="E289" t="s">
        <v>987</v>
      </c>
      <c r="F289" t="s">
        <v>963</v>
      </c>
      <c r="G289" t="s">
        <v>1040</v>
      </c>
      <c r="H289" t="s">
        <v>977</v>
      </c>
      <c r="I289">
        <v>2378</v>
      </c>
      <c r="J289" s="3">
        <v>458.19</v>
      </c>
      <c r="K289" s="3">
        <v>1089575.82</v>
      </c>
      <c r="L289">
        <v>470</v>
      </c>
      <c r="M289" t="s">
        <v>522</v>
      </c>
      <c r="N289" s="16">
        <f t="shared" si="21"/>
        <v>45839</v>
      </c>
      <c r="O289" t="s">
        <v>1360</v>
      </c>
      <c r="P289" t="str">
        <f t="shared" si="22"/>
        <v>July 2025</v>
      </c>
      <c r="Q289" t="s">
        <v>959</v>
      </c>
      <c r="R289" s="8">
        <v>27971.83</v>
      </c>
      <c r="S289" s="8">
        <f t="shared" si="23"/>
        <v>1117547.6500000001</v>
      </c>
      <c r="T289" s="6">
        <f t="shared" si="24"/>
        <v>4</v>
      </c>
    </row>
    <row r="290" spans="1:20" x14ac:dyDescent="0.3">
      <c r="A290" t="s">
        <v>1361</v>
      </c>
      <c r="B290" s="13" t="s">
        <v>932</v>
      </c>
      <c r="C290" s="16">
        <f t="shared" si="20"/>
        <v>45992</v>
      </c>
      <c r="D290" t="s">
        <v>1003</v>
      </c>
      <c r="E290" t="s">
        <v>49</v>
      </c>
      <c r="F290" t="s">
        <v>980</v>
      </c>
      <c r="G290" t="s">
        <v>972</v>
      </c>
      <c r="H290" t="s">
        <v>1018</v>
      </c>
      <c r="I290">
        <v>1451</v>
      </c>
      <c r="J290" s="3">
        <v>366.72</v>
      </c>
      <c r="K290" s="3">
        <v>532110.72</v>
      </c>
      <c r="L290">
        <v>554</v>
      </c>
      <c r="M290" t="s">
        <v>880</v>
      </c>
      <c r="N290" s="16">
        <f t="shared" si="21"/>
        <v>45992</v>
      </c>
      <c r="O290" t="s">
        <v>303</v>
      </c>
      <c r="P290" t="str">
        <f t="shared" si="22"/>
        <v>December 2025</v>
      </c>
      <c r="Q290" t="s">
        <v>959</v>
      </c>
      <c r="R290" s="8">
        <v>31638.27</v>
      </c>
      <c r="S290" s="8">
        <f t="shared" si="23"/>
        <v>563748.99</v>
      </c>
      <c r="T290" s="6">
        <f t="shared" si="24"/>
        <v>3</v>
      </c>
    </row>
    <row r="291" spans="1:20" x14ac:dyDescent="0.3">
      <c r="A291" t="s">
        <v>1362</v>
      </c>
      <c r="B291" s="13" t="s">
        <v>739</v>
      </c>
      <c r="C291" s="16">
        <f t="shared" si="20"/>
        <v>45839</v>
      </c>
      <c r="D291" t="s">
        <v>1011</v>
      </c>
      <c r="E291" t="s">
        <v>987</v>
      </c>
      <c r="F291" t="s">
        <v>971</v>
      </c>
      <c r="G291" t="s">
        <v>1042</v>
      </c>
      <c r="H291" t="s">
        <v>1034</v>
      </c>
      <c r="I291">
        <v>1166</v>
      </c>
      <c r="J291" s="3">
        <v>146.62</v>
      </c>
      <c r="K291" s="3">
        <v>170958.92</v>
      </c>
      <c r="L291">
        <v>434</v>
      </c>
      <c r="M291" t="s">
        <v>71</v>
      </c>
      <c r="N291" s="16">
        <f t="shared" si="21"/>
        <v>45839</v>
      </c>
      <c r="O291" t="s">
        <v>1127</v>
      </c>
      <c r="P291" t="str">
        <f t="shared" si="22"/>
        <v>July 2025</v>
      </c>
      <c r="Q291" t="s">
        <v>966</v>
      </c>
      <c r="R291" s="8">
        <v>21033.39</v>
      </c>
      <c r="S291" s="8">
        <f t="shared" si="23"/>
        <v>191992.31</v>
      </c>
      <c r="T291" s="6">
        <f t="shared" si="24"/>
        <v>-1</v>
      </c>
    </row>
    <row r="292" spans="1:20" x14ac:dyDescent="0.3">
      <c r="A292" t="s">
        <v>1363</v>
      </c>
      <c r="B292" s="13" t="s">
        <v>1059</v>
      </c>
      <c r="C292" s="16">
        <f t="shared" si="20"/>
        <v>45870</v>
      </c>
      <c r="D292" t="s">
        <v>984</v>
      </c>
      <c r="E292" t="s">
        <v>990</v>
      </c>
      <c r="F292" t="s">
        <v>980</v>
      </c>
      <c r="G292" t="s">
        <v>1057</v>
      </c>
      <c r="H292" t="s">
        <v>1000</v>
      </c>
      <c r="I292">
        <v>1656</v>
      </c>
      <c r="J292" s="3">
        <v>775.3</v>
      </c>
      <c r="K292" s="3">
        <v>1283896.8</v>
      </c>
      <c r="L292">
        <v>282</v>
      </c>
      <c r="M292" t="s">
        <v>600</v>
      </c>
      <c r="N292" s="16">
        <f t="shared" si="21"/>
        <v>45870</v>
      </c>
      <c r="O292" t="s">
        <v>203</v>
      </c>
      <c r="P292" t="str">
        <f t="shared" si="22"/>
        <v>August 2025</v>
      </c>
      <c r="Q292" t="s">
        <v>959</v>
      </c>
      <c r="R292" s="8">
        <v>15224.46</v>
      </c>
      <c r="S292" s="8">
        <f t="shared" si="23"/>
        <v>1299121.26</v>
      </c>
      <c r="T292" s="6">
        <f t="shared" si="24"/>
        <v>3</v>
      </c>
    </row>
    <row r="293" spans="1:20" x14ac:dyDescent="0.3">
      <c r="A293" t="s">
        <v>1364</v>
      </c>
      <c r="B293" s="13" t="s">
        <v>1166</v>
      </c>
      <c r="C293" s="16">
        <f t="shared" si="20"/>
        <v>45992</v>
      </c>
      <c r="D293" t="s">
        <v>1003</v>
      </c>
      <c r="E293" t="s">
        <v>962</v>
      </c>
      <c r="F293" t="s">
        <v>963</v>
      </c>
      <c r="G293" t="s">
        <v>1152</v>
      </c>
      <c r="H293" t="s">
        <v>1034</v>
      </c>
      <c r="I293">
        <v>74</v>
      </c>
      <c r="J293" s="3">
        <v>580.32000000000005</v>
      </c>
      <c r="K293" s="3">
        <v>42943.68</v>
      </c>
      <c r="L293">
        <v>396</v>
      </c>
      <c r="M293" t="s">
        <v>488</v>
      </c>
      <c r="N293" s="16">
        <f t="shared" si="21"/>
        <v>45992</v>
      </c>
      <c r="O293" t="s">
        <v>488</v>
      </c>
      <c r="P293" t="str">
        <f t="shared" si="22"/>
        <v>December 2025</v>
      </c>
      <c r="Q293" t="s">
        <v>966</v>
      </c>
      <c r="R293" s="8">
        <v>22662.639999999999</v>
      </c>
      <c r="S293" s="8">
        <f t="shared" si="23"/>
        <v>65606.320000000007</v>
      </c>
      <c r="T293" s="6">
        <f t="shared" si="24"/>
        <v>0</v>
      </c>
    </row>
    <row r="294" spans="1:20" x14ac:dyDescent="0.3">
      <c r="A294" t="s">
        <v>1365</v>
      </c>
      <c r="B294" s="13" t="s">
        <v>71</v>
      </c>
      <c r="C294" s="16">
        <f t="shared" si="20"/>
        <v>45839</v>
      </c>
      <c r="D294" t="s">
        <v>968</v>
      </c>
      <c r="E294" t="s">
        <v>962</v>
      </c>
      <c r="F294" t="s">
        <v>980</v>
      </c>
      <c r="G294" t="s">
        <v>991</v>
      </c>
      <c r="H294" t="s">
        <v>958</v>
      </c>
      <c r="I294">
        <v>1873</v>
      </c>
      <c r="J294" s="3">
        <v>856.2</v>
      </c>
      <c r="K294" s="3">
        <v>1603662.6</v>
      </c>
      <c r="L294">
        <v>342</v>
      </c>
      <c r="M294" t="s">
        <v>871</v>
      </c>
      <c r="N294" s="16">
        <f t="shared" si="21"/>
        <v>45839</v>
      </c>
      <c r="O294" t="s">
        <v>871</v>
      </c>
      <c r="P294" t="str">
        <f t="shared" si="22"/>
        <v>July 2025</v>
      </c>
      <c r="Q294" t="s">
        <v>966</v>
      </c>
      <c r="R294" s="8">
        <v>20080.990000000002</v>
      </c>
      <c r="S294" s="8">
        <f t="shared" si="23"/>
        <v>1623743.59</v>
      </c>
      <c r="T294" s="6">
        <f t="shared" si="24"/>
        <v>0</v>
      </c>
    </row>
    <row r="295" spans="1:20" x14ac:dyDescent="0.3">
      <c r="A295" t="s">
        <v>1366</v>
      </c>
      <c r="B295" s="13" t="s">
        <v>74</v>
      </c>
      <c r="C295" s="16">
        <f t="shared" si="20"/>
        <v>45689</v>
      </c>
      <c r="D295" t="s">
        <v>968</v>
      </c>
      <c r="E295" t="s">
        <v>43</v>
      </c>
      <c r="F295" t="s">
        <v>956</v>
      </c>
      <c r="G295" t="s">
        <v>1040</v>
      </c>
      <c r="H295" t="s">
        <v>977</v>
      </c>
      <c r="I295">
        <v>2105</v>
      </c>
      <c r="J295" s="3">
        <v>789.78</v>
      </c>
      <c r="K295" s="3">
        <v>1662486.9</v>
      </c>
      <c r="L295">
        <v>571</v>
      </c>
      <c r="M295" t="s">
        <v>697</v>
      </c>
      <c r="N295" s="16">
        <f t="shared" si="21"/>
        <v>45689</v>
      </c>
      <c r="O295" t="s">
        <v>473</v>
      </c>
      <c r="P295" t="str">
        <f t="shared" si="22"/>
        <v>February 2025</v>
      </c>
      <c r="Q295" t="s">
        <v>959</v>
      </c>
      <c r="R295" s="8">
        <v>22664.89</v>
      </c>
      <c r="S295" s="8">
        <f t="shared" si="23"/>
        <v>1685151.7899999998</v>
      </c>
      <c r="T295" s="6">
        <f t="shared" si="24"/>
        <v>4</v>
      </c>
    </row>
    <row r="296" spans="1:20" x14ac:dyDescent="0.3">
      <c r="A296" t="s">
        <v>1367</v>
      </c>
      <c r="B296" s="13" t="s">
        <v>1368</v>
      </c>
      <c r="C296" s="16">
        <f t="shared" si="20"/>
        <v>45809</v>
      </c>
      <c r="D296" t="s">
        <v>975</v>
      </c>
      <c r="E296" t="s">
        <v>43</v>
      </c>
      <c r="F296" t="s">
        <v>980</v>
      </c>
      <c r="G296" t="s">
        <v>991</v>
      </c>
      <c r="H296" t="s">
        <v>992</v>
      </c>
      <c r="I296">
        <v>953</v>
      </c>
      <c r="J296" s="3">
        <v>434.87</v>
      </c>
      <c r="K296" s="3">
        <v>414431.11</v>
      </c>
      <c r="L296">
        <v>197</v>
      </c>
      <c r="M296" t="s">
        <v>807</v>
      </c>
      <c r="N296" s="16">
        <f t="shared" si="21"/>
        <v>45809</v>
      </c>
      <c r="O296" t="s">
        <v>197</v>
      </c>
      <c r="P296" t="str">
        <f t="shared" si="22"/>
        <v>June 2025</v>
      </c>
      <c r="Q296" t="s">
        <v>959</v>
      </c>
      <c r="R296" s="8">
        <v>11557.94</v>
      </c>
      <c r="S296" s="8">
        <f t="shared" si="23"/>
        <v>425989.05</v>
      </c>
      <c r="T296" s="6">
        <f t="shared" si="24"/>
        <v>4</v>
      </c>
    </row>
    <row r="297" spans="1:20" x14ac:dyDescent="0.3">
      <c r="A297" t="s">
        <v>1369</v>
      </c>
      <c r="B297" s="13" t="s">
        <v>180</v>
      </c>
      <c r="C297" s="16">
        <f t="shared" si="20"/>
        <v>45809</v>
      </c>
      <c r="D297" t="s">
        <v>975</v>
      </c>
      <c r="E297" t="s">
        <v>43</v>
      </c>
      <c r="F297" t="s">
        <v>963</v>
      </c>
      <c r="G297" t="s">
        <v>1221</v>
      </c>
      <c r="H297" t="s">
        <v>992</v>
      </c>
      <c r="I297">
        <v>2286</v>
      </c>
      <c r="J297" s="3">
        <v>288.3</v>
      </c>
      <c r="K297" s="3">
        <v>659053.80000000005</v>
      </c>
      <c r="L297">
        <v>536</v>
      </c>
      <c r="M297" t="s">
        <v>145</v>
      </c>
      <c r="N297" s="16">
        <f t="shared" si="21"/>
        <v>45809</v>
      </c>
      <c r="O297" t="s">
        <v>145</v>
      </c>
      <c r="P297" t="str">
        <f t="shared" si="22"/>
        <v>June 2025</v>
      </c>
      <c r="Q297" t="s">
        <v>966</v>
      </c>
      <c r="R297" s="8">
        <v>18841.04</v>
      </c>
      <c r="S297" s="8">
        <f t="shared" si="23"/>
        <v>677894.84000000008</v>
      </c>
      <c r="T297" s="6">
        <f t="shared" si="24"/>
        <v>0</v>
      </c>
    </row>
    <row r="298" spans="1:20" x14ac:dyDescent="0.3">
      <c r="A298" t="s">
        <v>1370</v>
      </c>
      <c r="B298" s="13" t="s">
        <v>798</v>
      </c>
      <c r="C298" s="16">
        <f t="shared" si="20"/>
        <v>45931</v>
      </c>
      <c r="D298" t="s">
        <v>961</v>
      </c>
      <c r="E298" t="s">
        <v>43</v>
      </c>
      <c r="F298" t="s">
        <v>980</v>
      </c>
      <c r="G298" t="s">
        <v>1072</v>
      </c>
      <c r="H298" t="s">
        <v>965</v>
      </c>
      <c r="I298">
        <v>1959</v>
      </c>
      <c r="J298" s="3">
        <v>897.15</v>
      </c>
      <c r="K298" s="3">
        <v>1757516.85</v>
      </c>
      <c r="L298">
        <v>566</v>
      </c>
      <c r="M298" t="s">
        <v>122</v>
      </c>
      <c r="N298" s="16">
        <f t="shared" si="21"/>
        <v>45931</v>
      </c>
      <c r="O298" t="s">
        <v>122</v>
      </c>
      <c r="P298" t="str">
        <f t="shared" si="22"/>
        <v>October 2025</v>
      </c>
      <c r="Q298" t="s">
        <v>966</v>
      </c>
      <c r="R298" s="8">
        <v>21278.25</v>
      </c>
      <c r="S298" s="8">
        <f t="shared" si="23"/>
        <v>1778795.1</v>
      </c>
      <c r="T298" s="6">
        <f t="shared" si="24"/>
        <v>0</v>
      </c>
    </row>
    <row r="299" spans="1:20" x14ac:dyDescent="0.3">
      <c r="A299" t="s">
        <v>1371</v>
      </c>
      <c r="B299" s="13" t="s">
        <v>552</v>
      </c>
      <c r="C299" s="16">
        <f t="shared" si="20"/>
        <v>45748</v>
      </c>
      <c r="D299" t="s">
        <v>955</v>
      </c>
      <c r="E299" t="s">
        <v>33</v>
      </c>
      <c r="F299" t="s">
        <v>963</v>
      </c>
      <c r="G299" t="s">
        <v>991</v>
      </c>
      <c r="H299" t="s">
        <v>1023</v>
      </c>
      <c r="I299">
        <v>702</v>
      </c>
      <c r="J299" s="3">
        <v>474.32</v>
      </c>
      <c r="K299" s="3">
        <v>332972.64</v>
      </c>
      <c r="L299">
        <v>520</v>
      </c>
      <c r="M299" t="s">
        <v>340</v>
      </c>
      <c r="N299" s="16">
        <f t="shared" si="21"/>
        <v>45748</v>
      </c>
      <c r="O299" t="s">
        <v>188</v>
      </c>
      <c r="P299" t="str">
        <f t="shared" si="22"/>
        <v>May 2025</v>
      </c>
      <c r="Q299" t="s">
        <v>959</v>
      </c>
      <c r="R299" s="8">
        <v>21362.400000000001</v>
      </c>
      <c r="S299" s="8">
        <f t="shared" si="23"/>
        <v>354335.04000000004</v>
      </c>
      <c r="T299" s="6">
        <f t="shared" si="24"/>
        <v>3</v>
      </c>
    </row>
    <row r="300" spans="1:20" x14ac:dyDescent="0.3">
      <c r="A300" t="s">
        <v>1372</v>
      </c>
      <c r="B300" s="13" t="s">
        <v>403</v>
      </c>
      <c r="C300" s="16">
        <f t="shared" si="20"/>
        <v>45748</v>
      </c>
      <c r="D300" t="s">
        <v>961</v>
      </c>
      <c r="E300" t="s">
        <v>990</v>
      </c>
      <c r="F300" t="s">
        <v>956</v>
      </c>
      <c r="G300" t="s">
        <v>1026</v>
      </c>
      <c r="H300" t="s">
        <v>1000</v>
      </c>
      <c r="I300">
        <v>117</v>
      </c>
      <c r="J300" s="3">
        <v>77.680000000000007</v>
      </c>
      <c r="K300" s="3">
        <v>9088.56</v>
      </c>
      <c r="L300">
        <v>675</v>
      </c>
      <c r="M300" t="s">
        <v>819</v>
      </c>
      <c r="N300" s="16">
        <f t="shared" si="21"/>
        <v>45748</v>
      </c>
      <c r="O300" t="s">
        <v>116</v>
      </c>
      <c r="P300" t="str">
        <f t="shared" si="22"/>
        <v>April 2025</v>
      </c>
      <c r="Q300" t="s">
        <v>959</v>
      </c>
      <c r="R300" s="8">
        <v>39787.040000000001</v>
      </c>
      <c r="S300" s="8">
        <f t="shared" si="23"/>
        <v>48875.6</v>
      </c>
      <c r="T300" s="6">
        <f t="shared" si="24"/>
        <v>3</v>
      </c>
    </row>
    <row r="301" spans="1:20" x14ac:dyDescent="0.3">
      <c r="A301" t="s">
        <v>1373</v>
      </c>
      <c r="B301" s="13" t="s">
        <v>1283</v>
      </c>
      <c r="C301" s="16">
        <f t="shared" si="20"/>
        <v>45901</v>
      </c>
      <c r="D301" t="s">
        <v>975</v>
      </c>
      <c r="E301" t="s">
        <v>43</v>
      </c>
      <c r="F301" t="s">
        <v>971</v>
      </c>
      <c r="G301" t="s">
        <v>1072</v>
      </c>
      <c r="H301" t="s">
        <v>958</v>
      </c>
      <c r="I301">
        <v>1606</v>
      </c>
      <c r="J301" s="3">
        <v>389.69</v>
      </c>
      <c r="K301" s="3">
        <v>625842.14</v>
      </c>
      <c r="L301">
        <v>213</v>
      </c>
      <c r="M301" t="s">
        <v>154</v>
      </c>
      <c r="N301" s="16">
        <f t="shared" si="21"/>
        <v>45901</v>
      </c>
      <c r="O301" t="s">
        <v>154</v>
      </c>
      <c r="P301" t="str">
        <f t="shared" si="22"/>
        <v>September 2025</v>
      </c>
      <c r="Q301" t="s">
        <v>966</v>
      </c>
      <c r="R301" s="8">
        <v>12458.52</v>
      </c>
      <c r="S301" s="8">
        <f t="shared" si="23"/>
        <v>638300.66</v>
      </c>
      <c r="T301" s="6">
        <f t="shared" si="24"/>
        <v>0</v>
      </c>
    </row>
    <row r="302" spans="1:20" x14ac:dyDescent="0.3">
      <c r="A302" t="s">
        <v>1374</v>
      </c>
      <c r="B302" s="13" t="s">
        <v>448</v>
      </c>
      <c r="C302" s="16">
        <f t="shared" si="20"/>
        <v>45748</v>
      </c>
      <c r="D302" t="s">
        <v>955</v>
      </c>
      <c r="E302" t="s">
        <v>33</v>
      </c>
      <c r="F302" t="s">
        <v>956</v>
      </c>
      <c r="G302" t="s">
        <v>981</v>
      </c>
      <c r="H302" t="s">
        <v>958</v>
      </c>
      <c r="I302">
        <v>1242</v>
      </c>
      <c r="J302" s="3">
        <v>238.4</v>
      </c>
      <c r="K302" s="3">
        <v>296092.79999999999</v>
      </c>
      <c r="L302">
        <v>31</v>
      </c>
      <c r="M302" t="s">
        <v>586</v>
      </c>
      <c r="N302" s="16">
        <f t="shared" si="21"/>
        <v>45748</v>
      </c>
      <c r="O302" t="s">
        <v>340</v>
      </c>
      <c r="P302" t="str">
        <f t="shared" si="22"/>
        <v>April 2025</v>
      </c>
      <c r="Q302" t="s">
        <v>959</v>
      </c>
      <c r="R302" s="8">
        <v>1127.1400000000001</v>
      </c>
      <c r="S302" s="8">
        <f t="shared" si="23"/>
        <v>297219.94</v>
      </c>
      <c r="T302" s="6">
        <f t="shared" si="24"/>
        <v>4</v>
      </c>
    </row>
    <row r="303" spans="1:20" x14ac:dyDescent="0.3">
      <c r="A303" t="s">
        <v>1375</v>
      </c>
      <c r="B303" s="13" t="s">
        <v>1368</v>
      </c>
      <c r="C303" s="16">
        <f t="shared" si="20"/>
        <v>45809</v>
      </c>
      <c r="D303" t="s">
        <v>984</v>
      </c>
      <c r="E303" t="s">
        <v>987</v>
      </c>
      <c r="F303" t="s">
        <v>963</v>
      </c>
      <c r="G303" t="s">
        <v>957</v>
      </c>
      <c r="H303" t="s">
        <v>1000</v>
      </c>
      <c r="I303">
        <v>81</v>
      </c>
      <c r="J303" s="3">
        <v>201.46</v>
      </c>
      <c r="K303" s="3">
        <v>16318.26</v>
      </c>
      <c r="L303">
        <v>87</v>
      </c>
      <c r="M303" t="s">
        <v>807</v>
      </c>
      <c r="N303" s="16">
        <f t="shared" si="21"/>
        <v>45809</v>
      </c>
      <c r="O303" t="s">
        <v>446</v>
      </c>
      <c r="P303" t="str">
        <f t="shared" si="22"/>
        <v>June 2025</v>
      </c>
      <c r="Q303" t="s">
        <v>959</v>
      </c>
      <c r="R303" s="8">
        <v>3885.31</v>
      </c>
      <c r="S303" s="8">
        <f t="shared" si="23"/>
        <v>20203.57</v>
      </c>
      <c r="T303" s="6">
        <f t="shared" si="24"/>
        <v>2</v>
      </c>
    </row>
    <row r="304" spans="1:20" x14ac:dyDescent="0.3">
      <c r="A304" t="s">
        <v>1376</v>
      </c>
      <c r="B304" s="13" t="s">
        <v>109</v>
      </c>
      <c r="C304" s="16">
        <f t="shared" si="20"/>
        <v>45962</v>
      </c>
      <c r="D304" t="s">
        <v>961</v>
      </c>
      <c r="E304" t="s">
        <v>43</v>
      </c>
      <c r="F304" t="s">
        <v>971</v>
      </c>
      <c r="G304" t="s">
        <v>1042</v>
      </c>
      <c r="H304" t="s">
        <v>1023</v>
      </c>
      <c r="I304">
        <v>218</v>
      </c>
      <c r="J304" s="3">
        <v>777.02</v>
      </c>
      <c r="K304" s="3">
        <v>169390.36</v>
      </c>
      <c r="L304">
        <v>63</v>
      </c>
      <c r="M304" t="s">
        <v>134</v>
      </c>
      <c r="N304" s="16">
        <f t="shared" si="21"/>
        <v>45962</v>
      </c>
      <c r="O304" t="s">
        <v>629</v>
      </c>
      <c r="P304" t="str">
        <f t="shared" si="22"/>
        <v>November 2025</v>
      </c>
      <c r="Q304" t="s">
        <v>959</v>
      </c>
      <c r="R304" s="8">
        <v>2346.67</v>
      </c>
      <c r="S304" s="8">
        <f t="shared" si="23"/>
        <v>171737.03</v>
      </c>
      <c r="T304" s="6">
        <f t="shared" si="24"/>
        <v>1</v>
      </c>
    </row>
    <row r="305" spans="1:20" x14ac:dyDescent="0.3">
      <c r="A305" t="s">
        <v>1377</v>
      </c>
      <c r="B305" s="13" t="s">
        <v>195</v>
      </c>
      <c r="C305" s="16">
        <f t="shared" si="20"/>
        <v>45992</v>
      </c>
      <c r="D305" t="s">
        <v>984</v>
      </c>
      <c r="E305" t="s">
        <v>990</v>
      </c>
      <c r="F305" t="s">
        <v>956</v>
      </c>
      <c r="G305" t="s">
        <v>1012</v>
      </c>
      <c r="H305" t="s">
        <v>1018</v>
      </c>
      <c r="I305">
        <v>284</v>
      </c>
      <c r="J305" s="3">
        <v>729.32</v>
      </c>
      <c r="K305" s="3">
        <v>207126.88</v>
      </c>
      <c r="L305">
        <v>382</v>
      </c>
      <c r="M305" t="s">
        <v>656</v>
      </c>
      <c r="N305" s="16">
        <f t="shared" si="21"/>
        <v>45992</v>
      </c>
      <c r="O305" t="s">
        <v>656</v>
      </c>
      <c r="P305" t="str">
        <f t="shared" si="22"/>
        <v>December 2025</v>
      </c>
      <c r="Q305" t="s">
        <v>966</v>
      </c>
      <c r="R305" s="8">
        <v>20891.39</v>
      </c>
      <c r="S305" s="8">
        <f t="shared" si="23"/>
        <v>228018.27000000002</v>
      </c>
      <c r="T305" s="6">
        <f t="shared" si="24"/>
        <v>0</v>
      </c>
    </row>
    <row r="306" spans="1:20" x14ac:dyDescent="0.3">
      <c r="A306" t="s">
        <v>1378</v>
      </c>
      <c r="B306" s="13" t="s">
        <v>156</v>
      </c>
      <c r="C306" s="16">
        <f t="shared" si="20"/>
        <v>45901</v>
      </c>
      <c r="D306" t="s">
        <v>1021</v>
      </c>
      <c r="E306" t="s">
        <v>990</v>
      </c>
      <c r="F306" t="s">
        <v>971</v>
      </c>
      <c r="G306" t="s">
        <v>991</v>
      </c>
      <c r="H306" t="s">
        <v>1000</v>
      </c>
      <c r="I306">
        <v>212</v>
      </c>
      <c r="J306" s="3">
        <v>144.59</v>
      </c>
      <c r="K306" s="3">
        <v>30653.08</v>
      </c>
      <c r="L306">
        <v>50</v>
      </c>
      <c r="M306" t="s">
        <v>184</v>
      </c>
      <c r="N306" s="16">
        <f t="shared" si="21"/>
        <v>45901</v>
      </c>
      <c r="O306" t="s">
        <v>48</v>
      </c>
      <c r="P306" t="str">
        <f t="shared" si="22"/>
        <v>September 2025</v>
      </c>
      <c r="Q306" t="s">
        <v>959</v>
      </c>
      <c r="R306" s="8">
        <v>2255.64</v>
      </c>
      <c r="S306" s="8">
        <f t="shared" si="23"/>
        <v>32908.720000000001</v>
      </c>
      <c r="T306" s="6">
        <f t="shared" si="24"/>
        <v>4</v>
      </c>
    </row>
    <row r="307" spans="1:20" x14ac:dyDescent="0.3">
      <c r="A307" t="s">
        <v>1379</v>
      </c>
      <c r="B307" s="13" t="s">
        <v>868</v>
      </c>
      <c r="C307" s="16">
        <f t="shared" si="20"/>
        <v>45809</v>
      </c>
      <c r="D307" t="s">
        <v>961</v>
      </c>
      <c r="E307" t="s">
        <v>33</v>
      </c>
      <c r="F307" t="s">
        <v>971</v>
      </c>
      <c r="G307" t="s">
        <v>1040</v>
      </c>
      <c r="H307" t="s">
        <v>973</v>
      </c>
      <c r="I307">
        <v>209</v>
      </c>
      <c r="J307" s="3">
        <v>504.59</v>
      </c>
      <c r="K307" s="3">
        <v>105459.31</v>
      </c>
      <c r="L307">
        <v>31</v>
      </c>
      <c r="M307" t="s">
        <v>446</v>
      </c>
      <c r="N307" s="16">
        <f t="shared" si="21"/>
        <v>45809</v>
      </c>
      <c r="O307" t="s">
        <v>39</v>
      </c>
      <c r="P307" t="str">
        <f t="shared" si="22"/>
        <v>June 2025</v>
      </c>
      <c r="Q307" t="s">
        <v>959</v>
      </c>
      <c r="R307" s="8">
        <v>1250.53</v>
      </c>
      <c r="S307" s="8">
        <f t="shared" si="23"/>
        <v>106709.84</v>
      </c>
      <c r="T307" s="6">
        <f t="shared" si="24"/>
        <v>1</v>
      </c>
    </row>
    <row r="308" spans="1:20" x14ac:dyDescent="0.3">
      <c r="A308" t="s">
        <v>1380</v>
      </c>
      <c r="B308" s="13" t="s">
        <v>98</v>
      </c>
      <c r="C308" s="16">
        <f t="shared" si="20"/>
        <v>45839</v>
      </c>
      <c r="D308" t="s">
        <v>984</v>
      </c>
      <c r="E308" t="s">
        <v>33</v>
      </c>
      <c r="F308" t="s">
        <v>963</v>
      </c>
      <c r="G308" t="s">
        <v>1015</v>
      </c>
      <c r="H308" t="s">
        <v>992</v>
      </c>
      <c r="I308">
        <v>2120</v>
      </c>
      <c r="J308" s="3">
        <v>759.06</v>
      </c>
      <c r="K308" s="3">
        <v>1609207.2</v>
      </c>
      <c r="L308">
        <v>524</v>
      </c>
      <c r="M308" t="s">
        <v>1360</v>
      </c>
      <c r="N308" s="16">
        <f t="shared" si="21"/>
        <v>45839</v>
      </c>
      <c r="O308" t="s">
        <v>1007</v>
      </c>
      <c r="P308" t="str">
        <f t="shared" si="22"/>
        <v>July 2025</v>
      </c>
      <c r="Q308" t="s">
        <v>959</v>
      </c>
      <c r="R308" s="8">
        <v>20168.64</v>
      </c>
      <c r="S308" s="8">
        <f t="shared" si="23"/>
        <v>1629375.8399999999</v>
      </c>
      <c r="T308" s="6">
        <f t="shared" si="24"/>
        <v>4</v>
      </c>
    </row>
    <row r="309" spans="1:20" x14ac:dyDescent="0.3">
      <c r="A309" t="s">
        <v>1381</v>
      </c>
      <c r="B309" s="13" t="s">
        <v>149</v>
      </c>
      <c r="C309" s="16">
        <f t="shared" si="20"/>
        <v>45658</v>
      </c>
      <c r="D309" t="s">
        <v>955</v>
      </c>
      <c r="E309" t="s">
        <v>990</v>
      </c>
      <c r="F309" t="s">
        <v>971</v>
      </c>
      <c r="G309" t="s">
        <v>1078</v>
      </c>
      <c r="H309" t="s">
        <v>958</v>
      </c>
      <c r="I309">
        <v>951</v>
      </c>
      <c r="J309" s="3">
        <v>558.27</v>
      </c>
      <c r="K309" s="3">
        <v>530914.77</v>
      </c>
      <c r="L309">
        <v>449</v>
      </c>
      <c r="M309" t="s">
        <v>903</v>
      </c>
      <c r="N309" s="16">
        <f t="shared" si="21"/>
        <v>45658</v>
      </c>
      <c r="O309" t="s">
        <v>903</v>
      </c>
      <c r="P309" t="str">
        <f t="shared" si="22"/>
        <v>January 2025</v>
      </c>
      <c r="Q309" t="s">
        <v>966</v>
      </c>
      <c r="R309" s="8">
        <v>27256.7</v>
      </c>
      <c r="S309" s="8">
        <f t="shared" si="23"/>
        <v>558171.47</v>
      </c>
      <c r="T309" s="6">
        <f t="shared" si="24"/>
        <v>0</v>
      </c>
    </row>
    <row r="310" spans="1:20" x14ac:dyDescent="0.3">
      <c r="A310" t="s">
        <v>1382</v>
      </c>
      <c r="B310" s="13" t="s">
        <v>326</v>
      </c>
      <c r="C310" s="16">
        <f t="shared" si="20"/>
        <v>45839</v>
      </c>
      <c r="D310" t="s">
        <v>1011</v>
      </c>
      <c r="E310" t="s">
        <v>33</v>
      </c>
      <c r="F310" t="s">
        <v>980</v>
      </c>
      <c r="G310" t="s">
        <v>1098</v>
      </c>
      <c r="H310" t="s">
        <v>958</v>
      </c>
      <c r="I310">
        <v>1058</v>
      </c>
      <c r="J310" s="3">
        <v>697.08</v>
      </c>
      <c r="K310" s="3">
        <v>737510.64</v>
      </c>
      <c r="L310">
        <v>348</v>
      </c>
      <c r="M310" t="s">
        <v>284</v>
      </c>
      <c r="N310" s="16">
        <f t="shared" si="21"/>
        <v>45839</v>
      </c>
      <c r="O310" t="s">
        <v>256</v>
      </c>
      <c r="P310" t="str">
        <f t="shared" si="22"/>
        <v>July 2025</v>
      </c>
      <c r="Q310" t="s">
        <v>959</v>
      </c>
      <c r="R310" s="8">
        <v>12183.92</v>
      </c>
      <c r="S310" s="8">
        <f t="shared" si="23"/>
        <v>749694.56</v>
      </c>
      <c r="T310" s="6">
        <f t="shared" si="24"/>
        <v>3</v>
      </c>
    </row>
    <row r="311" spans="1:20" x14ac:dyDescent="0.3">
      <c r="A311" t="s">
        <v>1383</v>
      </c>
      <c r="B311" s="13" t="s">
        <v>694</v>
      </c>
      <c r="C311" s="16">
        <f t="shared" si="20"/>
        <v>45717</v>
      </c>
      <c r="D311" t="s">
        <v>961</v>
      </c>
      <c r="E311" t="s">
        <v>49</v>
      </c>
      <c r="F311" t="s">
        <v>980</v>
      </c>
      <c r="G311" t="s">
        <v>1012</v>
      </c>
      <c r="H311" t="s">
        <v>1034</v>
      </c>
      <c r="I311">
        <v>187</v>
      </c>
      <c r="J311" s="3">
        <v>356.55</v>
      </c>
      <c r="K311" s="3">
        <v>66674.850000000006</v>
      </c>
      <c r="L311">
        <v>108</v>
      </c>
      <c r="M311" t="s">
        <v>577</v>
      </c>
      <c r="N311" s="16">
        <f t="shared" si="21"/>
        <v>45717</v>
      </c>
      <c r="O311" t="s">
        <v>694</v>
      </c>
      <c r="P311" t="str">
        <f t="shared" si="22"/>
        <v>March 2025</v>
      </c>
      <c r="Q311" t="s">
        <v>966</v>
      </c>
      <c r="R311" s="8">
        <v>4706.82</v>
      </c>
      <c r="S311" s="8">
        <f t="shared" si="23"/>
        <v>71381.670000000013</v>
      </c>
      <c r="T311" s="6">
        <f t="shared" si="24"/>
        <v>-1</v>
      </c>
    </row>
    <row r="312" spans="1:20" x14ac:dyDescent="0.3">
      <c r="A312" t="s">
        <v>1384</v>
      </c>
      <c r="B312" s="13" t="s">
        <v>739</v>
      </c>
      <c r="C312" s="16">
        <f t="shared" si="20"/>
        <v>45839</v>
      </c>
      <c r="D312" t="s">
        <v>961</v>
      </c>
      <c r="E312" t="s">
        <v>987</v>
      </c>
      <c r="F312" t="s">
        <v>971</v>
      </c>
      <c r="G312" t="s">
        <v>1038</v>
      </c>
      <c r="H312" t="s">
        <v>965</v>
      </c>
      <c r="I312">
        <v>650</v>
      </c>
      <c r="J312" s="3">
        <v>49.63</v>
      </c>
      <c r="K312" s="3">
        <v>32259.5</v>
      </c>
      <c r="L312">
        <v>683</v>
      </c>
      <c r="M312" t="s">
        <v>71</v>
      </c>
      <c r="N312" s="16">
        <f t="shared" si="21"/>
        <v>45839</v>
      </c>
      <c r="O312" t="s">
        <v>71</v>
      </c>
      <c r="P312" t="str">
        <f t="shared" si="22"/>
        <v>July 2025</v>
      </c>
      <c r="Q312" t="s">
        <v>966</v>
      </c>
      <c r="R312" s="8">
        <v>35729.18</v>
      </c>
      <c r="S312" s="8">
        <f t="shared" si="23"/>
        <v>67988.679999999993</v>
      </c>
      <c r="T312" s="6">
        <f t="shared" si="24"/>
        <v>0</v>
      </c>
    </row>
    <row r="313" spans="1:20" x14ac:dyDescent="0.3">
      <c r="A313" t="s">
        <v>1385</v>
      </c>
      <c r="B313" s="13" t="s">
        <v>586</v>
      </c>
      <c r="C313" s="16">
        <f t="shared" si="20"/>
        <v>45748</v>
      </c>
      <c r="D313" t="s">
        <v>1021</v>
      </c>
      <c r="E313" t="s">
        <v>962</v>
      </c>
      <c r="F313" t="s">
        <v>980</v>
      </c>
      <c r="G313" t="s">
        <v>976</v>
      </c>
      <c r="H313" t="s">
        <v>982</v>
      </c>
      <c r="I313">
        <v>1827</v>
      </c>
      <c r="J313" s="3">
        <v>270.25</v>
      </c>
      <c r="K313" s="3">
        <v>493746.75</v>
      </c>
      <c r="L313">
        <v>209</v>
      </c>
      <c r="M313" t="s">
        <v>208</v>
      </c>
      <c r="N313" s="16">
        <f t="shared" si="21"/>
        <v>45748</v>
      </c>
      <c r="O313" t="s">
        <v>167</v>
      </c>
      <c r="P313" t="str">
        <f t="shared" si="22"/>
        <v>April 2025</v>
      </c>
      <c r="Q313" t="s">
        <v>959</v>
      </c>
      <c r="R313" s="8">
        <v>8390.1</v>
      </c>
      <c r="S313" s="8">
        <f t="shared" si="23"/>
        <v>502136.85</v>
      </c>
      <c r="T313" s="6">
        <f t="shared" si="24"/>
        <v>4</v>
      </c>
    </row>
    <row r="314" spans="1:20" x14ac:dyDescent="0.3">
      <c r="A314" t="s">
        <v>1386</v>
      </c>
      <c r="B314" s="13" t="s">
        <v>796</v>
      </c>
      <c r="C314" s="16">
        <f t="shared" si="20"/>
        <v>45962</v>
      </c>
      <c r="D314" t="s">
        <v>975</v>
      </c>
      <c r="E314" t="s">
        <v>33</v>
      </c>
      <c r="F314" t="s">
        <v>956</v>
      </c>
      <c r="G314" t="s">
        <v>1026</v>
      </c>
      <c r="H314" t="s">
        <v>1023</v>
      </c>
      <c r="I314">
        <v>498</v>
      </c>
      <c r="J314" s="3">
        <v>425.51</v>
      </c>
      <c r="K314" s="3">
        <v>211903.98</v>
      </c>
      <c r="L314">
        <v>502</v>
      </c>
      <c r="M314" t="s">
        <v>1049</v>
      </c>
      <c r="N314" s="16">
        <f t="shared" si="21"/>
        <v>45962</v>
      </c>
      <c r="O314" t="s">
        <v>1048</v>
      </c>
      <c r="P314" t="str">
        <f t="shared" si="22"/>
        <v>November 2025</v>
      </c>
      <c r="Q314" t="s">
        <v>966</v>
      </c>
      <c r="R314" s="8">
        <v>26246.880000000001</v>
      </c>
      <c r="S314" s="8">
        <f t="shared" si="23"/>
        <v>238150.86000000002</v>
      </c>
      <c r="T314" s="6">
        <f t="shared" si="24"/>
        <v>-1</v>
      </c>
    </row>
    <row r="315" spans="1:20" x14ac:dyDescent="0.3">
      <c r="A315" t="s">
        <v>1387</v>
      </c>
      <c r="B315" s="13" t="s">
        <v>403</v>
      </c>
      <c r="C315" s="16">
        <f t="shared" si="20"/>
        <v>45748</v>
      </c>
      <c r="D315" t="s">
        <v>955</v>
      </c>
      <c r="E315" t="s">
        <v>962</v>
      </c>
      <c r="F315" t="s">
        <v>971</v>
      </c>
      <c r="G315" t="s">
        <v>1040</v>
      </c>
      <c r="H315" t="s">
        <v>965</v>
      </c>
      <c r="I315">
        <v>1550</v>
      </c>
      <c r="J315" s="3">
        <v>600.89</v>
      </c>
      <c r="K315" s="3">
        <v>931379.5</v>
      </c>
      <c r="L315">
        <v>294</v>
      </c>
      <c r="M315" t="s">
        <v>398</v>
      </c>
      <c r="N315" s="16">
        <f t="shared" si="21"/>
        <v>45748</v>
      </c>
      <c r="O315" t="s">
        <v>116</v>
      </c>
      <c r="P315" t="str">
        <f t="shared" si="22"/>
        <v>April 2025</v>
      </c>
      <c r="Q315" t="s">
        <v>959</v>
      </c>
      <c r="R315" s="8">
        <v>16110.18</v>
      </c>
      <c r="S315" s="8">
        <f t="shared" si="23"/>
        <v>947489.68</v>
      </c>
      <c r="T315" s="6">
        <f t="shared" si="24"/>
        <v>4</v>
      </c>
    </row>
    <row r="316" spans="1:20" x14ac:dyDescent="0.3">
      <c r="A316" t="s">
        <v>1388</v>
      </c>
      <c r="B316" s="13" t="s">
        <v>275</v>
      </c>
      <c r="C316" s="16">
        <f t="shared" si="20"/>
        <v>45931</v>
      </c>
      <c r="D316" t="s">
        <v>955</v>
      </c>
      <c r="E316" t="s">
        <v>43</v>
      </c>
      <c r="F316" t="s">
        <v>963</v>
      </c>
      <c r="G316" t="s">
        <v>957</v>
      </c>
      <c r="H316" t="s">
        <v>977</v>
      </c>
      <c r="I316">
        <v>2022</v>
      </c>
      <c r="J316" s="3">
        <v>661.42</v>
      </c>
      <c r="K316" s="3">
        <v>1337391.24</v>
      </c>
      <c r="L316">
        <v>155</v>
      </c>
      <c r="M316" t="s">
        <v>210</v>
      </c>
      <c r="N316" s="16">
        <f t="shared" si="21"/>
        <v>45931</v>
      </c>
      <c r="O316" t="s">
        <v>210</v>
      </c>
      <c r="P316" t="str">
        <f t="shared" si="22"/>
        <v>October 2025</v>
      </c>
      <c r="Q316" t="s">
        <v>966</v>
      </c>
      <c r="R316" s="8">
        <v>5831.07</v>
      </c>
      <c r="S316" s="8">
        <f t="shared" si="23"/>
        <v>1343222.31</v>
      </c>
      <c r="T316" s="6">
        <f t="shared" si="24"/>
        <v>0</v>
      </c>
    </row>
    <row r="317" spans="1:20" x14ac:dyDescent="0.3">
      <c r="A317" t="s">
        <v>1389</v>
      </c>
      <c r="B317" s="13" t="s">
        <v>1005</v>
      </c>
      <c r="C317" s="16">
        <f t="shared" si="20"/>
        <v>45839</v>
      </c>
      <c r="D317" t="s">
        <v>1011</v>
      </c>
      <c r="E317" t="s">
        <v>49</v>
      </c>
      <c r="F317" t="s">
        <v>971</v>
      </c>
      <c r="G317" t="s">
        <v>1012</v>
      </c>
      <c r="H317" t="s">
        <v>992</v>
      </c>
      <c r="I317">
        <v>1156</v>
      </c>
      <c r="J317" s="3">
        <v>81.89</v>
      </c>
      <c r="K317" s="3">
        <v>94664.84</v>
      </c>
      <c r="L317">
        <v>204</v>
      </c>
      <c r="M317" t="s">
        <v>1360</v>
      </c>
      <c r="N317" s="16">
        <f t="shared" si="21"/>
        <v>45839</v>
      </c>
      <c r="O317" t="s">
        <v>326</v>
      </c>
      <c r="P317" t="str">
        <f t="shared" si="22"/>
        <v>July 2025</v>
      </c>
      <c r="Q317" t="s">
        <v>959</v>
      </c>
      <c r="R317" s="8">
        <v>10234.65</v>
      </c>
      <c r="S317" s="8">
        <f t="shared" si="23"/>
        <v>104899.48999999999</v>
      </c>
      <c r="T317" s="6">
        <f t="shared" si="24"/>
        <v>2</v>
      </c>
    </row>
    <row r="318" spans="1:20" x14ac:dyDescent="0.3">
      <c r="A318" t="s">
        <v>1390</v>
      </c>
      <c r="B318" s="13" t="s">
        <v>158</v>
      </c>
      <c r="C318" s="16">
        <f t="shared" si="20"/>
        <v>45992</v>
      </c>
      <c r="D318" t="s">
        <v>1003</v>
      </c>
      <c r="E318" t="s">
        <v>962</v>
      </c>
      <c r="F318" t="s">
        <v>971</v>
      </c>
      <c r="G318" t="s">
        <v>972</v>
      </c>
      <c r="H318" t="s">
        <v>992</v>
      </c>
      <c r="I318">
        <v>886</v>
      </c>
      <c r="J318" s="3">
        <v>532.80999999999995</v>
      </c>
      <c r="K318" s="3">
        <v>472069.66</v>
      </c>
      <c r="L318">
        <v>211</v>
      </c>
      <c r="M318" t="s">
        <v>488</v>
      </c>
      <c r="N318" s="16">
        <f t="shared" si="21"/>
        <v>45992</v>
      </c>
      <c r="O318" t="s">
        <v>88</v>
      </c>
      <c r="P318" t="str">
        <f t="shared" si="22"/>
        <v>December 2025</v>
      </c>
      <c r="Q318" t="s">
        <v>959</v>
      </c>
      <c r="R318" s="8">
        <v>10006.790000000001</v>
      </c>
      <c r="S318" s="8">
        <f t="shared" si="23"/>
        <v>482076.44999999995</v>
      </c>
      <c r="T318" s="6">
        <f t="shared" si="24"/>
        <v>1</v>
      </c>
    </row>
    <row r="319" spans="1:20" x14ac:dyDescent="0.3">
      <c r="A319" t="s">
        <v>1391</v>
      </c>
      <c r="B319" s="13" t="s">
        <v>163</v>
      </c>
      <c r="C319" s="16">
        <f t="shared" si="20"/>
        <v>45992</v>
      </c>
      <c r="D319" t="s">
        <v>968</v>
      </c>
      <c r="E319" t="s">
        <v>990</v>
      </c>
      <c r="F319" t="s">
        <v>956</v>
      </c>
      <c r="G319" t="s">
        <v>1036</v>
      </c>
      <c r="H319" t="s">
        <v>982</v>
      </c>
      <c r="I319">
        <v>897</v>
      </c>
      <c r="J319" s="3">
        <v>642.26</v>
      </c>
      <c r="K319" s="3">
        <v>576107.22</v>
      </c>
      <c r="L319">
        <v>481</v>
      </c>
      <c r="M319" t="s">
        <v>575</v>
      </c>
      <c r="N319" s="16">
        <f t="shared" si="21"/>
        <v>45992</v>
      </c>
      <c r="O319" t="s">
        <v>575</v>
      </c>
      <c r="P319" t="str">
        <f t="shared" si="22"/>
        <v>December 2025</v>
      </c>
      <c r="Q319" t="s">
        <v>966</v>
      </c>
      <c r="R319" s="8">
        <v>22394.91</v>
      </c>
      <c r="S319" s="8">
        <f t="shared" si="23"/>
        <v>598502.13</v>
      </c>
      <c r="T319" s="6">
        <f t="shared" si="24"/>
        <v>0</v>
      </c>
    </row>
    <row r="320" spans="1:20" x14ac:dyDescent="0.3">
      <c r="A320" t="s">
        <v>1392</v>
      </c>
      <c r="B320" s="13" t="s">
        <v>68</v>
      </c>
      <c r="C320" s="16">
        <f t="shared" si="20"/>
        <v>45931</v>
      </c>
      <c r="D320" t="s">
        <v>961</v>
      </c>
      <c r="E320" t="s">
        <v>990</v>
      </c>
      <c r="F320" t="s">
        <v>980</v>
      </c>
      <c r="G320" t="s">
        <v>996</v>
      </c>
      <c r="H320" t="s">
        <v>1000</v>
      </c>
      <c r="I320">
        <v>1093</v>
      </c>
      <c r="J320" s="3">
        <v>891.98</v>
      </c>
      <c r="K320" s="3">
        <v>974934.14</v>
      </c>
      <c r="L320">
        <v>386</v>
      </c>
      <c r="M320" t="s">
        <v>1027</v>
      </c>
      <c r="N320" s="16">
        <f t="shared" si="21"/>
        <v>45931</v>
      </c>
      <c r="O320" t="s">
        <v>1027</v>
      </c>
      <c r="P320" t="str">
        <f t="shared" si="22"/>
        <v>October 2025</v>
      </c>
      <c r="Q320" t="s">
        <v>966</v>
      </c>
      <c r="R320" s="8">
        <v>17999.77</v>
      </c>
      <c r="S320" s="8">
        <f t="shared" si="23"/>
        <v>992933.91</v>
      </c>
      <c r="T320" s="6">
        <f t="shared" si="24"/>
        <v>0</v>
      </c>
    </row>
    <row r="321" spans="1:20" x14ac:dyDescent="0.3">
      <c r="A321" t="s">
        <v>1393</v>
      </c>
      <c r="B321" s="13" t="s">
        <v>345</v>
      </c>
      <c r="C321" s="16">
        <f t="shared" si="20"/>
        <v>45658</v>
      </c>
      <c r="D321" t="s">
        <v>975</v>
      </c>
      <c r="E321" t="s">
        <v>43</v>
      </c>
      <c r="F321" t="s">
        <v>980</v>
      </c>
      <c r="G321" t="s">
        <v>998</v>
      </c>
      <c r="H321" t="s">
        <v>1034</v>
      </c>
      <c r="I321">
        <v>139</v>
      </c>
      <c r="J321" s="3">
        <v>496.28</v>
      </c>
      <c r="K321" s="3">
        <v>68982.92</v>
      </c>
      <c r="L321">
        <v>288</v>
      </c>
      <c r="M321" t="s">
        <v>717</v>
      </c>
      <c r="N321" s="16">
        <f t="shared" si="21"/>
        <v>45658</v>
      </c>
      <c r="O321" t="s">
        <v>717</v>
      </c>
      <c r="P321" t="str">
        <f t="shared" si="22"/>
        <v>January 2025</v>
      </c>
      <c r="Q321" t="s">
        <v>966</v>
      </c>
      <c r="R321" s="8">
        <v>15741.19</v>
      </c>
      <c r="S321" s="8">
        <f t="shared" si="23"/>
        <v>84724.11</v>
      </c>
      <c r="T321" s="6">
        <f t="shared" si="24"/>
        <v>0</v>
      </c>
    </row>
    <row r="322" spans="1:20" x14ac:dyDescent="0.3">
      <c r="A322" t="s">
        <v>1394</v>
      </c>
      <c r="B322" s="13" t="s">
        <v>438</v>
      </c>
      <c r="C322" s="16">
        <f t="shared" si="20"/>
        <v>45658</v>
      </c>
      <c r="D322" t="s">
        <v>1021</v>
      </c>
      <c r="E322" t="s">
        <v>962</v>
      </c>
      <c r="F322" t="s">
        <v>956</v>
      </c>
      <c r="G322" t="s">
        <v>1015</v>
      </c>
      <c r="H322" t="s">
        <v>1034</v>
      </c>
      <c r="I322">
        <v>1813</v>
      </c>
      <c r="J322" s="3">
        <v>269.47000000000003</v>
      </c>
      <c r="K322" s="3">
        <v>488549.11</v>
      </c>
      <c r="L322">
        <v>513</v>
      </c>
      <c r="M322" t="s">
        <v>717</v>
      </c>
      <c r="N322" s="16">
        <f t="shared" si="21"/>
        <v>45658</v>
      </c>
      <c r="O322" t="s">
        <v>307</v>
      </c>
      <c r="P322" t="str">
        <f t="shared" si="22"/>
        <v>January 2025</v>
      </c>
      <c r="Q322" t="s">
        <v>959</v>
      </c>
      <c r="R322" s="8">
        <v>19839.740000000002</v>
      </c>
      <c r="S322" s="8">
        <f t="shared" si="23"/>
        <v>508388.85</v>
      </c>
      <c r="T322" s="6">
        <f t="shared" si="24"/>
        <v>3</v>
      </c>
    </row>
    <row r="323" spans="1:20" x14ac:dyDescent="0.3">
      <c r="A323" t="s">
        <v>1395</v>
      </c>
      <c r="B323" s="13" t="s">
        <v>1081</v>
      </c>
      <c r="C323" s="16">
        <f t="shared" ref="C323:C386" si="25">DATE(YEAR(B323), MONTH(B323), 1)</f>
        <v>45962</v>
      </c>
      <c r="D323" t="s">
        <v>1011</v>
      </c>
      <c r="E323" t="s">
        <v>987</v>
      </c>
      <c r="F323" t="s">
        <v>963</v>
      </c>
      <c r="G323" t="s">
        <v>1040</v>
      </c>
      <c r="H323" t="s">
        <v>1000</v>
      </c>
      <c r="I323">
        <v>527</v>
      </c>
      <c r="J323" s="3">
        <v>460.5</v>
      </c>
      <c r="K323" s="3">
        <v>242683.5</v>
      </c>
      <c r="L323">
        <v>557</v>
      </c>
      <c r="M323" t="s">
        <v>1114</v>
      </c>
      <c r="N323" s="16">
        <f t="shared" ref="N323:N386" si="26">DATE(YEAR(M323), MONTH(M323),1)</f>
        <v>45962</v>
      </c>
      <c r="O323" t="s">
        <v>134</v>
      </c>
      <c r="P323" t="str">
        <f t="shared" ref="P323:P386" si="27">TEXT(O323, "mmmm yyyy")</f>
        <v>November 2025</v>
      </c>
      <c r="Q323" t="s">
        <v>959</v>
      </c>
      <c r="R323" s="8">
        <v>21731.52</v>
      </c>
      <c r="S323" s="8">
        <f t="shared" ref="S323:S386" si="28">K323 +R323</f>
        <v>264415.02</v>
      </c>
      <c r="T323" s="6">
        <f t="shared" si="24"/>
        <v>3</v>
      </c>
    </row>
    <row r="324" spans="1:20" x14ac:dyDescent="0.3">
      <c r="A324" t="s">
        <v>1396</v>
      </c>
      <c r="B324" s="13" t="s">
        <v>932</v>
      </c>
      <c r="C324" s="16">
        <f t="shared" si="25"/>
        <v>45992</v>
      </c>
      <c r="D324" t="s">
        <v>1011</v>
      </c>
      <c r="E324" t="s">
        <v>962</v>
      </c>
      <c r="F324" t="s">
        <v>971</v>
      </c>
      <c r="G324" t="s">
        <v>985</v>
      </c>
      <c r="H324" t="s">
        <v>965</v>
      </c>
      <c r="I324">
        <v>1177</v>
      </c>
      <c r="J324" s="3">
        <v>891.25</v>
      </c>
      <c r="K324" s="3">
        <v>1049001.25</v>
      </c>
      <c r="L324">
        <v>51</v>
      </c>
      <c r="M324" t="s">
        <v>296</v>
      </c>
      <c r="N324" s="16">
        <f t="shared" si="26"/>
        <v>45992</v>
      </c>
      <c r="O324" t="s">
        <v>880</v>
      </c>
      <c r="P324" t="str">
        <f t="shared" si="27"/>
        <v>December 2025</v>
      </c>
      <c r="Q324" t="s">
        <v>959</v>
      </c>
      <c r="R324" s="8">
        <v>2041.13</v>
      </c>
      <c r="S324" s="8">
        <f t="shared" si="28"/>
        <v>1051042.3799999999</v>
      </c>
      <c r="T324" s="6">
        <f t="shared" ref="T324:T387" si="29">O324 -M324</f>
        <v>1</v>
      </c>
    </row>
    <row r="325" spans="1:20" x14ac:dyDescent="0.3">
      <c r="A325" t="s">
        <v>1397</v>
      </c>
      <c r="B325" s="13" t="s">
        <v>223</v>
      </c>
      <c r="C325" s="16">
        <f t="shared" si="25"/>
        <v>45748</v>
      </c>
      <c r="D325" t="s">
        <v>1021</v>
      </c>
      <c r="E325" t="s">
        <v>43</v>
      </c>
      <c r="F325" t="s">
        <v>971</v>
      </c>
      <c r="G325" t="s">
        <v>1045</v>
      </c>
      <c r="H325" t="s">
        <v>977</v>
      </c>
      <c r="I325">
        <v>410</v>
      </c>
      <c r="J325" s="3">
        <v>624.14</v>
      </c>
      <c r="K325" s="3">
        <v>255897.4</v>
      </c>
      <c r="L325">
        <v>288</v>
      </c>
      <c r="M325" t="s">
        <v>598</v>
      </c>
      <c r="N325" s="16">
        <f t="shared" si="26"/>
        <v>45748</v>
      </c>
      <c r="O325" t="s">
        <v>223</v>
      </c>
      <c r="P325" t="str">
        <f t="shared" si="27"/>
        <v>April 2025</v>
      </c>
      <c r="Q325" t="s">
        <v>966</v>
      </c>
      <c r="R325" s="8">
        <v>16658.89</v>
      </c>
      <c r="S325" s="8">
        <f t="shared" si="28"/>
        <v>272556.28999999998</v>
      </c>
      <c r="T325" s="6">
        <f t="shared" si="29"/>
        <v>-1</v>
      </c>
    </row>
    <row r="326" spans="1:20" x14ac:dyDescent="0.3">
      <c r="A326" t="s">
        <v>1398</v>
      </c>
      <c r="B326" s="13" t="s">
        <v>633</v>
      </c>
      <c r="C326" s="16">
        <f t="shared" si="25"/>
        <v>45839</v>
      </c>
      <c r="D326" t="s">
        <v>968</v>
      </c>
      <c r="E326" t="s">
        <v>962</v>
      </c>
      <c r="F326" t="s">
        <v>980</v>
      </c>
      <c r="G326" t="s">
        <v>957</v>
      </c>
      <c r="H326" t="s">
        <v>1023</v>
      </c>
      <c r="I326">
        <v>129</v>
      </c>
      <c r="J326" s="3">
        <v>686.24</v>
      </c>
      <c r="K326" s="3">
        <v>88524.96</v>
      </c>
      <c r="L326">
        <v>258</v>
      </c>
      <c r="M326" t="s">
        <v>534</v>
      </c>
      <c r="N326" s="16">
        <f t="shared" si="26"/>
        <v>45839</v>
      </c>
      <c r="O326" t="s">
        <v>534</v>
      </c>
      <c r="P326" t="str">
        <f t="shared" si="27"/>
        <v>July 2025</v>
      </c>
      <c r="Q326" t="s">
        <v>966</v>
      </c>
      <c r="R326" s="8">
        <v>10112.51</v>
      </c>
      <c r="S326" s="8">
        <f t="shared" si="28"/>
        <v>98637.47</v>
      </c>
      <c r="T326" s="6">
        <f t="shared" si="29"/>
        <v>0</v>
      </c>
    </row>
    <row r="327" spans="1:20" x14ac:dyDescent="0.3">
      <c r="A327" t="s">
        <v>1399</v>
      </c>
      <c r="B327" s="13" t="s">
        <v>242</v>
      </c>
      <c r="C327" s="16">
        <f t="shared" si="25"/>
        <v>45870</v>
      </c>
      <c r="D327" t="s">
        <v>961</v>
      </c>
      <c r="E327" t="s">
        <v>43</v>
      </c>
      <c r="F327" t="s">
        <v>963</v>
      </c>
      <c r="G327" t="s">
        <v>1045</v>
      </c>
      <c r="H327" t="s">
        <v>977</v>
      </c>
      <c r="I327">
        <v>1357</v>
      </c>
      <c r="J327" s="3">
        <v>639.75</v>
      </c>
      <c r="K327" s="3">
        <v>868140.75</v>
      </c>
      <c r="L327">
        <v>280</v>
      </c>
      <c r="M327" t="s">
        <v>266</v>
      </c>
      <c r="N327" s="16">
        <f t="shared" si="26"/>
        <v>45901</v>
      </c>
      <c r="O327" t="s">
        <v>266</v>
      </c>
      <c r="P327" t="str">
        <f t="shared" si="27"/>
        <v>September 2025</v>
      </c>
      <c r="Q327" t="s">
        <v>966</v>
      </c>
      <c r="R327" s="8">
        <v>11432.8</v>
      </c>
      <c r="S327" s="8">
        <f t="shared" si="28"/>
        <v>879573.55</v>
      </c>
      <c r="T327" s="6">
        <f t="shared" si="29"/>
        <v>0</v>
      </c>
    </row>
    <row r="328" spans="1:20" x14ac:dyDescent="0.3">
      <c r="A328" t="s">
        <v>1400</v>
      </c>
      <c r="B328" s="13" t="s">
        <v>300</v>
      </c>
      <c r="C328" s="16">
        <f t="shared" si="25"/>
        <v>45748</v>
      </c>
      <c r="D328" t="s">
        <v>968</v>
      </c>
      <c r="E328" t="s">
        <v>962</v>
      </c>
      <c r="F328" t="s">
        <v>971</v>
      </c>
      <c r="G328" t="s">
        <v>994</v>
      </c>
      <c r="H328" t="s">
        <v>977</v>
      </c>
      <c r="I328">
        <v>1434</v>
      </c>
      <c r="J328" s="3">
        <v>169.78</v>
      </c>
      <c r="K328" s="3">
        <v>243464.52</v>
      </c>
      <c r="L328">
        <v>414</v>
      </c>
      <c r="M328" t="s">
        <v>316</v>
      </c>
      <c r="N328" s="16">
        <f t="shared" si="26"/>
        <v>45748</v>
      </c>
      <c r="O328" t="s">
        <v>316</v>
      </c>
      <c r="P328" t="str">
        <f t="shared" si="27"/>
        <v>April 2025</v>
      </c>
      <c r="Q328" t="s">
        <v>966</v>
      </c>
      <c r="R328" s="8">
        <v>17973.05</v>
      </c>
      <c r="S328" s="8">
        <f t="shared" si="28"/>
        <v>261437.56999999998</v>
      </c>
      <c r="T328" s="6">
        <f t="shared" si="29"/>
        <v>0</v>
      </c>
    </row>
    <row r="329" spans="1:20" x14ac:dyDescent="0.3">
      <c r="A329" t="s">
        <v>1401</v>
      </c>
      <c r="B329" s="13" t="s">
        <v>694</v>
      </c>
      <c r="C329" s="16">
        <f t="shared" si="25"/>
        <v>45717</v>
      </c>
      <c r="D329" t="s">
        <v>1021</v>
      </c>
      <c r="E329" t="s">
        <v>962</v>
      </c>
      <c r="F329" t="s">
        <v>963</v>
      </c>
      <c r="G329" t="s">
        <v>1004</v>
      </c>
      <c r="H329" t="s">
        <v>965</v>
      </c>
      <c r="I329">
        <v>1158</v>
      </c>
      <c r="J329" s="3">
        <v>415.86</v>
      </c>
      <c r="K329" s="3">
        <v>481565.88</v>
      </c>
      <c r="L329">
        <v>340</v>
      </c>
      <c r="M329" t="s">
        <v>577</v>
      </c>
      <c r="N329" s="16">
        <f t="shared" si="26"/>
        <v>45717</v>
      </c>
      <c r="O329" t="s">
        <v>225</v>
      </c>
      <c r="P329" t="str">
        <f t="shared" si="27"/>
        <v>March 2025</v>
      </c>
      <c r="Q329" t="s">
        <v>959</v>
      </c>
      <c r="R329" s="8">
        <v>13971.49</v>
      </c>
      <c r="S329" s="8">
        <f t="shared" si="28"/>
        <v>495537.37</v>
      </c>
      <c r="T329" s="6">
        <f t="shared" si="29"/>
        <v>3</v>
      </c>
    </row>
    <row r="330" spans="1:20" x14ac:dyDescent="0.3">
      <c r="A330" t="s">
        <v>1402</v>
      </c>
      <c r="B330" s="13" t="s">
        <v>35</v>
      </c>
      <c r="C330" s="16">
        <f t="shared" si="25"/>
        <v>45809</v>
      </c>
      <c r="D330" t="s">
        <v>975</v>
      </c>
      <c r="E330" t="s">
        <v>990</v>
      </c>
      <c r="F330" t="s">
        <v>971</v>
      </c>
      <c r="G330" t="s">
        <v>1132</v>
      </c>
      <c r="H330" t="s">
        <v>1018</v>
      </c>
      <c r="I330">
        <v>912</v>
      </c>
      <c r="J330" s="3">
        <v>109.2</v>
      </c>
      <c r="K330" s="3">
        <v>99590.399999999994</v>
      </c>
      <c r="L330">
        <v>453</v>
      </c>
      <c r="M330" t="s">
        <v>132</v>
      </c>
      <c r="N330" s="16">
        <f t="shared" si="26"/>
        <v>45809</v>
      </c>
      <c r="O330" t="s">
        <v>814</v>
      </c>
      <c r="P330" t="str">
        <f t="shared" si="27"/>
        <v>June 2025</v>
      </c>
      <c r="Q330" t="s">
        <v>959</v>
      </c>
      <c r="R330" s="8">
        <v>22776.71</v>
      </c>
      <c r="S330" s="8">
        <f t="shared" si="28"/>
        <v>122367.10999999999</v>
      </c>
      <c r="T330" s="6">
        <f t="shared" si="29"/>
        <v>3</v>
      </c>
    </row>
    <row r="331" spans="1:20" x14ac:dyDescent="0.3">
      <c r="A331" t="s">
        <v>1403</v>
      </c>
      <c r="B331" s="13" t="s">
        <v>765</v>
      </c>
      <c r="C331" s="16">
        <f t="shared" si="25"/>
        <v>45992</v>
      </c>
      <c r="D331" t="s">
        <v>968</v>
      </c>
      <c r="E331" t="s">
        <v>49</v>
      </c>
      <c r="F331" t="s">
        <v>971</v>
      </c>
      <c r="G331" t="s">
        <v>964</v>
      </c>
      <c r="H331" t="s">
        <v>973</v>
      </c>
      <c r="I331">
        <v>1618</v>
      </c>
      <c r="J331" s="3">
        <v>196.56</v>
      </c>
      <c r="K331" s="3">
        <v>318034.08</v>
      </c>
      <c r="L331">
        <v>315</v>
      </c>
      <c r="M331" t="s">
        <v>163</v>
      </c>
      <c r="N331" s="16">
        <f t="shared" si="26"/>
        <v>45992</v>
      </c>
      <c r="O331" t="s">
        <v>163</v>
      </c>
      <c r="P331" t="str">
        <f t="shared" si="27"/>
        <v>December 2025</v>
      </c>
      <c r="Q331" t="s">
        <v>966</v>
      </c>
      <c r="R331" s="8">
        <v>11800.4</v>
      </c>
      <c r="S331" s="8">
        <f t="shared" si="28"/>
        <v>329834.48000000004</v>
      </c>
      <c r="T331" s="6">
        <f t="shared" si="29"/>
        <v>0</v>
      </c>
    </row>
    <row r="332" spans="1:20" x14ac:dyDescent="0.3">
      <c r="A332" t="s">
        <v>1404</v>
      </c>
      <c r="B332" s="13" t="s">
        <v>604</v>
      </c>
      <c r="C332" s="16">
        <f t="shared" si="25"/>
        <v>45748</v>
      </c>
      <c r="D332" t="s">
        <v>955</v>
      </c>
      <c r="E332" t="s">
        <v>987</v>
      </c>
      <c r="F332" t="s">
        <v>971</v>
      </c>
      <c r="G332" t="s">
        <v>1098</v>
      </c>
      <c r="H332" t="s">
        <v>1023</v>
      </c>
      <c r="I332">
        <v>2347</v>
      </c>
      <c r="J332" s="3">
        <v>868.81</v>
      </c>
      <c r="K332" s="3">
        <v>2039097.07</v>
      </c>
      <c r="L332">
        <v>264</v>
      </c>
      <c r="M332" t="s">
        <v>1107</v>
      </c>
      <c r="N332" s="16">
        <f t="shared" si="26"/>
        <v>45748</v>
      </c>
      <c r="O332" t="s">
        <v>398</v>
      </c>
      <c r="P332" t="str">
        <f t="shared" si="27"/>
        <v>April 2025</v>
      </c>
      <c r="Q332" t="s">
        <v>959</v>
      </c>
      <c r="R332" s="8">
        <v>10699.24</v>
      </c>
      <c r="S332" s="8">
        <f t="shared" si="28"/>
        <v>2049796.31</v>
      </c>
      <c r="T332" s="6">
        <f t="shared" si="29"/>
        <v>3</v>
      </c>
    </row>
    <row r="333" spans="1:20" x14ac:dyDescent="0.3">
      <c r="A333" t="s">
        <v>1405</v>
      </c>
      <c r="B333" s="13" t="s">
        <v>435</v>
      </c>
      <c r="C333" s="16">
        <f t="shared" si="25"/>
        <v>45809</v>
      </c>
      <c r="D333" t="s">
        <v>984</v>
      </c>
      <c r="E333" t="s">
        <v>33</v>
      </c>
      <c r="F333" t="s">
        <v>963</v>
      </c>
      <c r="G333" t="s">
        <v>1068</v>
      </c>
      <c r="H333" t="s">
        <v>965</v>
      </c>
      <c r="I333">
        <v>1102</v>
      </c>
      <c r="J333" s="3">
        <v>350.25</v>
      </c>
      <c r="K333" s="3">
        <v>385975.5</v>
      </c>
      <c r="L333">
        <v>222</v>
      </c>
      <c r="M333" t="s">
        <v>145</v>
      </c>
      <c r="N333" s="16">
        <f t="shared" si="26"/>
        <v>45809</v>
      </c>
      <c r="O333" t="s">
        <v>244</v>
      </c>
      <c r="P333" t="str">
        <f t="shared" si="27"/>
        <v>June 2025</v>
      </c>
      <c r="Q333" t="s">
        <v>959</v>
      </c>
      <c r="R333" s="8">
        <v>8433.7800000000007</v>
      </c>
      <c r="S333" s="8">
        <f t="shared" si="28"/>
        <v>394409.28</v>
      </c>
      <c r="T333" s="6">
        <f t="shared" si="29"/>
        <v>2</v>
      </c>
    </row>
    <row r="334" spans="1:20" x14ac:dyDescent="0.3">
      <c r="A334" t="s">
        <v>1406</v>
      </c>
      <c r="B334" s="13" t="s">
        <v>899</v>
      </c>
      <c r="C334" s="16">
        <f t="shared" si="25"/>
        <v>45992</v>
      </c>
      <c r="D334" t="s">
        <v>1021</v>
      </c>
      <c r="E334" t="s">
        <v>990</v>
      </c>
      <c r="F334" t="s">
        <v>956</v>
      </c>
      <c r="G334" t="s">
        <v>994</v>
      </c>
      <c r="H334" t="s">
        <v>1023</v>
      </c>
      <c r="I334">
        <v>1231</v>
      </c>
      <c r="J334" s="3">
        <v>254.76</v>
      </c>
      <c r="K334" s="3">
        <v>313609.56</v>
      </c>
      <c r="L334">
        <v>82</v>
      </c>
      <c r="M334" t="s">
        <v>595</v>
      </c>
      <c r="N334" s="16">
        <f t="shared" si="26"/>
        <v>45992</v>
      </c>
      <c r="O334" t="s">
        <v>899</v>
      </c>
      <c r="P334" t="str">
        <f t="shared" si="27"/>
        <v>December 2025</v>
      </c>
      <c r="Q334" t="s">
        <v>966</v>
      </c>
      <c r="R334" s="8">
        <v>4429.6099999999997</v>
      </c>
      <c r="S334" s="8">
        <f t="shared" si="28"/>
        <v>318039.17</v>
      </c>
      <c r="T334" s="6">
        <f t="shared" si="29"/>
        <v>-1</v>
      </c>
    </row>
    <row r="335" spans="1:20" x14ac:dyDescent="0.3">
      <c r="A335" t="s">
        <v>1407</v>
      </c>
      <c r="B335" s="13" t="s">
        <v>443</v>
      </c>
      <c r="C335" s="16">
        <f t="shared" si="25"/>
        <v>45901</v>
      </c>
      <c r="D335" t="s">
        <v>975</v>
      </c>
      <c r="E335" t="s">
        <v>49</v>
      </c>
      <c r="F335" t="s">
        <v>956</v>
      </c>
      <c r="G335" t="s">
        <v>972</v>
      </c>
      <c r="H335" t="s">
        <v>1023</v>
      </c>
      <c r="I335">
        <v>1161</v>
      </c>
      <c r="J335" s="3">
        <v>761.8</v>
      </c>
      <c r="K335" s="3">
        <v>884449.8</v>
      </c>
      <c r="L335">
        <v>145</v>
      </c>
      <c r="M335" t="s">
        <v>352</v>
      </c>
      <c r="N335" s="16">
        <f t="shared" si="26"/>
        <v>45901</v>
      </c>
      <c r="O335" t="s">
        <v>443</v>
      </c>
      <c r="P335" t="str">
        <f t="shared" si="27"/>
        <v>September 2025</v>
      </c>
      <c r="Q335" t="s">
        <v>966</v>
      </c>
      <c r="R335" s="8">
        <v>5184.8900000000003</v>
      </c>
      <c r="S335" s="8">
        <f t="shared" si="28"/>
        <v>889634.69000000006</v>
      </c>
      <c r="T335" s="6">
        <f t="shared" si="29"/>
        <v>-1</v>
      </c>
    </row>
    <row r="336" spans="1:20" x14ac:dyDescent="0.3">
      <c r="A336" t="s">
        <v>1408</v>
      </c>
      <c r="B336" s="13" t="s">
        <v>338</v>
      </c>
      <c r="C336" s="16">
        <f t="shared" si="25"/>
        <v>45931</v>
      </c>
      <c r="D336" t="s">
        <v>1011</v>
      </c>
      <c r="E336" t="s">
        <v>990</v>
      </c>
      <c r="F336" t="s">
        <v>980</v>
      </c>
      <c r="G336" t="s">
        <v>1012</v>
      </c>
      <c r="H336" t="s">
        <v>1018</v>
      </c>
      <c r="I336">
        <v>1180</v>
      </c>
      <c r="J336" s="3">
        <v>234.2</v>
      </c>
      <c r="K336" s="3">
        <v>276356</v>
      </c>
      <c r="L336">
        <v>449</v>
      </c>
      <c r="M336" t="s">
        <v>311</v>
      </c>
      <c r="N336" s="16">
        <f t="shared" si="26"/>
        <v>45931</v>
      </c>
      <c r="O336" t="s">
        <v>825</v>
      </c>
      <c r="P336" t="str">
        <f t="shared" si="27"/>
        <v>October 2025</v>
      </c>
      <c r="Q336" t="s">
        <v>966</v>
      </c>
      <c r="R336" s="8">
        <v>24530.22</v>
      </c>
      <c r="S336" s="8">
        <f t="shared" si="28"/>
        <v>300886.21999999997</v>
      </c>
      <c r="T336" s="6">
        <f t="shared" si="29"/>
        <v>-1</v>
      </c>
    </row>
    <row r="337" spans="1:20" x14ac:dyDescent="0.3">
      <c r="A337" t="s">
        <v>1409</v>
      </c>
      <c r="B337" s="13" t="s">
        <v>323</v>
      </c>
      <c r="C337" s="16">
        <f t="shared" si="25"/>
        <v>45870</v>
      </c>
      <c r="D337" t="s">
        <v>955</v>
      </c>
      <c r="E337" t="s">
        <v>49</v>
      </c>
      <c r="F337" t="s">
        <v>956</v>
      </c>
      <c r="G337" t="s">
        <v>1004</v>
      </c>
      <c r="H337" t="s">
        <v>958</v>
      </c>
      <c r="I337">
        <v>565</v>
      </c>
      <c r="J337" s="3">
        <v>606.24</v>
      </c>
      <c r="K337" s="3">
        <v>342525.6</v>
      </c>
      <c r="L337">
        <v>149</v>
      </c>
      <c r="M337" t="s">
        <v>242</v>
      </c>
      <c r="N337" s="16">
        <f t="shared" si="26"/>
        <v>45870</v>
      </c>
      <c r="O337" t="s">
        <v>557</v>
      </c>
      <c r="P337" t="str">
        <f t="shared" si="27"/>
        <v>September 2025</v>
      </c>
      <c r="Q337" t="s">
        <v>959</v>
      </c>
      <c r="R337" s="8">
        <v>6294.86</v>
      </c>
      <c r="S337" s="8">
        <f t="shared" si="28"/>
        <v>348820.45999999996</v>
      </c>
      <c r="T337" s="6">
        <f t="shared" si="29"/>
        <v>3</v>
      </c>
    </row>
    <row r="338" spans="1:20" x14ac:dyDescent="0.3">
      <c r="A338" t="s">
        <v>1410</v>
      </c>
      <c r="B338" s="13" t="s">
        <v>122</v>
      </c>
      <c r="C338" s="16">
        <f t="shared" si="25"/>
        <v>45931</v>
      </c>
      <c r="D338" t="s">
        <v>975</v>
      </c>
      <c r="E338" t="s">
        <v>990</v>
      </c>
      <c r="F338" t="s">
        <v>956</v>
      </c>
      <c r="G338" t="s">
        <v>1098</v>
      </c>
      <c r="H338" t="s">
        <v>982</v>
      </c>
      <c r="I338">
        <v>1004</v>
      </c>
      <c r="J338" s="3">
        <v>119.08</v>
      </c>
      <c r="K338" s="3">
        <v>119556.32</v>
      </c>
      <c r="L338">
        <v>717</v>
      </c>
      <c r="M338" t="s">
        <v>275</v>
      </c>
      <c r="N338" s="16">
        <f t="shared" si="26"/>
        <v>45931</v>
      </c>
      <c r="O338" t="s">
        <v>210</v>
      </c>
      <c r="P338" t="str">
        <f t="shared" si="27"/>
        <v>October 2025</v>
      </c>
      <c r="Q338" t="s">
        <v>959</v>
      </c>
      <c r="R338" s="8">
        <v>43845.25</v>
      </c>
      <c r="S338" s="8">
        <f t="shared" si="28"/>
        <v>163401.57</v>
      </c>
      <c r="T338" s="6">
        <f t="shared" si="29"/>
        <v>1</v>
      </c>
    </row>
    <row r="339" spans="1:20" x14ac:dyDescent="0.3">
      <c r="A339" t="s">
        <v>1411</v>
      </c>
      <c r="B339" s="13" t="s">
        <v>819</v>
      </c>
      <c r="C339" s="16">
        <f t="shared" si="25"/>
        <v>45748</v>
      </c>
      <c r="D339" t="s">
        <v>984</v>
      </c>
      <c r="E339" t="s">
        <v>49</v>
      </c>
      <c r="F339" t="s">
        <v>980</v>
      </c>
      <c r="G339" t="s">
        <v>1045</v>
      </c>
      <c r="H339" t="s">
        <v>965</v>
      </c>
      <c r="I339">
        <v>869</v>
      </c>
      <c r="J339" s="3">
        <v>806.62</v>
      </c>
      <c r="K339" s="3">
        <v>700952.78</v>
      </c>
      <c r="L339">
        <v>367</v>
      </c>
      <c r="M339" t="s">
        <v>300</v>
      </c>
      <c r="N339" s="16">
        <f t="shared" si="26"/>
        <v>45748</v>
      </c>
      <c r="O339" t="s">
        <v>745</v>
      </c>
      <c r="P339" t="str">
        <f t="shared" si="27"/>
        <v>April 2025</v>
      </c>
      <c r="Q339" t="s">
        <v>959</v>
      </c>
      <c r="R339" s="8">
        <v>22665.11</v>
      </c>
      <c r="S339" s="8">
        <f t="shared" si="28"/>
        <v>723617.89</v>
      </c>
      <c r="T339" s="6">
        <f t="shared" si="29"/>
        <v>4</v>
      </c>
    </row>
    <row r="340" spans="1:20" x14ac:dyDescent="0.3">
      <c r="A340" t="s">
        <v>1412</v>
      </c>
      <c r="B340" s="13" t="s">
        <v>896</v>
      </c>
      <c r="C340" s="16">
        <f t="shared" si="25"/>
        <v>45870</v>
      </c>
      <c r="D340" t="s">
        <v>961</v>
      </c>
      <c r="E340" t="s">
        <v>987</v>
      </c>
      <c r="F340" t="s">
        <v>980</v>
      </c>
      <c r="G340" t="s">
        <v>1015</v>
      </c>
      <c r="H340" t="s">
        <v>1018</v>
      </c>
      <c r="I340">
        <v>372</v>
      </c>
      <c r="J340" s="3">
        <v>725.59</v>
      </c>
      <c r="K340" s="3">
        <v>269919.48</v>
      </c>
      <c r="L340">
        <v>237</v>
      </c>
      <c r="M340" t="s">
        <v>92</v>
      </c>
      <c r="N340" s="16">
        <f t="shared" si="26"/>
        <v>45870</v>
      </c>
      <c r="O340" t="s">
        <v>92</v>
      </c>
      <c r="P340" t="str">
        <f t="shared" si="27"/>
        <v>August 2025</v>
      </c>
      <c r="Q340" t="s">
        <v>966</v>
      </c>
      <c r="R340" s="8">
        <v>0</v>
      </c>
      <c r="S340" s="8">
        <f t="shared" si="28"/>
        <v>269919.48</v>
      </c>
      <c r="T340" s="6">
        <f t="shared" si="29"/>
        <v>0</v>
      </c>
    </row>
    <row r="341" spans="1:20" x14ac:dyDescent="0.3">
      <c r="A341" t="s">
        <v>1413</v>
      </c>
      <c r="B341" s="13" t="s">
        <v>825</v>
      </c>
      <c r="C341" s="16">
        <f t="shared" si="25"/>
        <v>45931</v>
      </c>
      <c r="D341" t="s">
        <v>1021</v>
      </c>
      <c r="E341" t="s">
        <v>43</v>
      </c>
      <c r="F341" t="s">
        <v>963</v>
      </c>
      <c r="G341" t="s">
        <v>1132</v>
      </c>
      <c r="H341" t="s">
        <v>958</v>
      </c>
      <c r="I341">
        <v>551</v>
      </c>
      <c r="J341" s="3">
        <v>472.14</v>
      </c>
      <c r="K341" s="3">
        <v>260149.14</v>
      </c>
      <c r="L341">
        <v>609</v>
      </c>
      <c r="M341" t="s">
        <v>96</v>
      </c>
      <c r="N341" s="16">
        <f t="shared" si="26"/>
        <v>45931</v>
      </c>
      <c r="O341" t="s">
        <v>114</v>
      </c>
      <c r="P341" t="str">
        <f t="shared" si="27"/>
        <v>October 2025</v>
      </c>
      <c r="Q341" t="s">
        <v>959</v>
      </c>
      <c r="R341" s="8">
        <v>22776.240000000002</v>
      </c>
      <c r="S341" s="8">
        <f t="shared" si="28"/>
        <v>282925.38</v>
      </c>
      <c r="T341" s="6">
        <f t="shared" si="29"/>
        <v>2</v>
      </c>
    </row>
    <row r="342" spans="1:20" x14ac:dyDescent="0.3">
      <c r="A342" t="s">
        <v>1414</v>
      </c>
      <c r="B342" s="13" t="s">
        <v>273</v>
      </c>
      <c r="C342" s="16">
        <f t="shared" si="25"/>
        <v>45658</v>
      </c>
      <c r="D342" t="s">
        <v>955</v>
      </c>
      <c r="E342" t="s">
        <v>987</v>
      </c>
      <c r="F342" t="s">
        <v>980</v>
      </c>
      <c r="G342" t="s">
        <v>964</v>
      </c>
      <c r="H342" t="s">
        <v>973</v>
      </c>
      <c r="I342">
        <v>1748</v>
      </c>
      <c r="J342" s="3">
        <v>770.57</v>
      </c>
      <c r="K342" s="3">
        <v>1346956.36</v>
      </c>
      <c r="L342">
        <v>63</v>
      </c>
      <c r="M342" t="s">
        <v>730</v>
      </c>
      <c r="N342" s="16">
        <f t="shared" si="26"/>
        <v>45658</v>
      </c>
      <c r="O342" t="s">
        <v>730</v>
      </c>
      <c r="P342" t="str">
        <f t="shared" si="27"/>
        <v>January 2025</v>
      </c>
      <c r="Q342" t="s">
        <v>966</v>
      </c>
      <c r="R342" s="8">
        <v>3643.96</v>
      </c>
      <c r="S342" s="8">
        <f t="shared" si="28"/>
        <v>1350600.32</v>
      </c>
      <c r="T342" s="6">
        <f t="shared" si="29"/>
        <v>0</v>
      </c>
    </row>
    <row r="343" spans="1:20" x14ac:dyDescent="0.3">
      <c r="A343" t="s">
        <v>1415</v>
      </c>
      <c r="B343" s="13" t="s">
        <v>149</v>
      </c>
      <c r="C343" s="16">
        <f t="shared" si="25"/>
        <v>45658</v>
      </c>
      <c r="D343" t="s">
        <v>1011</v>
      </c>
      <c r="E343" t="s">
        <v>990</v>
      </c>
      <c r="F343" t="s">
        <v>980</v>
      </c>
      <c r="G343" t="s">
        <v>972</v>
      </c>
      <c r="H343" t="s">
        <v>992</v>
      </c>
      <c r="I343">
        <v>2383</v>
      </c>
      <c r="J343" s="3">
        <v>175.55</v>
      </c>
      <c r="K343" s="3">
        <v>418335.65</v>
      </c>
      <c r="L343">
        <v>112</v>
      </c>
      <c r="M343" t="s">
        <v>613</v>
      </c>
      <c r="N343" s="16">
        <f t="shared" si="26"/>
        <v>45658</v>
      </c>
      <c r="O343" t="s">
        <v>903</v>
      </c>
      <c r="P343" t="str">
        <f t="shared" si="27"/>
        <v>January 2025</v>
      </c>
      <c r="Q343" t="s">
        <v>959</v>
      </c>
      <c r="R343" s="8">
        <v>6056.42</v>
      </c>
      <c r="S343" s="8">
        <f t="shared" si="28"/>
        <v>424392.07</v>
      </c>
      <c r="T343" s="6">
        <f t="shared" si="29"/>
        <v>1</v>
      </c>
    </row>
    <row r="344" spans="1:20" x14ac:dyDescent="0.3">
      <c r="A344" t="s">
        <v>1416</v>
      </c>
      <c r="B344" s="13" t="s">
        <v>829</v>
      </c>
      <c r="C344" s="16">
        <f t="shared" si="25"/>
        <v>45962</v>
      </c>
      <c r="D344" t="s">
        <v>1011</v>
      </c>
      <c r="E344" t="s">
        <v>990</v>
      </c>
      <c r="F344" t="s">
        <v>980</v>
      </c>
      <c r="G344" t="s">
        <v>976</v>
      </c>
      <c r="H344" t="s">
        <v>1023</v>
      </c>
      <c r="I344">
        <v>1247</v>
      </c>
      <c r="J344" s="3">
        <v>558.28</v>
      </c>
      <c r="K344" s="3">
        <v>696175.16</v>
      </c>
      <c r="L344">
        <v>709</v>
      </c>
      <c r="M344" t="s">
        <v>109</v>
      </c>
      <c r="N344" s="16">
        <f t="shared" si="26"/>
        <v>45962</v>
      </c>
      <c r="O344" t="s">
        <v>221</v>
      </c>
      <c r="P344" t="str">
        <f t="shared" si="27"/>
        <v>November 2025</v>
      </c>
      <c r="Q344" t="s">
        <v>959</v>
      </c>
      <c r="R344" s="8">
        <v>26918.86</v>
      </c>
      <c r="S344" s="8">
        <f t="shared" si="28"/>
        <v>723094.02</v>
      </c>
      <c r="T344" s="6">
        <f t="shared" si="29"/>
        <v>3</v>
      </c>
    </row>
    <row r="345" spans="1:20" x14ac:dyDescent="0.3">
      <c r="A345" t="s">
        <v>1417</v>
      </c>
      <c r="B345" s="13" t="s">
        <v>1266</v>
      </c>
      <c r="C345" s="16">
        <f t="shared" si="25"/>
        <v>45870</v>
      </c>
      <c r="D345" t="s">
        <v>975</v>
      </c>
      <c r="E345" t="s">
        <v>987</v>
      </c>
      <c r="F345" t="s">
        <v>971</v>
      </c>
      <c r="G345" t="s">
        <v>985</v>
      </c>
      <c r="H345" t="s">
        <v>973</v>
      </c>
      <c r="I345">
        <v>1514</v>
      </c>
      <c r="J345" s="3">
        <v>202.57</v>
      </c>
      <c r="K345" s="3">
        <v>306690.98</v>
      </c>
      <c r="L345">
        <v>614</v>
      </c>
      <c r="M345" t="s">
        <v>572</v>
      </c>
      <c r="N345" s="16">
        <f t="shared" si="26"/>
        <v>45870</v>
      </c>
      <c r="O345" t="s">
        <v>572</v>
      </c>
      <c r="P345" t="str">
        <f t="shared" si="27"/>
        <v>August 2025</v>
      </c>
      <c r="Q345" t="s">
        <v>966</v>
      </c>
      <c r="R345" s="8">
        <v>25631.59</v>
      </c>
      <c r="S345" s="8">
        <f t="shared" si="28"/>
        <v>332322.57</v>
      </c>
      <c r="T345" s="6">
        <f t="shared" si="29"/>
        <v>0</v>
      </c>
    </row>
    <row r="346" spans="1:20" x14ac:dyDescent="0.3">
      <c r="A346" t="s">
        <v>1418</v>
      </c>
      <c r="B346" s="13" t="s">
        <v>79</v>
      </c>
      <c r="C346" s="16">
        <f t="shared" si="25"/>
        <v>45809</v>
      </c>
      <c r="D346" t="s">
        <v>1021</v>
      </c>
      <c r="E346" t="s">
        <v>43</v>
      </c>
      <c r="F346" t="s">
        <v>963</v>
      </c>
      <c r="G346" t="s">
        <v>964</v>
      </c>
      <c r="H346" t="s">
        <v>965</v>
      </c>
      <c r="I346">
        <v>1120</v>
      </c>
      <c r="J346" s="3">
        <v>863.76</v>
      </c>
      <c r="K346" s="3">
        <v>967411.19999999995</v>
      </c>
      <c r="L346">
        <v>204</v>
      </c>
      <c r="M346" t="s">
        <v>814</v>
      </c>
      <c r="N346" s="16">
        <f t="shared" si="26"/>
        <v>45809</v>
      </c>
      <c r="O346" t="s">
        <v>252</v>
      </c>
      <c r="P346" t="str">
        <f t="shared" si="27"/>
        <v>June 2025</v>
      </c>
      <c r="Q346" t="s">
        <v>959</v>
      </c>
      <c r="R346" s="8">
        <v>9227.7900000000009</v>
      </c>
      <c r="S346" s="8">
        <f t="shared" si="28"/>
        <v>976638.99</v>
      </c>
      <c r="T346" s="6">
        <f t="shared" si="29"/>
        <v>2</v>
      </c>
    </row>
    <row r="347" spans="1:20" x14ac:dyDescent="0.3">
      <c r="A347" t="s">
        <v>1419</v>
      </c>
      <c r="B347" s="13" t="s">
        <v>403</v>
      </c>
      <c r="C347" s="16">
        <f t="shared" si="25"/>
        <v>45748</v>
      </c>
      <c r="D347" t="s">
        <v>1003</v>
      </c>
      <c r="E347" t="s">
        <v>962</v>
      </c>
      <c r="F347" t="s">
        <v>956</v>
      </c>
      <c r="G347" t="s">
        <v>1038</v>
      </c>
      <c r="H347" t="s">
        <v>958</v>
      </c>
      <c r="I347">
        <v>1097</v>
      </c>
      <c r="J347" s="3">
        <v>333.09</v>
      </c>
      <c r="K347" s="3">
        <v>365399.73</v>
      </c>
      <c r="L347">
        <v>339</v>
      </c>
      <c r="M347" t="s">
        <v>398</v>
      </c>
      <c r="N347" s="16">
        <f t="shared" si="26"/>
        <v>45748</v>
      </c>
      <c r="O347" t="s">
        <v>300</v>
      </c>
      <c r="P347" t="str">
        <f t="shared" si="27"/>
        <v>April 2025</v>
      </c>
      <c r="Q347" t="s">
        <v>959</v>
      </c>
      <c r="R347" s="8">
        <v>20153.89</v>
      </c>
      <c r="S347" s="8">
        <f t="shared" si="28"/>
        <v>385553.62</v>
      </c>
      <c r="T347" s="6">
        <f t="shared" si="29"/>
        <v>3</v>
      </c>
    </row>
    <row r="348" spans="1:20" x14ac:dyDescent="0.3">
      <c r="A348" t="s">
        <v>1420</v>
      </c>
      <c r="B348" s="13" t="s">
        <v>105</v>
      </c>
      <c r="C348" s="16">
        <f t="shared" si="25"/>
        <v>45689</v>
      </c>
      <c r="D348" t="s">
        <v>1021</v>
      </c>
      <c r="E348" t="s">
        <v>990</v>
      </c>
      <c r="F348" t="s">
        <v>956</v>
      </c>
      <c r="G348" t="s">
        <v>1036</v>
      </c>
      <c r="H348" t="s">
        <v>977</v>
      </c>
      <c r="I348">
        <v>2208</v>
      </c>
      <c r="J348" s="3">
        <v>431.28</v>
      </c>
      <c r="K348" s="3">
        <v>952266.23999999999</v>
      </c>
      <c r="L348">
        <v>305</v>
      </c>
      <c r="M348" t="s">
        <v>53</v>
      </c>
      <c r="N348" s="16">
        <f t="shared" si="26"/>
        <v>45689</v>
      </c>
      <c r="O348" t="s">
        <v>347</v>
      </c>
      <c r="P348" t="str">
        <f t="shared" si="27"/>
        <v>February 2025</v>
      </c>
      <c r="Q348" t="s">
        <v>959</v>
      </c>
      <c r="R348" s="8">
        <v>16662.259999999998</v>
      </c>
      <c r="S348" s="8">
        <f t="shared" si="28"/>
        <v>968928.5</v>
      </c>
      <c r="T348" s="6">
        <f t="shared" si="29"/>
        <v>4</v>
      </c>
    </row>
    <row r="349" spans="1:20" x14ac:dyDescent="0.3">
      <c r="A349" t="s">
        <v>1421</v>
      </c>
      <c r="B349" s="13" t="s">
        <v>1020</v>
      </c>
      <c r="C349" s="16">
        <f t="shared" si="25"/>
        <v>45839</v>
      </c>
      <c r="D349" t="s">
        <v>1011</v>
      </c>
      <c r="E349" t="s">
        <v>33</v>
      </c>
      <c r="F349" t="s">
        <v>956</v>
      </c>
      <c r="G349" t="s">
        <v>1152</v>
      </c>
      <c r="H349" t="s">
        <v>965</v>
      </c>
      <c r="I349">
        <v>1262</v>
      </c>
      <c r="J349" s="3">
        <v>633.92999999999995</v>
      </c>
      <c r="K349" s="3">
        <v>800019.66</v>
      </c>
      <c r="L349">
        <v>657</v>
      </c>
      <c r="M349" t="s">
        <v>739</v>
      </c>
      <c r="N349" s="16">
        <f t="shared" si="26"/>
        <v>45839</v>
      </c>
      <c r="O349" t="s">
        <v>871</v>
      </c>
      <c r="P349" t="str">
        <f t="shared" si="27"/>
        <v>July 2025</v>
      </c>
      <c r="Q349" t="s">
        <v>959</v>
      </c>
      <c r="R349" s="8">
        <v>30679.37</v>
      </c>
      <c r="S349" s="8">
        <f t="shared" si="28"/>
        <v>830699.03</v>
      </c>
      <c r="T349" s="6">
        <f t="shared" si="29"/>
        <v>3</v>
      </c>
    </row>
    <row r="350" spans="1:20" x14ac:dyDescent="0.3">
      <c r="A350" t="s">
        <v>1422</v>
      </c>
      <c r="B350" s="13" t="s">
        <v>90</v>
      </c>
      <c r="C350" s="16">
        <f t="shared" si="25"/>
        <v>45931</v>
      </c>
      <c r="D350" t="s">
        <v>1011</v>
      </c>
      <c r="E350" t="s">
        <v>33</v>
      </c>
      <c r="F350" t="s">
        <v>963</v>
      </c>
      <c r="G350" t="s">
        <v>1004</v>
      </c>
      <c r="H350" t="s">
        <v>1023</v>
      </c>
      <c r="I350">
        <v>720</v>
      </c>
      <c r="J350" s="3">
        <v>472.4</v>
      </c>
      <c r="K350" s="3">
        <v>340128</v>
      </c>
      <c r="L350">
        <v>261</v>
      </c>
      <c r="M350" t="s">
        <v>68</v>
      </c>
      <c r="N350" s="16">
        <f t="shared" si="26"/>
        <v>45931</v>
      </c>
      <c r="O350" t="s">
        <v>239</v>
      </c>
      <c r="P350" t="str">
        <f t="shared" si="27"/>
        <v>October 2025</v>
      </c>
      <c r="Q350" t="s">
        <v>959</v>
      </c>
      <c r="R350" s="8">
        <v>12461.58</v>
      </c>
      <c r="S350" s="8">
        <f t="shared" si="28"/>
        <v>352589.58</v>
      </c>
      <c r="T350" s="6">
        <f t="shared" si="29"/>
        <v>1</v>
      </c>
    </row>
    <row r="351" spans="1:20" x14ac:dyDescent="0.3">
      <c r="A351" t="s">
        <v>1423</v>
      </c>
      <c r="B351" s="13" t="s">
        <v>191</v>
      </c>
      <c r="C351" s="16">
        <f t="shared" si="25"/>
        <v>45839</v>
      </c>
      <c r="D351" t="s">
        <v>975</v>
      </c>
      <c r="E351" t="s">
        <v>987</v>
      </c>
      <c r="F351" t="s">
        <v>956</v>
      </c>
      <c r="G351" t="s">
        <v>1026</v>
      </c>
      <c r="H351" t="s">
        <v>977</v>
      </c>
      <c r="I351">
        <v>903</v>
      </c>
      <c r="J351" s="3">
        <v>591.69000000000005</v>
      </c>
      <c r="K351" s="3">
        <v>534296.06999999995</v>
      </c>
      <c r="L351">
        <v>663</v>
      </c>
      <c r="M351" t="s">
        <v>520</v>
      </c>
      <c r="N351" s="16">
        <f t="shared" si="26"/>
        <v>45839</v>
      </c>
      <c r="O351" t="s">
        <v>430</v>
      </c>
      <c r="P351" t="str">
        <f t="shared" si="27"/>
        <v>July 2025</v>
      </c>
      <c r="Q351" t="s">
        <v>959</v>
      </c>
      <c r="R351" s="8">
        <v>29631.69</v>
      </c>
      <c r="S351" s="8">
        <f t="shared" si="28"/>
        <v>563927.75999999989</v>
      </c>
      <c r="T351" s="6">
        <f t="shared" si="29"/>
        <v>3</v>
      </c>
    </row>
    <row r="352" spans="1:20" x14ac:dyDescent="0.3">
      <c r="A352" t="s">
        <v>1424</v>
      </c>
      <c r="B352" s="13" t="s">
        <v>450</v>
      </c>
      <c r="C352" s="16">
        <f t="shared" si="25"/>
        <v>45870</v>
      </c>
      <c r="D352" t="s">
        <v>968</v>
      </c>
      <c r="E352" t="s">
        <v>43</v>
      </c>
      <c r="F352" t="s">
        <v>956</v>
      </c>
      <c r="G352" t="s">
        <v>996</v>
      </c>
      <c r="H352" t="s">
        <v>1000</v>
      </c>
      <c r="I352">
        <v>1110</v>
      </c>
      <c r="J352" s="3">
        <v>220.85</v>
      </c>
      <c r="K352" s="3">
        <v>245143.5</v>
      </c>
      <c r="L352">
        <v>285</v>
      </c>
      <c r="M352" t="s">
        <v>203</v>
      </c>
      <c r="N352" s="16">
        <f t="shared" si="26"/>
        <v>45870</v>
      </c>
      <c r="O352" t="s">
        <v>1263</v>
      </c>
      <c r="P352" t="str">
        <f t="shared" si="27"/>
        <v>August 2025</v>
      </c>
      <c r="Q352" t="s">
        <v>959</v>
      </c>
      <c r="R352" s="8">
        <v>10372.120000000001</v>
      </c>
      <c r="S352" s="8">
        <f t="shared" si="28"/>
        <v>255515.62</v>
      </c>
      <c r="T352" s="6">
        <f t="shared" si="29"/>
        <v>4</v>
      </c>
    </row>
    <row r="353" spans="1:20" x14ac:dyDescent="0.3">
      <c r="A353" t="s">
        <v>1425</v>
      </c>
      <c r="B353" s="13" t="s">
        <v>586</v>
      </c>
      <c r="C353" s="16">
        <f t="shared" si="25"/>
        <v>45748</v>
      </c>
      <c r="D353" t="s">
        <v>968</v>
      </c>
      <c r="E353" t="s">
        <v>33</v>
      </c>
      <c r="F353" t="s">
        <v>971</v>
      </c>
      <c r="G353" t="s">
        <v>1012</v>
      </c>
      <c r="H353" t="s">
        <v>973</v>
      </c>
      <c r="I353">
        <v>2435</v>
      </c>
      <c r="J353" s="3">
        <v>646.76</v>
      </c>
      <c r="K353" s="3">
        <v>1574860.6</v>
      </c>
      <c r="L353">
        <v>609</v>
      </c>
      <c r="M353" t="s">
        <v>552</v>
      </c>
      <c r="N353" s="16">
        <f t="shared" si="26"/>
        <v>45748</v>
      </c>
      <c r="O353" t="s">
        <v>552</v>
      </c>
      <c r="P353" t="str">
        <f t="shared" si="27"/>
        <v>April 2025</v>
      </c>
      <c r="Q353" t="s">
        <v>966</v>
      </c>
      <c r="R353" s="8">
        <v>35714.559999999998</v>
      </c>
      <c r="S353" s="8">
        <f t="shared" si="28"/>
        <v>1610575.1600000001</v>
      </c>
      <c r="T353" s="6">
        <f t="shared" si="29"/>
        <v>0</v>
      </c>
    </row>
    <row r="354" spans="1:20" x14ac:dyDescent="0.3">
      <c r="A354" t="s">
        <v>1426</v>
      </c>
      <c r="B354" s="13" t="s">
        <v>1154</v>
      </c>
      <c r="C354" s="16">
        <f t="shared" si="25"/>
        <v>45748</v>
      </c>
      <c r="D354" t="s">
        <v>961</v>
      </c>
      <c r="E354" t="s">
        <v>990</v>
      </c>
      <c r="F354" t="s">
        <v>980</v>
      </c>
      <c r="G354" t="s">
        <v>988</v>
      </c>
      <c r="H354" t="s">
        <v>1023</v>
      </c>
      <c r="I354">
        <v>764</v>
      </c>
      <c r="J354" s="3">
        <v>440.71</v>
      </c>
      <c r="K354" s="3">
        <v>336702.44</v>
      </c>
      <c r="L354">
        <v>376</v>
      </c>
      <c r="M354" t="s">
        <v>1107</v>
      </c>
      <c r="N354" s="16">
        <f t="shared" si="26"/>
        <v>45748</v>
      </c>
      <c r="O354" t="s">
        <v>403</v>
      </c>
      <c r="P354" t="str">
        <f t="shared" si="27"/>
        <v>April 2025</v>
      </c>
      <c r="Q354" t="s">
        <v>959</v>
      </c>
      <c r="R354" s="8">
        <v>20805.560000000001</v>
      </c>
      <c r="S354" s="8">
        <f t="shared" si="28"/>
        <v>357508</v>
      </c>
      <c r="T354" s="6">
        <f t="shared" si="29"/>
        <v>2</v>
      </c>
    </row>
    <row r="355" spans="1:20" x14ac:dyDescent="0.3">
      <c r="A355" t="s">
        <v>1427</v>
      </c>
      <c r="B355" s="13" t="s">
        <v>496</v>
      </c>
      <c r="C355" s="16">
        <f t="shared" si="25"/>
        <v>45870</v>
      </c>
      <c r="D355" t="s">
        <v>1003</v>
      </c>
      <c r="E355" t="s">
        <v>990</v>
      </c>
      <c r="F355" t="s">
        <v>980</v>
      </c>
      <c r="G355" t="s">
        <v>1036</v>
      </c>
      <c r="H355" t="s">
        <v>973</v>
      </c>
      <c r="I355">
        <v>474</v>
      </c>
      <c r="J355" s="3">
        <v>795.18</v>
      </c>
      <c r="K355" s="3">
        <v>376915.32</v>
      </c>
      <c r="L355">
        <v>381</v>
      </c>
      <c r="M355" t="s">
        <v>1059</v>
      </c>
      <c r="N355" s="16">
        <f t="shared" si="26"/>
        <v>45870</v>
      </c>
      <c r="O355" t="s">
        <v>203</v>
      </c>
      <c r="P355" t="str">
        <f t="shared" si="27"/>
        <v>August 2025</v>
      </c>
      <c r="Q355" t="s">
        <v>959</v>
      </c>
      <c r="R355" s="8">
        <v>15409.27</v>
      </c>
      <c r="S355" s="8">
        <f t="shared" si="28"/>
        <v>392324.59</v>
      </c>
      <c r="T355" s="6">
        <f t="shared" si="29"/>
        <v>4</v>
      </c>
    </row>
    <row r="356" spans="1:20" x14ac:dyDescent="0.3">
      <c r="A356" t="s">
        <v>1428</v>
      </c>
      <c r="B356" s="13" t="s">
        <v>336</v>
      </c>
      <c r="C356" s="16">
        <f t="shared" si="25"/>
        <v>45809</v>
      </c>
      <c r="D356" t="s">
        <v>1021</v>
      </c>
      <c r="E356" t="s">
        <v>49</v>
      </c>
      <c r="F356" t="s">
        <v>956</v>
      </c>
      <c r="G356" t="s">
        <v>1026</v>
      </c>
      <c r="H356" t="s">
        <v>992</v>
      </c>
      <c r="I356">
        <v>384</v>
      </c>
      <c r="J356" s="3">
        <v>580.25</v>
      </c>
      <c r="K356" s="3">
        <v>222816</v>
      </c>
      <c r="L356">
        <v>709</v>
      </c>
      <c r="M356" t="s">
        <v>807</v>
      </c>
      <c r="N356" s="16">
        <f t="shared" si="26"/>
        <v>45809</v>
      </c>
      <c r="O356" t="s">
        <v>868</v>
      </c>
      <c r="P356" t="str">
        <f t="shared" si="27"/>
        <v>June 2025</v>
      </c>
      <c r="Q356" t="s">
        <v>959</v>
      </c>
      <c r="R356" s="8">
        <v>39344.25</v>
      </c>
      <c r="S356" s="8">
        <f t="shared" si="28"/>
        <v>262160.25</v>
      </c>
      <c r="T356" s="6">
        <f t="shared" si="29"/>
        <v>1</v>
      </c>
    </row>
    <row r="357" spans="1:20" x14ac:dyDescent="0.3">
      <c r="A357" t="s">
        <v>1429</v>
      </c>
      <c r="B357" s="13" t="s">
        <v>252</v>
      </c>
      <c r="C357" s="16">
        <f t="shared" si="25"/>
        <v>45809</v>
      </c>
      <c r="D357" t="s">
        <v>1003</v>
      </c>
      <c r="E357" t="s">
        <v>987</v>
      </c>
      <c r="F357" t="s">
        <v>971</v>
      </c>
      <c r="G357" t="s">
        <v>1038</v>
      </c>
      <c r="H357" t="s">
        <v>1018</v>
      </c>
      <c r="I357">
        <v>1994</v>
      </c>
      <c r="J357" s="3">
        <v>177.96</v>
      </c>
      <c r="K357" s="3">
        <v>354852.24</v>
      </c>
      <c r="L357">
        <v>30</v>
      </c>
      <c r="M357" t="s">
        <v>180</v>
      </c>
      <c r="N357" s="16">
        <f t="shared" si="26"/>
        <v>45809</v>
      </c>
      <c r="O357" t="s">
        <v>180</v>
      </c>
      <c r="P357" t="str">
        <f t="shared" si="27"/>
        <v>June 2025</v>
      </c>
      <c r="Q357" t="s">
        <v>966</v>
      </c>
      <c r="R357" s="8">
        <v>1218.22</v>
      </c>
      <c r="S357" s="8">
        <f t="shared" si="28"/>
        <v>356070.45999999996</v>
      </c>
      <c r="T357" s="6">
        <f t="shared" si="29"/>
        <v>0</v>
      </c>
    </row>
    <row r="358" spans="1:20" x14ac:dyDescent="0.3">
      <c r="A358" t="s">
        <v>1430</v>
      </c>
      <c r="B358" s="13" t="s">
        <v>347</v>
      </c>
      <c r="C358" s="16">
        <f t="shared" si="25"/>
        <v>45689</v>
      </c>
      <c r="D358" t="s">
        <v>975</v>
      </c>
      <c r="E358" t="s">
        <v>987</v>
      </c>
      <c r="F358" t="s">
        <v>980</v>
      </c>
      <c r="G358" t="s">
        <v>1078</v>
      </c>
      <c r="H358" t="s">
        <v>1018</v>
      </c>
      <c r="I358">
        <v>55</v>
      </c>
      <c r="J358" s="3">
        <v>493.56</v>
      </c>
      <c r="K358" s="3">
        <v>27145.8</v>
      </c>
      <c r="L358">
        <v>122</v>
      </c>
      <c r="M358" t="s">
        <v>554</v>
      </c>
      <c r="N358" s="16">
        <f t="shared" si="26"/>
        <v>45689</v>
      </c>
      <c r="O358" t="s">
        <v>385</v>
      </c>
      <c r="P358" t="str">
        <f t="shared" si="27"/>
        <v>February 2025</v>
      </c>
      <c r="Q358" t="s">
        <v>959</v>
      </c>
      <c r="R358" s="8">
        <v>4957.6400000000003</v>
      </c>
      <c r="S358" s="8">
        <f t="shared" si="28"/>
        <v>32103.439999999999</v>
      </c>
      <c r="T358" s="6">
        <f t="shared" si="29"/>
        <v>4</v>
      </c>
    </row>
    <row r="359" spans="1:20" x14ac:dyDescent="0.3">
      <c r="A359" t="s">
        <v>1431</v>
      </c>
      <c r="B359" s="13" t="s">
        <v>396</v>
      </c>
      <c r="C359" s="16">
        <f t="shared" si="25"/>
        <v>45809</v>
      </c>
      <c r="D359" t="s">
        <v>984</v>
      </c>
      <c r="E359" t="s">
        <v>43</v>
      </c>
      <c r="F359" t="s">
        <v>963</v>
      </c>
      <c r="G359" t="s">
        <v>994</v>
      </c>
      <c r="H359" t="s">
        <v>992</v>
      </c>
      <c r="I359">
        <v>1640</v>
      </c>
      <c r="J359" s="3">
        <v>226.12</v>
      </c>
      <c r="K359" s="3">
        <v>370836.8</v>
      </c>
      <c r="L359">
        <v>312</v>
      </c>
      <c r="M359" t="s">
        <v>252</v>
      </c>
      <c r="N359" s="16">
        <f t="shared" si="26"/>
        <v>45809</v>
      </c>
      <c r="O359" t="s">
        <v>252</v>
      </c>
      <c r="P359" t="str">
        <f t="shared" si="27"/>
        <v>June 2025</v>
      </c>
      <c r="Q359" t="s">
        <v>966</v>
      </c>
      <c r="R359" s="8">
        <v>18895.73</v>
      </c>
      <c r="S359" s="8">
        <f t="shared" si="28"/>
        <v>389732.52999999997</v>
      </c>
      <c r="T359" s="6">
        <f t="shared" si="29"/>
        <v>0</v>
      </c>
    </row>
    <row r="360" spans="1:20" x14ac:dyDescent="0.3">
      <c r="A360" t="s">
        <v>1432</v>
      </c>
      <c r="B360" s="13" t="s">
        <v>633</v>
      </c>
      <c r="C360" s="16">
        <f t="shared" si="25"/>
        <v>45839</v>
      </c>
      <c r="D360" t="s">
        <v>1021</v>
      </c>
      <c r="E360" t="s">
        <v>990</v>
      </c>
      <c r="F360" t="s">
        <v>956</v>
      </c>
      <c r="G360" t="s">
        <v>1015</v>
      </c>
      <c r="H360" t="s">
        <v>992</v>
      </c>
      <c r="I360">
        <v>1359</v>
      </c>
      <c r="J360" s="3">
        <v>179.65</v>
      </c>
      <c r="K360" s="3">
        <v>244144.35</v>
      </c>
      <c r="L360">
        <v>82</v>
      </c>
      <c r="M360" t="s">
        <v>534</v>
      </c>
      <c r="N360" s="16">
        <f t="shared" si="26"/>
        <v>45839</v>
      </c>
      <c r="O360" t="s">
        <v>611</v>
      </c>
      <c r="P360" t="str">
        <f t="shared" si="27"/>
        <v>July 2025</v>
      </c>
      <c r="Q360" t="s">
        <v>959</v>
      </c>
      <c r="R360" s="8">
        <v>4399.66</v>
      </c>
      <c r="S360" s="8">
        <f t="shared" si="28"/>
        <v>248544.01</v>
      </c>
      <c r="T360" s="6">
        <f t="shared" si="29"/>
        <v>4</v>
      </c>
    </row>
    <row r="361" spans="1:20" x14ac:dyDescent="0.3">
      <c r="A361" t="s">
        <v>1433</v>
      </c>
      <c r="B361" s="13" t="s">
        <v>385</v>
      </c>
      <c r="C361" s="16">
        <f t="shared" si="25"/>
        <v>45689</v>
      </c>
      <c r="D361" t="s">
        <v>984</v>
      </c>
      <c r="E361" t="s">
        <v>987</v>
      </c>
      <c r="F361" t="s">
        <v>963</v>
      </c>
      <c r="G361" t="s">
        <v>996</v>
      </c>
      <c r="H361" t="s">
        <v>965</v>
      </c>
      <c r="I361">
        <v>886</v>
      </c>
      <c r="J361" s="3">
        <v>496.29</v>
      </c>
      <c r="K361" s="3">
        <v>439712.94</v>
      </c>
      <c r="L361">
        <v>504</v>
      </c>
      <c r="M361" t="s">
        <v>726</v>
      </c>
      <c r="N361" s="16">
        <f t="shared" si="26"/>
        <v>45689</v>
      </c>
      <c r="O361" t="s">
        <v>660</v>
      </c>
      <c r="P361" t="str">
        <f t="shared" si="27"/>
        <v>February 2025</v>
      </c>
      <c r="Q361" t="s">
        <v>966</v>
      </c>
      <c r="R361" s="8">
        <v>17946.439999999999</v>
      </c>
      <c r="S361" s="8">
        <f t="shared" si="28"/>
        <v>457659.38</v>
      </c>
      <c r="T361" s="6">
        <f t="shared" si="29"/>
        <v>-1</v>
      </c>
    </row>
    <row r="362" spans="1:20" x14ac:dyDescent="0.3">
      <c r="A362" t="s">
        <v>1434</v>
      </c>
      <c r="B362" s="13" t="s">
        <v>539</v>
      </c>
      <c r="C362" s="16">
        <f t="shared" si="25"/>
        <v>45748</v>
      </c>
      <c r="D362" t="s">
        <v>984</v>
      </c>
      <c r="E362" t="s">
        <v>962</v>
      </c>
      <c r="F362" t="s">
        <v>956</v>
      </c>
      <c r="G362" t="s">
        <v>1040</v>
      </c>
      <c r="H362" t="s">
        <v>958</v>
      </c>
      <c r="I362">
        <v>330</v>
      </c>
      <c r="J362" s="3">
        <v>382.72</v>
      </c>
      <c r="K362" s="3">
        <v>126297.60000000001</v>
      </c>
      <c r="L362">
        <v>106</v>
      </c>
      <c r="M362" t="s">
        <v>745</v>
      </c>
      <c r="N362" s="16">
        <f t="shared" si="26"/>
        <v>45748</v>
      </c>
      <c r="O362" t="s">
        <v>745</v>
      </c>
      <c r="P362" t="str">
        <f t="shared" si="27"/>
        <v>April 2025</v>
      </c>
      <c r="Q362" t="s">
        <v>966</v>
      </c>
      <c r="R362" s="8">
        <v>4973.92</v>
      </c>
      <c r="S362" s="8">
        <f t="shared" si="28"/>
        <v>131271.52000000002</v>
      </c>
      <c r="T362" s="6">
        <f t="shared" si="29"/>
        <v>0</v>
      </c>
    </row>
    <row r="363" spans="1:20" x14ac:dyDescent="0.3">
      <c r="A363" t="s">
        <v>1435</v>
      </c>
      <c r="B363" s="13" t="s">
        <v>552</v>
      </c>
      <c r="C363" s="16">
        <f t="shared" si="25"/>
        <v>45748</v>
      </c>
      <c r="D363" t="s">
        <v>1021</v>
      </c>
      <c r="E363" t="s">
        <v>987</v>
      </c>
      <c r="F363" t="s">
        <v>956</v>
      </c>
      <c r="G363" t="s">
        <v>1221</v>
      </c>
      <c r="H363" t="s">
        <v>977</v>
      </c>
      <c r="I363">
        <v>317</v>
      </c>
      <c r="J363" s="3">
        <v>828.74</v>
      </c>
      <c r="K363" s="3">
        <v>262710.58</v>
      </c>
      <c r="L363">
        <v>382</v>
      </c>
      <c r="M363" t="s">
        <v>340</v>
      </c>
      <c r="N363" s="16">
        <f t="shared" si="26"/>
        <v>45748</v>
      </c>
      <c r="O363" t="s">
        <v>167</v>
      </c>
      <c r="P363" t="str">
        <f t="shared" si="27"/>
        <v>April 2025</v>
      </c>
      <c r="Q363" t="s">
        <v>959</v>
      </c>
      <c r="R363" s="8">
        <v>16610.63</v>
      </c>
      <c r="S363" s="8">
        <f t="shared" si="28"/>
        <v>279321.21000000002</v>
      </c>
      <c r="T363" s="6">
        <f t="shared" si="29"/>
        <v>1</v>
      </c>
    </row>
    <row r="364" spans="1:20" x14ac:dyDescent="0.3">
      <c r="A364" t="s">
        <v>1436</v>
      </c>
      <c r="B364" s="13" t="s">
        <v>1049</v>
      </c>
      <c r="C364" s="16">
        <f t="shared" si="25"/>
        <v>45962</v>
      </c>
      <c r="D364" t="s">
        <v>1003</v>
      </c>
      <c r="E364" t="s">
        <v>43</v>
      </c>
      <c r="F364" t="s">
        <v>963</v>
      </c>
      <c r="G364" t="s">
        <v>976</v>
      </c>
      <c r="H364" t="s">
        <v>1034</v>
      </c>
      <c r="I364">
        <v>2143</v>
      </c>
      <c r="J364" s="3">
        <v>536.64</v>
      </c>
      <c r="K364" s="3">
        <v>1150019.52</v>
      </c>
      <c r="L364">
        <v>542</v>
      </c>
      <c r="M364" t="s">
        <v>1081</v>
      </c>
      <c r="N364" s="16">
        <f t="shared" si="26"/>
        <v>45962</v>
      </c>
      <c r="O364" t="s">
        <v>644</v>
      </c>
      <c r="P364" t="str">
        <f t="shared" si="27"/>
        <v>November 2025</v>
      </c>
      <c r="Q364" t="s">
        <v>959</v>
      </c>
      <c r="R364" s="8">
        <v>30864.54</v>
      </c>
      <c r="S364" s="8">
        <f t="shared" si="28"/>
        <v>1180884.06</v>
      </c>
      <c r="T364" s="6">
        <f t="shared" si="29"/>
        <v>3</v>
      </c>
    </row>
    <row r="365" spans="1:20" x14ac:dyDescent="0.3">
      <c r="A365" t="s">
        <v>1437</v>
      </c>
      <c r="B365" s="13" t="s">
        <v>305</v>
      </c>
      <c r="C365" s="16">
        <f t="shared" si="25"/>
        <v>45962</v>
      </c>
      <c r="D365" t="s">
        <v>1003</v>
      </c>
      <c r="E365" t="s">
        <v>33</v>
      </c>
      <c r="F365" t="s">
        <v>980</v>
      </c>
      <c r="G365" t="s">
        <v>996</v>
      </c>
      <c r="H365" t="s">
        <v>992</v>
      </c>
      <c r="I365">
        <v>602</v>
      </c>
      <c r="J365" s="3">
        <v>175.92</v>
      </c>
      <c r="K365" s="3">
        <v>105903.84</v>
      </c>
      <c r="L365">
        <v>191</v>
      </c>
      <c r="M365" t="s">
        <v>270</v>
      </c>
      <c r="N365" s="16">
        <f t="shared" si="26"/>
        <v>45962</v>
      </c>
      <c r="O365" t="s">
        <v>1174</v>
      </c>
      <c r="P365" t="str">
        <f t="shared" si="27"/>
        <v>November 2025</v>
      </c>
      <c r="Q365" t="s">
        <v>959</v>
      </c>
      <c r="R365" s="8">
        <v>10607.55</v>
      </c>
      <c r="S365" s="8">
        <f t="shared" si="28"/>
        <v>116511.39</v>
      </c>
      <c r="T365" s="6">
        <f t="shared" si="29"/>
        <v>2</v>
      </c>
    </row>
    <row r="366" spans="1:20" x14ac:dyDescent="0.3">
      <c r="A366" t="s">
        <v>1438</v>
      </c>
      <c r="B366" s="13" t="s">
        <v>263</v>
      </c>
      <c r="C366" s="16">
        <f t="shared" si="25"/>
        <v>45689</v>
      </c>
      <c r="D366" t="s">
        <v>975</v>
      </c>
      <c r="E366" t="s">
        <v>987</v>
      </c>
      <c r="F366" t="s">
        <v>956</v>
      </c>
      <c r="G366" t="s">
        <v>1078</v>
      </c>
      <c r="H366" t="s">
        <v>1023</v>
      </c>
      <c r="I366">
        <v>773</v>
      </c>
      <c r="J366" s="3">
        <v>288.38</v>
      </c>
      <c r="K366" s="3">
        <v>222917.74</v>
      </c>
      <c r="L366">
        <v>665</v>
      </c>
      <c r="M366" t="s">
        <v>385</v>
      </c>
      <c r="N366" s="16">
        <f t="shared" si="26"/>
        <v>45689</v>
      </c>
      <c r="O366" t="s">
        <v>726</v>
      </c>
      <c r="P366" t="str">
        <f t="shared" si="27"/>
        <v>February 2025</v>
      </c>
      <c r="Q366" t="s">
        <v>959</v>
      </c>
      <c r="R366" s="8">
        <v>36682.550000000003</v>
      </c>
      <c r="S366" s="8">
        <f t="shared" si="28"/>
        <v>259600.28999999998</v>
      </c>
      <c r="T366" s="6">
        <f t="shared" si="29"/>
        <v>2</v>
      </c>
    </row>
    <row r="367" spans="1:20" x14ac:dyDescent="0.3">
      <c r="A367" t="s">
        <v>1439</v>
      </c>
      <c r="B367" s="13" t="s">
        <v>721</v>
      </c>
      <c r="C367" s="16">
        <f t="shared" si="25"/>
        <v>45901</v>
      </c>
      <c r="D367" t="s">
        <v>968</v>
      </c>
      <c r="E367" t="s">
        <v>987</v>
      </c>
      <c r="F367" t="s">
        <v>980</v>
      </c>
      <c r="G367" t="s">
        <v>1026</v>
      </c>
      <c r="H367" t="s">
        <v>973</v>
      </c>
      <c r="I367">
        <v>1206</v>
      </c>
      <c r="J367" s="3">
        <v>663.85</v>
      </c>
      <c r="K367" s="3">
        <v>800603.1</v>
      </c>
      <c r="L367">
        <v>585</v>
      </c>
      <c r="M367" t="s">
        <v>154</v>
      </c>
      <c r="N367" s="16">
        <f t="shared" si="26"/>
        <v>45901</v>
      </c>
      <c r="O367" t="s">
        <v>154</v>
      </c>
      <c r="P367" t="str">
        <f t="shared" si="27"/>
        <v>September 2025</v>
      </c>
      <c r="Q367" t="s">
        <v>966</v>
      </c>
      <c r="R367" s="8">
        <v>32145.03</v>
      </c>
      <c r="S367" s="8">
        <f t="shared" si="28"/>
        <v>832748.13</v>
      </c>
      <c r="T367" s="6">
        <f t="shared" si="29"/>
        <v>0</v>
      </c>
    </row>
    <row r="368" spans="1:20" x14ac:dyDescent="0.3">
      <c r="A368" t="s">
        <v>1440</v>
      </c>
      <c r="B368" s="13" t="s">
        <v>530</v>
      </c>
      <c r="C368" s="16">
        <f t="shared" si="25"/>
        <v>45778</v>
      </c>
      <c r="D368" t="s">
        <v>1011</v>
      </c>
      <c r="E368" t="s">
        <v>33</v>
      </c>
      <c r="F368" t="s">
        <v>980</v>
      </c>
      <c r="G368" t="s">
        <v>1042</v>
      </c>
      <c r="H368" t="s">
        <v>992</v>
      </c>
      <c r="I368">
        <v>1802</v>
      </c>
      <c r="J368" s="3">
        <v>272.95</v>
      </c>
      <c r="K368" s="3">
        <v>491855.9</v>
      </c>
      <c r="L368">
        <v>44</v>
      </c>
      <c r="M368" t="s">
        <v>343</v>
      </c>
      <c r="N368" s="16">
        <f t="shared" si="26"/>
        <v>45778</v>
      </c>
      <c r="O368" t="s">
        <v>343</v>
      </c>
      <c r="P368" t="str">
        <f t="shared" si="27"/>
        <v>May 2025</v>
      </c>
      <c r="Q368" t="s">
        <v>966</v>
      </c>
      <c r="R368" s="8">
        <v>2414.34</v>
      </c>
      <c r="S368" s="8">
        <f t="shared" si="28"/>
        <v>494270.24000000005</v>
      </c>
      <c r="T368" s="6">
        <f t="shared" si="29"/>
        <v>0</v>
      </c>
    </row>
    <row r="369" spans="1:20" x14ac:dyDescent="0.3">
      <c r="A369" t="s">
        <v>1441</v>
      </c>
      <c r="B369" s="13" t="s">
        <v>1059</v>
      </c>
      <c r="C369" s="16">
        <f t="shared" si="25"/>
        <v>45870</v>
      </c>
      <c r="D369" t="s">
        <v>955</v>
      </c>
      <c r="E369" t="s">
        <v>33</v>
      </c>
      <c r="F369" t="s">
        <v>956</v>
      </c>
      <c r="G369" t="s">
        <v>991</v>
      </c>
      <c r="H369" t="s">
        <v>965</v>
      </c>
      <c r="I369">
        <v>2388</v>
      </c>
      <c r="J369" s="3">
        <v>785.64</v>
      </c>
      <c r="K369" s="3">
        <v>1876108.32</v>
      </c>
      <c r="L369">
        <v>578</v>
      </c>
      <c r="M369" t="s">
        <v>1060</v>
      </c>
      <c r="N369" s="16">
        <f t="shared" si="26"/>
        <v>45870</v>
      </c>
      <c r="O369" t="s">
        <v>279</v>
      </c>
      <c r="P369" t="str">
        <f t="shared" si="27"/>
        <v>August 2025</v>
      </c>
      <c r="Q369" t="s">
        <v>959</v>
      </c>
      <c r="R369" s="8">
        <v>29101.03</v>
      </c>
      <c r="S369" s="8">
        <f t="shared" si="28"/>
        <v>1905209.35</v>
      </c>
      <c r="T369" s="6">
        <f t="shared" si="29"/>
        <v>4</v>
      </c>
    </row>
    <row r="370" spans="1:20" x14ac:dyDescent="0.3">
      <c r="A370" t="s">
        <v>1442</v>
      </c>
      <c r="B370" s="13" t="s">
        <v>852</v>
      </c>
      <c r="C370" s="16">
        <f t="shared" si="25"/>
        <v>45839</v>
      </c>
      <c r="D370" t="s">
        <v>1021</v>
      </c>
      <c r="E370" t="s">
        <v>33</v>
      </c>
      <c r="F370" t="s">
        <v>963</v>
      </c>
      <c r="G370" t="s">
        <v>1051</v>
      </c>
      <c r="H370" t="s">
        <v>1000</v>
      </c>
      <c r="I370">
        <v>331</v>
      </c>
      <c r="J370" s="3">
        <v>83.84</v>
      </c>
      <c r="K370" s="3">
        <v>27751.040000000001</v>
      </c>
      <c r="L370">
        <v>652</v>
      </c>
      <c r="M370" t="s">
        <v>492</v>
      </c>
      <c r="N370" s="16">
        <f t="shared" si="26"/>
        <v>45870</v>
      </c>
      <c r="O370" t="s">
        <v>492</v>
      </c>
      <c r="P370" t="str">
        <f t="shared" si="27"/>
        <v>August 2025</v>
      </c>
      <c r="Q370" t="s">
        <v>966</v>
      </c>
      <c r="R370" s="8">
        <v>28940.42</v>
      </c>
      <c r="S370" s="8">
        <f t="shared" si="28"/>
        <v>56691.46</v>
      </c>
      <c r="T370" s="6">
        <f t="shared" si="29"/>
        <v>0</v>
      </c>
    </row>
    <row r="371" spans="1:20" x14ac:dyDescent="0.3">
      <c r="A371" t="s">
        <v>1443</v>
      </c>
      <c r="B371" s="13" t="s">
        <v>708</v>
      </c>
      <c r="C371" s="16">
        <f t="shared" si="25"/>
        <v>45901</v>
      </c>
      <c r="D371" t="s">
        <v>984</v>
      </c>
      <c r="E371" t="s">
        <v>43</v>
      </c>
      <c r="F371" t="s">
        <v>956</v>
      </c>
      <c r="G371" t="s">
        <v>1078</v>
      </c>
      <c r="H371" t="s">
        <v>992</v>
      </c>
      <c r="I371">
        <v>1906</v>
      </c>
      <c r="J371" s="3">
        <v>442.79</v>
      </c>
      <c r="K371" s="3">
        <v>843957.74</v>
      </c>
      <c r="L371">
        <v>713</v>
      </c>
      <c r="M371" t="s">
        <v>422</v>
      </c>
      <c r="N371" s="16">
        <f t="shared" si="26"/>
        <v>45901</v>
      </c>
      <c r="O371" t="s">
        <v>1207</v>
      </c>
      <c r="P371" t="str">
        <f t="shared" si="27"/>
        <v>September 2025</v>
      </c>
      <c r="Q371" t="s">
        <v>959</v>
      </c>
      <c r="R371" s="8">
        <v>42059.59</v>
      </c>
      <c r="S371" s="8">
        <f t="shared" si="28"/>
        <v>886017.33</v>
      </c>
      <c r="T371" s="6">
        <f t="shared" si="29"/>
        <v>4</v>
      </c>
    </row>
    <row r="372" spans="1:20" x14ac:dyDescent="0.3">
      <c r="A372" t="s">
        <v>1444</v>
      </c>
      <c r="B372" s="13" t="s">
        <v>392</v>
      </c>
      <c r="C372" s="16">
        <f t="shared" si="25"/>
        <v>45962</v>
      </c>
      <c r="D372" t="s">
        <v>1021</v>
      </c>
      <c r="E372" t="s">
        <v>962</v>
      </c>
      <c r="F372" t="s">
        <v>963</v>
      </c>
      <c r="G372" t="s">
        <v>1072</v>
      </c>
      <c r="H372" t="s">
        <v>1023</v>
      </c>
      <c r="I372">
        <v>673</v>
      </c>
      <c r="J372" s="3">
        <v>608.5</v>
      </c>
      <c r="K372" s="3">
        <v>409520.5</v>
      </c>
      <c r="L372">
        <v>338</v>
      </c>
      <c r="M372" t="s">
        <v>1317</v>
      </c>
      <c r="N372" s="16">
        <f t="shared" si="26"/>
        <v>45962</v>
      </c>
      <c r="O372" t="s">
        <v>1317</v>
      </c>
      <c r="P372" t="str">
        <f t="shared" si="27"/>
        <v>November 2025</v>
      </c>
      <c r="Q372" t="s">
        <v>966</v>
      </c>
      <c r="R372" s="8">
        <v>17896.919999999998</v>
      </c>
      <c r="S372" s="8">
        <f t="shared" si="28"/>
        <v>427417.42</v>
      </c>
      <c r="T372" s="6">
        <f t="shared" si="29"/>
        <v>0</v>
      </c>
    </row>
    <row r="373" spans="1:20" x14ac:dyDescent="0.3">
      <c r="A373" t="s">
        <v>1445</v>
      </c>
      <c r="B373" s="13" t="s">
        <v>530</v>
      </c>
      <c r="C373" s="16">
        <f t="shared" si="25"/>
        <v>45778</v>
      </c>
      <c r="D373" t="s">
        <v>975</v>
      </c>
      <c r="E373" t="s">
        <v>43</v>
      </c>
      <c r="F373" t="s">
        <v>971</v>
      </c>
      <c r="G373" t="s">
        <v>1072</v>
      </c>
      <c r="H373" t="s">
        <v>965</v>
      </c>
      <c r="I373">
        <v>2131</v>
      </c>
      <c r="J373" s="3">
        <v>182.2</v>
      </c>
      <c r="K373" s="3">
        <v>388268.2</v>
      </c>
      <c r="L373">
        <v>244</v>
      </c>
      <c r="M373" t="s">
        <v>343</v>
      </c>
      <c r="N373" s="16">
        <f t="shared" si="26"/>
        <v>45778</v>
      </c>
      <c r="O373" t="s">
        <v>343</v>
      </c>
      <c r="P373" t="str">
        <f t="shared" si="27"/>
        <v>May 2025</v>
      </c>
      <c r="Q373" t="s">
        <v>966</v>
      </c>
      <c r="R373" s="8">
        <v>11649.78</v>
      </c>
      <c r="S373" s="8">
        <f t="shared" si="28"/>
        <v>399917.98000000004</v>
      </c>
      <c r="T373" s="6">
        <f t="shared" si="29"/>
        <v>0</v>
      </c>
    </row>
    <row r="374" spans="1:20" x14ac:dyDescent="0.3">
      <c r="A374" t="s">
        <v>1446</v>
      </c>
      <c r="B374" s="13" t="s">
        <v>1137</v>
      </c>
      <c r="C374" s="16">
        <f t="shared" si="25"/>
        <v>45717</v>
      </c>
      <c r="D374" t="s">
        <v>968</v>
      </c>
      <c r="E374" t="s">
        <v>33</v>
      </c>
      <c r="F374" t="s">
        <v>956</v>
      </c>
      <c r="G374" t="s">
        <v>972</v>
      </c>
      <c r="H374" t="s">
        <v>1023</v>
      </c>
      <c r="I374">
        <v>966</v>
      </c>
      <c r="J374" s="3">
        <v>546.36</v>
      </c>
      <c r="K374" s="3">
        <v>527783.76</v>
      </c>
      <c r="L374">
        <v>489</v>
      </c>
      <c r="M374" t="s">
        <v>178</v>
      </c>
      <c r="N374" s="16">
        <f t="shared" si="26"/>
        <v>45717</v>
      </c>
      <c r="O374" t="s">
        <v>839</v>
      </c>
      <c r="P374" t="str">
        <f t="shared" si="27"/>
        <v>March 2025</v>
      </c>
      <c r="Q374" t="s">
        <v>959</v>
      </c>
      <c r="R374" s="8">
        <v>28700.14</v>
      </c>
      <c r="S374" s="8">
        <f t="shared" si="28"/>
        <v>556483.9</v>
      </c>
      <c r="T374" s="6">
        <f t="shared" si="29"/>
        <v>1</v>
      </c>
    </row>
    <row r="375" spans="1:20" x14ac:dyDescent="0.3">
      <c r="A375" t="s">
        <v>1447</v>
      </c>
      <c r="B375" s="13" t="s">
        <v>1166</v>
      </c>
      <c r="C375" s="16">
        <f t="shared" si="25"/>
        <v>45992</v>
      </c>
      <c r="D375" t="s">
        <v>961</v>
      </c>
      <c r="E375" t="s">
        <v>43</v>
      </c>
      <c r="F375" t="s">
        <v>956</v>
      </c>
      <c r="G375" t="s">
        <v>996</v>
      </c>
      <c r="H375" t="s">
        <v>992</v>
      </c>
      <c r="I375">
        <v>1944</v>
      </c>
      <c r="J375" s="3">
        <v>79.83</v>
      </c>
      <c r="K375" s="3">
        <v>155189.51999999999</v>
      </c>
      <c r="L375">
        <v>648</v>
      </c>
      <c r="M375" t="s">
        <v>488</v>
      </c>
      <c r="N375" s="16">
        <f t="shared" si="26"/>
        <v>45992</v>
      </c>
      <c r="O375" t="s">
        <v>88</v>
      </c>
      <c r="P375" t="str">
        <f t="shared" si="27"/>
        <v>December 2025</v>
      </c>
      <c r="Q375" t="s">
        <v>959</v>
      </c>
      <c r="R375" s="8">
        <v>32746.39</v>
      </c>
      <c r="S375" s="8">
        <f t="shared" si="28"/>
        <v>187935.90999999997</v>
      </c>
      <c r="T375" s="6">
        <f t="shared" si="29"/>
        <v>1</v>
      </c>
    </row>
    <row r="376" spans="1:20" x14ac:dyDescent="0.3">
      <c r="A376" t="s">
        <v>1448</v>
      </c>
      <c r="B376" s="13" t="s">
        <v>64</v>
      </c>
      <c r="C376" s="16">
        <f t="shared" si="25"/>
        <v>45931</v>
      </c>
      <c r="D376" t="s">
        <v>961</v>
      </c>
      <c r="E376" t="s">
        <v>990</v>
      </c>
      <c r="F376" t="s">
        <v>963</v>
      </c>
      <c r="G376" t="s">
        <v>976</v>
      </c>
      <c r="H376" t="s">
        <v>965</v>
      </c>
      <c r="I376">
        <v>1977</v>
      </c>
      <c r="J376" s="3">
        <v>171.92</v>
      </c>
      <c r="K376" s="3">
        <v>339885.84</v>
      </c>
      <c r="L376">
        <v>564</v>
      </c>
      <c r="M376" t="s">
        <v>275</v>
      </c>
      <c r="N376" s="16">
        <f t="shared" si="26"/>
        <v>45931</v>
      </c>
      <c r="O376" t="s">
        <v>275</v>
      </c>
      <c r="P376" t="str">
        <f t="shared" si="27"/>
        <v>October 2025</v>
      </c>
      <c r="Q376" t="s">
        <v>966</v>
      </c>
      <c r="R376" s="8">
        <v>26888.71</v>
      </c>
      <c r="S376" s="8">
        <f t="shared" si="28"/>
        <v>366774.55000000005</v>
      </c>
      <c r="T376" s="6">
        <f t="shared" si="29"/>
        <v>0</v>
      </c>
    </row>
    <row r="377" spans="1:20" x14ac:dyDescent="0.3">
      <c r="A377" t="s">
        <v>1449</v>
      </c>
      <c r="B377" s="13" t="s">
        <v>228</v>
      </c>
      <c r="C377" s="16">
        <f t="shared" si="25"/>
        <v>45870</v>
      </c>
      <c r="D377" t="s">
        <v>968</v>
      </c>
      <c r="E377" t="s">
        <v>43</v>
      </c>
      <c r="F377" t="s">
        <v>956</v>
      </c>
      <c r="G377" t="s">
        <v>1045</v>
      </c>
      <c r="H377" t="s">
        <v>1034</v>
      </c>
      <c r="I377">
        <v>1843</v>
      </c>
      <c r="J377" s="3">
        <v>601.80999999999995</v>
      </c>
      <c r="K377" s="3">
        <v>1109135.83</v>
      </c>
      <c r="L377">
        <v>548</v>
      </c>
      <c r="M377" t="s">
        <v>896</v>
      </c>
      <c r="N377" s="16">
        <f t="shared" si="26"/>
        <v>45870</v>
      </c>
      <c r="O377" t="s">
        <v>31</v>
      </c>
      <c r="P377" t="str">
        <f t="shared" si="27"/>
        <v>August 2025</v>
      </c>
      <c r="Q377" t="s">
        <v>959</v>
      </c>
      <c r="R377" s="8">
        <v>25818.53</v>
      </c>
      <c r="S377" s="8">
        <f t="shared" si="28"/>
        <v>1134954.3600000001</v>
      </c>
      <c r="T377" s="6">
        <f t="shared" si="29"/>
        <v>4</v>
      </c>
    </row>
    <row r="378" spans="1:20" x14ac:dyDescent="0.3">
      <c r="A378" t="s">
        <v>1450</v>
      </c>
      <c r="B378" s="13" t="s">
        <v>835</v>
      </c>
      <c r="C378" s="16">
        <f t="shared" si="25"/>
        <v>45778</v>
      </c>
      <c r="D378" t="s">
        <v>984</v>
      </c>
      <c r="E378" t="s">
        <v>962</v>
      </c>
      <c r="F378" t="s">
        <v>980</v>
      </c>
      <c r="G378" t="s">
        <v>1221</v>
      </c>
      <c r="H378" t="s">
        <v>1018</v>
      </c>
      <c r="I378">
        <v>158</v>
      </c>
      <c r="J378" s="3">
        <v>232.75</v>
      </c>
      <c r="K378" s="3">
        <v>36774.5</v>
      </c>
      <c r="L378">
        <v>85</v>
      </c>
      <c r="M378" t="s">
        <v>1451</v>
      </c>
      <c r="N378" s="16">
        <f t="shared" si="26"/>
        <v>45778</v>
      </c>
      <c r="O378" t="s">
        <v>1451</v>
      </c>
      <c r="P378" t="str">
        <f t="shared" si="27"/>
        <v>May 2025</v>
      </c>
      <c r="Q378" t="s">
        <v>966</v>
      </c>
      <c r="R378" s="8">
        <v>3035.58</v>
      </c>
      <c r="S378" s="8">
        <f t="shared" si="28"/>
        <v>39810.080000000002</v>
      </c>
      <c r="T378" s="6">
        <f t="shared" si="29"/>
        <v>0</v>
      </c>
    </row>
    <row r="379" spans="1:20" x14ac:dyDescent="0.3">
      <c r="A379" t="s">
        <v>1452</v>
      </c>
      <c r="B379" s="13" t="s">
        <v>1453</v>
      </c>
      <c r="C379" s="16">
        <f t="shared" si="25"/>
        <v>45658</v>
      </c>
      <c r="D379" t="s">
        <v>984</v>
      </c>
      <c r="E379" t="s">
        <v>43</v>
      </c>
      <c r="F379" t="s">
        <v>963</v>
      </c>
      <c r="G379" t="s">
        <v>991</v>
      </c>
      <c r="H379" t="s">
        <v>982</v>
      </c>
      <c r="I379">
        <v>1307</v>
      </c>
      <c r="J379" s="3">
        <v>116.48</v>
      </c>
      <c r="K379" s="3">
        <v>152239.35999999999</v>
      </c>
      <c r="L379">
        <v>220</v>
      </c>
      <c r="M379" t="s">
        <v>691</v>
      </c>
      <c r="N379" s="16">
        <f t="shared" si="26"/>
        <v>45658</v>
      </c>
      <c r="O379" t="s">
        <v>438</v>
      </c>
      <c r="P379" t="str">
        <f t="shared" si="27"/>
        <v>January 2025</v>
      </c>
      <c r="Q379" t="s">
        <v>959</v>
      </c>
      <c r="R379" s="8">
        <v>8000.96</v>
      </c>
      <c r="S379" s="8">
        <f t="shared" si="28"/>
        <v>160240.31999999998</v>
      </c>
      <c r="T379" s="6">
        <f t="shared" si="29"/>
        <v>2</v>
      </c>
    </row>
    <row r="380" spans="1:20" x14ac:dyDescent="0.3">
      <c r="A380" t="s">
        <v>1454</v>
      </c>
      <c r="B380" s="13" t="s">
        <v>81</v>
      </c>
      <c r="C380" s="16">
        <f t="shared" si="25"/>
        <v>45839</v>
      </c>
      <c r="D380" t="s">
        <v>1011</v>
      </c>
      <c r="E380" t="s">
        <v>49</v>
      </c>
      <c r="F380" t="s">
        <v>971</v>
      </c>
      <c r="G380" t="s">
        <v>1152</v>
      </c>
      <c r="H380" t="s">
        <v>1023</v>
      </c>
      <c r="I380">
        <v>1149</v>
      </c>
      <c r="J380" s="3">
        <v>191.75</v>
      </c>
      <c r="K380" s="3">
        <v>220320.75</v>
      </c>
      <c r="L380">
        <v>342</v>
      </c>
      <c r="M380" t="s">
        <v>1020</v>
      </c>
      <c r="N380" s="16">
        <f t="shared" si="26"/>
        <v>45839</v>
      </c>
      <c r="O380" t="s">
        <v>254</v>
      </c>
      <c r="P380" t="str">
        <f t="shared" si="27"/>
        <v>July 2025</v>
      </c>
      <c r="Q380" t="s">
        <v>959</v>
      </c>
      <c r="R380" s="8">
        <v>18829.63</v>
      </c>
      <c r="S380" s="8">
        <f t="shared" si="28"/>
        <v>239150.38</v>
      </c>
      <c r="T380" s="6">
        <f t="shared" si="29"/>
        <v>1</v>
      </c>
    </row>
    <row r="381" spans="1:20" x14ac:dyDescent="0.3">
      <c r="A381" t="s">
        <v>1455</v>
      </c>
      <c r="B381" s="13" t="s">
        <v>412</v>
      </c>
      <c r="C381" s="16">
        <f t="shared" si="25"/>
        <v>45748</v>
      </c>
      <c r="D381" t="s">
        <v>1021</v>
      </c>
      <c r="E381" t="s">
        <v>990</v>
      </c>
      <c r="F381" t="s">
        <v>971</v>
      </c>
      <c r="G381" t="s">
        <v>1015</v>
      </c>
      <c r="H381" t="s">
        <v>1023</v>
      </c>
      <c r="I381">
        <v>2237</v>
      </c>
      <c r="J381" s="3">
        <v>255.91</v>
      </c>
      <c r="K381" s="3">
        <v>572470.67000000004</v>
      </c>
      <c r="L381">
        <v>124</v>
      </c>
      <c r="M381" t="s">
        <v>300</v>
      </c>
      <c r="N381" s="16">
        <f t="shared" si="26"/>
        <v>45748</v>
      </c>
      <c r="O381" t="s">
        <v>300</v>
      </c>
      <c r="P381" t="str">
        <f t="shared" si="27"/>
        <v>April 2025</v>
      </c>
      <c r="Q381" t="s">
        <v>966</v>
      </c>
      <c r="R381" s="8">
        <v>7171.69</v>
      </c>
      <c r="S381" s="8">
        <f t="shared" si="28"/>
        <v>579642.36</v>
      </c>
      <c r="T381" s="6">
        <f t="shared" si="29"/>
        <v>0</v>
      </c>
    </row>
    <row r="382" spans="1:20" x14ac:dyDescent="0.3">
      <c r="A382" t="s">
        <v>1456</v>
      </c>
      <c r="B382" s="13" t="s">
        <v>389</v>
      </c>
      <c r="C382" s="16">
        <f t="shared" si="25"/>
        <v>45992</v>
      </c>
      <c r="D382" t="s">
        <v>961</v>
      </c>
      <c r="E382" t="s">
        <v>43</v>
      </c>
      <c r="F382" t="s">
        <v>963</v>
      </c>
      <c r="G382" t="s">
        <v>976</v>
      </c>
      <c r="H382" t="s">
        <v>992</v>
      </c>
      <c r="I382">
        <v>137</v>
      </c>
      <c r="J382" s="3">
        <v>523.38</v>
      </c>
      <c r="K382" s="3">
        <v>71703.06</v>
      </c>
      <c r="L382">
        <v>45</v>
      </c>
      <c r="M382" t="s">
        <v>765</v>
      </c>
      <c r="N382" s="16">
        <f t="shared" si="26"/>
        <v>45992</v>
      </c>
      <c r="O382" t="s">
        <v>575</v>
      </c>
      <c r="P382" t="str">
        <f t="shared" si="27"/>
        <v>December 2025</v>
      </c>
      <c r="Q382" t="s">
        <v>959</v>
      </c>
      <c r="R382" s="8">
        <v>1866.95</v>
      </c>
      <c r="S382" s="8">
        <f t="shared" si="28"/>
        <v>73570.009999999995</v>
      </c>
      <c r="T382" s="6">
        <f t="shared" si="29"/>
        <v>3</v>
      </c>
    </row>
    <row r="383" spans="1:20" x14ac:dyDescent="0.3">
      <c r="A383" t="s">
        <v>1457</v>
      </c>
      <c r="B383" s="13" t="s">
        <v>459</v>
      </c>
      <c r="C383" s="16">
        <f t="shared" si="25"/>
        <v>45658</v>
      </c>
      <c r="D383" t="s">
        <v>975</v>
      </c>
      <c r="E383" t="s">
        <v>33</v>
      </c>
      <c r="F383" t="s">
        <v>971</v>
      </c>
      <c r="G383" t="s">
        <v>964</v>
      </c>
      <c r="H383" t="s">
        <v>1018</v>
      </c>
      <c r="I383">
        <v>2108</v>
      </c>
      <c r="J383" s="3">
        <v>112.16</v>
      </c>
      <c r="K383" s="3">
        <v>236433.28</v>
      </c>
      <c r="L383">
        <v>581</v>
      </c>
      <c r="M383" t="s">
        <v>15</v>
      </c>
      <c r="N383" s="16">
        <f t="shared" si="26"/>
        <v>45689</v>
      </c>
      <c r="O383" t="s">
        <v>206</v>
      </c>
      <c r="P383" t="str">
        <f t="shared" si="27"/>
        <v>February 2025</v>
      </c>
      <c r="Q383" t="s">
        <v>959</v>
      </c>
      <c r="R383" s="8">
        <v>22603.11</v>
      </c>
      <c r="S383" s="8">
        <f t="shared" si="28"/>
        <v>259036.39</v>
      </c>
      <c r="T383" s="6">
        <f t="shared" si="29"/>
        <v>3</v>
      </c>
    </row>
    <row r="384" spans="1:20" x14ac:dyDescent="0.3">
      <c r="A384" t="s">
        <v>1458</v>
      </c>
      <c r="B384" s="13" t="s">
        <v>453</v>
      </c>
      <c r="C384" s="16">
        <f t="shared" si="25"/>
        <v>45870</v>
      </c>
      <c r="D384" t="s">
        <v>955</v>
      </c>
      <c r="E384" t="s">
        <v>987</v>
      </c>
      <c r="F384" t="s">
        <v>971</v>
      </c>
      <c r="G384" t="s">
        <v>1068</v>
      </c>
      <c r="H384" t="s">
        <v>982</v>
      </c>
      <c r="I384">
        <v>2195</v>
      </c>
      <c r="J384" s="3">
        <v>241.42</v>
      </c>
      <c r="K384" s="3">
        <v>529916.9</v>
      </c>
      <c r="L384">
        <v>105</v>
      </c>
      <c r="M384" t="s">
        <v>480</v>
      </c>
      <c r="N384" s="16">
        <f t="shared" si="26"/>
        <v>45870</v>
      </c>
      <c r="O384" t="s">
        <v>453</v>
      </c>
      <c r="P384" t="str">
        <f t="shared" si="27"/>
        <v>August 2025</v>
      </c>
      <c r="Q384" t="s">
        <v>966</v>
      </c>
      <c r="R384" s="8">
        <v>6352.12</v>
      </c>
      <c r="S384" s="8">
        <f t="shared" si="28"/>
        <v>536269.02</v>
      </c>
      <c r="T384" s="6">
        <f t="shared" si="29"/>
        <v>-1</v>
      </c>
    </row>
    <row r="385" spans="1:20" x14ac:dyDescent="0.3">
      <c r="A385" t="s">
        <v>1459</v>
      </c>
      <c r="B385" s="13" t="s">
        <v>670</v>
      </c>
      <c r="C385" s="16">
        <f t="shared" si="25"/>
        <v>45870</v>
      </c>
      <c r="D385" t="s">
        <v>1011</v>
      </c>
      <c r="E385" t="s">
        <v>33</v>
      </c>
      <c r="F385" t="s">
        <v>956</v>
      </c>
      <c r="G385" t="s">
        <v>1132</v>
      </c>
      <c r="H385" t="s">
        <v>1000</v>
      </c>
      <c r="I385">
        <v>1123</v>
      </c>
      <c r="J385" s="3">
        <v>635.23</v>
      </c>
      <c r="K385" s="3">
        <v>713363.29</v>
      </c>
      <c r="L385">
        <v>521</v>
      </c>
      <c r="M385" t="s">
        <v>289</v>
      </c>
      <c r="N385" s="16">
        <f t="shared" si="26"/>
        <v>45870</v>
      </c>
      <c r="O385" t="s">
        <v>377</v>
      </c>
      <c r="P385" t="str">
        <f t="shared" si="27"/>
        <v>August 2025</v>
      </c>
      <c r="Q385" t="s">
        <v>959</v>
      </c>
      <c r="R385" s="8">
        <v>30871.98</v>
      </c>
      <c r="S385" s="8">
        <f t="shared" si="28"/>
        <v>744235.27</v>
      </c>
      <c r="T385" s="6">
        <f t="shared" si="29"/>
        <v>1</v>
      </c>
    </row>
    <row r="386" spans="1:20" x14ac:dyDescent="0.3">
      <c r="A386" t="s">
        <v>1460</v>
      </c>
      <c r="B386" s="13" t="s">
        <v>320</v>
      </c>
      <c r="C386" s="16">
        <f t="shared" si="25"/>
        <v>45748</v>
      </c>
      <c r="D386" t="s">
        <v>968</v>
      </c>
      <c r="E386" t="s">
        <v>49</v>
      </c>
      <c r="F386" t="s">
        <v>971</v>
      </c>
      <c r="G386" t="s">
        <v>1012</v>
      </c>
      <c r="H386" t="s">
        <v>1000</v>
      </c>
      <c r="I386">
        <v>1764</v>
      </c>
      <c r="J386" s="3">
        <v>500.27</v>
      </c>
      <c r="K386" s="3">
        <v>882476.28</v>
      </c>
      <c r="L386">
        <v>648</v>
      </c>
      <c r="M386" t="s">
        <v>486</v>
      </c>
      <c r="N386" s="16">
        <f t="shared" si="26"/>
        <v>45748</v>
      </c>
      <c r="O386" t="s">
        <v>486</v>
      </c>
      <c r="P386" t="str">
        <f t="shared" si="27"/>
        <v>April 2025</v>
      </c>
      <c r="Q386" t="s">
        <v>966</v>
      </c>
      <c r="R386" s="8">
        <v>33610.870000000003</v>
      </c>
      <c r="S386" s="8">
        <f t="shared" si="28"/>
        <v>916087.15</v>
      </c>
      <c r="T386" s="6">
        <f t="shared" si="29"/>
        <v>0</v>
      </c>
    </row>
    <row r="387" spans="1:20" x14ac:dyDescent="0.3">
      <c r="A387" t="s">
        <v>1461</v>
      </c>
      <c r="B387" s="13" t="s">
        <v>233</v>
      </c>
      <c r="C387" s="16">
        <f t="shared" ref="C387:C450" si="30">DATE(YEAR(B387), MONTH(B387), 1)</f>
        <v>45717</v>
      </c>
      <c r="D387" t="s">
        <v>961</v>
      </c>
      <c r="E387" t="s">
        <v>962</v>
      </c>
      <c r="F387" t="s">
        <v>971</v>
      </c>
      <c r="G387" t="s">
        <v>985</v>
      </c>
      <c r="H387" t="s">
        <v>973</v>
      </c>
      <c r="I387">
        <v>1137</v>
      </c>
      <c r="J387" s="3">
        <v>692.76</v>
      </c>
      <c r="K387" s="3">
        <v>787668.12</v>
      </c>
      <c r="L387">
        <v>307</v>
      </c>
      <c r="M387" t="s">
        <v>51</v>
      </c>
      <c r="N387" s="16">
        <f t="shared" ref="N387:N450" si="31">DATE(YEAR(M387), MONTH(M387),1)</f>
        <v>45717</v>
      </c>
      <c r="O387" t="s">
        <v>1184</v>
      </c>
      <c r="P387" t="str">
        <f t="shared" ref="P387:P450" si="32">TEXT(O387, "mmmm yyyy")</f>
        <v>March 2025</v>
      </c>
      <c r="Q387" t="s">
        <v>959</v>
      </c>
      <c r="R387" s="8">
        <v>15732.98</v>
      </c>
      <c r="S387" s="8">
        <f t="shared" ref="S387:S450" si="33">K387 +R387</f>
        <v>803401.1</v>
      </c>
      <c r="T387" s="6">
        <f t="shared" si="29"/>
        <v>3</v>
      </c>
    </row>
    <row r="388" spans="1:20" x14ac:dyDescent="0.3">
      <c r="A388" t="s">
        <v>1462</v>
      </c>
      <c r="B388" s="13" t="s">
        <v>1266</v>
      </c>
      <c r="C388" s="16">
        <f t="shared" si="30"/>
        <v>45870</v>
      </c>
      <c r="D388" t="s">
        <v>968</v>
      </c>
      <c r="E388" t="s">
        <v>43</v>
      </c>
      <c r="F388" t="s">
        <v>971</v>
      </c>
      <c r="G388" t="s">
        <v>1026</v>
      </c>
      <c r="H388" t="s">
        <v>973</v>
      </c>
      <c r="I388">
        <v>1886</v>
      </c>
      <c r="J388" s="3">
        <v>197.23</v>
      </c>
      <c r="K388" s="3">
        <v>371975.78</v>
      </c>
      <c r="L388">
        <v>257</v>
      </c>
      <c r="M388" t="s">
        <v>496</v>
      </c>
      <c r="N388" s="16">
        <f t="shared" si="31"/>
        <v>45870</v>
      </c>
      <c r="O388" t="s">
        <v>1266</v>
      </c>
      <c r="P388" t="str">
        <f t="shared" si="32"/>
        <v>August 2025</v>
      </c>
      <c r="Q388" t="s">
        <v>966</v>
      </c>
      <c r="R388" s="8">
        <v>15703.19</v>
      </c>
      <c r="S388" s="8">
        <f t="shared" si="33"/>
        <v>387678.97000000003</v>
      </c>
      <c r="T388" s="6">
        <f t="shared" ref="T388:T451" si="34">O388 -M388</f>
        <v>-1</v>
      </c>
    </row>
    <row r="389" spans="1:20" x14ac:dyDescent="0.3">
      <c r="A389" t="s">
        <v>1463</v>
      </c>
      <c r="B389" s="13" t="s">
        <v>536</v>
      </c>
      <c r="C389" s="16">
        <f t="shared" si="30"/>
        <v>45962</v>
      </c>
      <c r="D389" t="s">
        <v>1003</v>
      </c>
      <c r="E389" t="s">
        <v>990</v>
      </c>
      <c r="F389" t="s">
        <v>963</v>
      </c>
      <c r="G389" t="s">
        <v>1068</v>
      </c>
      <c r="H389" t="s">
        <v>1018</v>
      </c>
      <c r="I389">
        <v>2167</v>
      </c>
      <c r="J389" s="3">
        <v>484.21</v>
      </c>
      <c r="K389" s="3">
        <v>1049283.07</v>
      </c>
      <c r="L389">
        <v>490</v>
      </c>
      <c r="M389" t="s">
        <v>270</v>
      </c>
      <c r="N389" s="16">
        <f t="shared" si="31"/>
        <v>45962</v>
      </c>
      <c r="O389" t="s">
        <v>270</v>
      </c>
      <c r="P389" t="str">
        <f t="shared" si="32"/>
        <v>November 2025</v>
      </c>
      <c r="Q389" t="s">
        <v>966</v>
      </c>
      <c r="R389" s="8">
        <v>27778.31</v>
      </c>
      <c r="S389" s="8">
        <f t="shared" si="33"/>
        <v>1077061.3800000001</v>
      </c>
      <c r="T389" s="6">
        <f t="shared" si="34"/>
        <v>0</v>
      </c>
    </row>
    <row r="390" spans="1:20" x14ac:dyDescent="0.3">
      <c r="A390" t="s">
        <v>1464</v>
      </c>
      <c r="B390" s="13" t="s">
        <v>1074</v>
      </c>
      <c r="C390" s="16">
        <f t="shared" si="30"/>
        <v>45992</v>
      </c>
      <c r="D390" t="s">
        <v>961</v>
      </c>
      <c r="E390" t="s">
        <v>990</v>
      </c>
      <c r="F390" t="s">
        <v>963</v>
      </c>
      <c r="G390" t="s">
        <v>1098</v>
      </c>
      <c r="H390" t="s">
        <v>1018</v>
      </c>
      <c r="I390">
        <v>2499</v>
      </c>
      <c r="J390" s="3">
        <v>343.47</v>
      </c>
      <c r="K390" s="3">
        <v>858331.53</v>
      </c>
      <c r="L390">
        <v>565</v>
      </c>
      <c r="M390" t="s">
        <v>303</v>
      </c>
      <c r="N390" s="16">
        <f t="shared" si="31"/>
        <v>45992</v>
      </c>
      <c r="O390" t="s">
        <v>490</v>
      </c>
      <c r="P390" t="str">
        <f t="shared" si="32"/>
        <v>December 2025</v>
      </c>
      <c r="Q390" t="s">
        <v>966</v>
      </c>
      <c r="R390" s="8">
        <v>25786.17</v>
      </c>
      <c r="S390" s="8">
        <f t="shared" si="33"/>
        <v>884117.70000000007</v>
      </c>
      <c r="T390" s="6">
        <f t="shared" si="34"/>
        <v>-1</v>
      </c>
    </row>
    <row r="391" spans="1:20" x14ac:dyDescent="0.3">
      <c r="A391" t="s">
        <v>1465</v>
      </c>
      <c r="B391" s="13" t="s">
        <v>1005</v>
      </c>
      <c r="C391" s="16">
        <f t="shared" si="30"/>
        <v>45839</v>
      </c>
      <c r="D391" t="s">
        <v>1011</v>
      </c>
      <c r="E391" t="s">
        <v>962</v>
      </c>
      <c r="F391" t="s">
        <v>956</v>
      </c>
      <c r="G391" t="s">
        <v>1038</v>
      </c>
      <c r="H391" t="s">
        <v>1023</v>
      </c>
      <c r="I391">
        <v>92</v>
      </c>
      <c r="J391" s="3">
        <v>142.81</v>
      </c>
      <c r="K391" s="3">
        <v>13138.52</v>
      </c>
      <c r="L391">
        <v>718</v>
      </c>
      <c r="M391" t="s">
        <v>326</v>
      </c>
      <c r="N391" s="16">
        <f t="shared" si="31"/>
        <v>45839</v>
      </c>
      <c r="O391" t="s">
        <v>1007</v>
      </c>
      <c r="P391" t="str">
        <f t="shared" si="32"/>
        <v>July 2025</v>
      </c>
      <c r="Q391" t="s">
        <v>959</v>
      </c>
      <c r="R391" s="8">
        <v>27177.25</v>
      </c>
      <c r="S391" s="8">
        <f t="shared" si="33"/>
        <v>40315.770000000004</v>
      </c>
      <c r="T391" s="6">
        <f t="shared" si="34"/>
        <v>2</v>
      </c>
    </row>
    <row r="392" spans="1:20" x14ac:dyDescent="0.3">
      <c r="A392" t="s">
        <v>1466</v>
      </c>
      <c r="B392" s="13" t="s">
        <v>1266</v>
      </c>
      <c r="C392" s="16">
        <f t="shared" si="30"/>
        <v>45870</v>
      </c>
      <c r="D392" t="s">
        <v>1011</v>
      </c>
      <c r="E392" t="s">
        <v>33</v>
      </c>
      <c r="F392" t="s">
        <v>956</v>
      </c>
      <c r="G392" t="s">
        <v>1057</v>
      </c>
      <c r="H392" t="s">
        <v>1000</v>
      </c>
      <c r="I392">
        <v>2172</v>
      </c>
      <c r="J392" s="3">
        <v>234.05</v>
      </c>
      <c r="K392" s="3">
        <v>508356.6</v>
      </c>
      <c r="L392">
        <v>399</v>
      </c>
      <c r="M392" t="s">
        <v>572</v>
      </c>
      <c r="N392" s="16">
        <f t="shared" si="31"/>
        <v>45870</v>
      </c>
      <c r="O392" t="s">
        <v>600</v>
      </c>
      <c r="P392" t="str">
        <f t="shared" si="32"/>
        <v>August 2025</v>
      </c>
      <c r="Q392" t="s">
        <v>959</v>
      </c>
      <c r="R392" s="8">
        <v>16729.53</v>
      </c>
      <c r="S392" s="8">
        <f t="shared" si="33"/>
        <v>525086.13</v>
      </c>
      <c r="T392" s="6">
        <f t="shared" si="34"/>
        <v>2</v>
      </c>
    </row>
    <row r="393" spans="1:20" x14ac:dyDescent="0.3">
      <c r="A393" t="s">
        <v>1467</v>
      </c>
      <c r="B393" s="13" t="s">
        <v>1368</v>
      </c>
      <c r="C393" s="16">
        <f t="shared" si="30"/>
        <v>45809</v>
      </c>
      <c r="D393" t="s">
        <v>1021</v>
      </c>
      <c r="E393" t="s">
        <v>962</v>
      </c>
      <c r="F393" t="s">
        <v>963</v>
      </c>
      <c r="G393" t="s">
        <v>985</v>
      </c>
      <c r="H393" t="s">
        <v>992</v>
      </c>
      <c r="I393">
        <v>1298</v>
      </c>
      <c r="J393" s="3">
        <v>140.43</v>
      </c>
      <c r="K393" s="3">
        <v>182278.14</v>
      </c>
      <c r="L393">
        <v>143</v>
      </c>
      <c r="M393" t="s">
        <v>807</v>
      </c>
      <c r="N393" s="16">
        <f t="shared" si="31"/>
        <v>45809</v>
      </c>
      <c r="O393" t="s">
        <v>807</v>
      </c>
      <c r="P393" t="str">
        <f t="shared" si="32"/>
        <v>June 2025</v>
      </c>
      <c r="Q393" t="s">
        <v>966</v>
      </c>
      <c r="R393" s="8">
        <v>8293.2199999999993</v>
      </c>
      <c r="S393" s="8">
        <f t="shared" si="33"/>
        <v>190571.36000000002</v>
      </c>
      <c r="T393" s="6">
        <f t="shared" si="34"/>
        <v>0</v>
      </c>
    </row>
    <row r="394" spans="1:20" x14ac:dyDescent="0.3">
      <c r="A394" t="s">
        <v>1468</v>
      </c>
      <c r="B394" s="13" t="s">
        <v>195</v>
      </c>
      <c r="C394" s="16">
        <f t="shared" si="30"/>
        <v>45992</v>
      </c>
      <c r="D394" t="s">
        <v>1011</v>
      </c>
      <c r="E394" t="s">
        <v>990</v>
      </c>
      <c r="F394" t="s">
        <v>971</v>
      </c>
      <c r="G394" t="s">
        <v>1045</v>
      </c>
      <c r="H394" t="s">
        <v>1018</v>
      </c>
      <c r="I394">
        <v>650</v>
      </c>
      <c r="J394" s="3">
        <v>273.26</v>
      </c>
      <c r="K394" s="3">
        <v>177619</v>
      </c>
      <c r="L394">
        <v>425</v>
      </c>
      <c r="M394" t="s">
        <v>656</v>
      </c>
      <c r="N394" s="16">
        <f t="shared" si="31"/>
        <v>45992</v>
      </c>
      <c r="O394" t="s">
        <v>1016</v>
      </c>
      <c r="P394" t="str">
        <f t="shared" si="32"/>
        <v>December 2025</v>
      </c>
      <c r="Q394" t="s">
        <v>966</v>
      </c>
      <c r="R394" s="8">
        <v>19785.310000000001</v>
      </c>
      <c r="S394" s="8">
        <f t="shared" si="33"/>
        <v>197404.31</v>
      </c>
      <c r="T394" s="6">
        <f t="shared" si="34"/>
        <v>-1</v>
      </c>
    </row>
    <row r="395" spans="1:20" x14ac:dyDescent="0.3">
      <c r="A395" t="s">
        <v>1469</v>
      </c>
      <c r="B395" s="13" t="s">
        <v>1059</v>
      </c>
      <c r="C395" s="16">
        <f t="shared" si="30"/>
        <v>45870</v>
      </c>
      <c r="D395" t="s">
        <v>1003</v>
      </c>
      <c r="E395" t="s">
        <v>33</v>
      </c>
      <c r="F395" t="s">
        <v>963</v>
      </c>
      <c r="G395" t="s">
        <v>988</v>
      </c>
      <c r="H395" t="s">
        <v>982</v>
      </c>
      <c r="I395">
        <v>80</v>
      </c>
      <c r="J395" s="3">
        <v>822.87</v>
      </c>
      <c r="K395" s="3">
        <v>65829.600000000006</v>
      </c>
      <c r="L395">
        <v>712</v>
      </c>
      <c r="M395" t="s">
        <v>450</v>
      </c>
      <c r="N395" s="16">
        <f t="shared" si="31"/>
        <v>45870</v>
      </c>
      <c r="O395" t="s">
        <v>450</v>
      </c>
      <c r="P395" t="str">
        <f t="shared" si="32"/>
        <v>August 2025</v>
      </c>
      <c r="Q395" t="s">
        <v>966</v>
      </c>
      <c r="R395" s="8">
        <v>38375.769999999997</v>
      </c>
      <c r="S395" s="8">
        <f t="shared" si="33"/>
        <v>104205.37</v>
      </c>
      <c r="T395" s="6">
        <f t="shared" si="34"/>
        <v>0</v>
      </c>
    </row>
    <row r="396" spans="1:20" x14ac:dyDescent="0.3">
      <c r="A396" t="s">
        <v>1470</v>
      </c>
      <c r="B396" s="13" t="s">
        <v>323</v>
      </c>
      <c r="C396" s="16">
        <f t="shared" si="30"/>
        <v>45870</v>
      </c>
      <c r="D396" t="s">
        <v>961</v>
      </c>
      <c r="E396" t="s">
        <v>962</v>
      </c>
      <c r="F396" t="s">
        <v>963</v>
      </c>
      <c r="G396" t="s">
        <v>985</v>
      </c>
      <c r="H396" t="s">
        <v>1000</v>
      </c>
      <c r="I396">
        <v>1709</v>
      </c>
      <c r="J396" s="3">
        <v>96.7</v>
      </c>
      <c r="K396" s="3">
        <v>165260.29999999999</v>
      </c>
      <c r="L396">
        <v>456</v>
      </c>
      <c r="M396" t="s">
        <v>266</v>
      </c>
      <c r="N396" s="16">
        <f t="shared" si="31"/>
        <v>45901</v>
      </c>
      <c r="O396" t="s">
        <v>1063</v>
      </c>
      <c r="P396" t="str">
        <f t="shared" si="32"/>
        <v>September 2025</v>
      </c>
      <c r="Q396" t="s">
        <v>959</v>
      </c>
      <c r="R396" s="8">
        <v>19197</v>
      </c>
      <c r="S396" s="8">
        <f t="shared" si="33"/>
        <v>184457.3</v>
      </c>
      <c r="T396" s="6">
        <f t="shared" si="34"/>
        <v>3</v>
      </c>
    </row>
    <row r="397" spans="1:20" x14ac:dyDescent="0.3">
      <c r="A397" t="s">
        <v>1471</v>
      </c>
      <c r="B397" s="13" t="s">
        <v>737</v>
      </c>
      <c r="C397" s="16">
        <f t="shared" si="30"/>
        <v>45809</v>
      </c>
      <c r="D397" t="s">
        <v>961</v>
      </c>
      <c r="E397" t="s">
        <v>33</v>
      </c>
      <c r="F397" t="s">
        <v>971</v>
      </c>
      <c r="G397" t="s">
        <v>996</v>
      </c>
      <c r="H397" t="s">
        <v>977</v>
      </c>
      <c r="I397">
        <v>349</v>
      </c>
      <c r="J397" s="3">
        <v>645.59</v>
      </c>
      <c r="K397" s="3">
        <v>225310.91</v>
      </c>
      <c r="L397">
        <v>245</v>
      </c>
      <c r="M397" t="s">
        <v>441</v>
      </c>
      <c r="N397" s="16">
        <f t="shared" si="31"/>
        <v>45809</v>
      </c>
      <c r="O397" t="s">
        <v>737</v>
      </c>
      <c r="P397" t="str">
        <f t="shared" si="32"/>
        <v>June 2025</v>
      </c>
      <c r="Q397" t="s">
        <v>966</v>
      </c>
      <c r="R397" s="8">
        <v>13987.75</v>
      </c>
      <c r="S397" s="8">
        <f t="shared" si="33"/>
        <v>239298.66</v>
      </c>
      <c r="T397" s="6">
        <f t="shared" si="34"/>
        <v>-1</v>
      </c>
    </row>
    <row r="398" spans="1:20" x14ac:dyDescent="0.3">
      <c r="A398" t="s">
        <v>1472</v>
      </c>
      <c r="B398" s="13" t="s">
        <v>833</v>
      </c>
      <c r="C398" s="16">
        <f t="shared" si="30"/>
        <v>45870</v>
      </c>
      <c r="D398" t="s">
        <v>1003</v>
      </c>
      <c r="E398" t="s">
        <v>33</v>
      </c>
      <c r="F398" t="s">
        <v>980</v>
      </c>
      <c r="G398" t="s">
        <v>1087</v>
      </c>
      <c r="H398" t="s">
        <v>958</v>
      </c>
      <c r="I398">
        <v>555</v>
      </c>
      <c r="J398" s="3">
        <v>334.87</v>
      </c>
      <c r="K398" s="3">
        <v>185852.85</v>
      </c>
      <c r="L398">
        <v>533</v>
      </c>
      <c r="M398" t="s">
        <v>670</v>
      </c>
      <c r="N398" s="16">
        <f t="shared" si="31"/>
        <v>45870</v>
      </c>
      <c r="O398" t="s">
        <v>751</v>
      </c>
      <c r="P398" t="str">
        <f t="shared" si="32"/>
        <v>August 2025</v>
      </c>
      <c r="Q398" t="s">
        <v>966</v>
      </c>
      <c r="R398" s="8">
        <v>19024.900000000001</v>
      </c>
      <c r="S398" s="8">
        <f t="shared" si="33"/>
        <v>204877.75</v>
      </c>
      <c r="T398" s="6">
        <f t="shared" si="34"/>
        <v>-1</v>
      </c>
    </row>
    <row r="399" spans="1:20" x14ac:dyDescent="0.3">
      <c r="A399" t="s">
        <v>1473</v>
      </c>
      <c r="B399" s="13" t="s">
        <v>361</v>
      </c>
      <c r="C399" s="16">
        <f t="shared" si="30"/>
        <v>45992</v>
      </c>
      <c r="D399" t="s">
        <v>955</v>
      </c>
      <c r="E399" t="s">
        <v>962</v>
      </c>
      <c r="F399" t="s">
        <v>980</v>
      </c>
      <c r="G399" t="s">
        <v>1098</v>
      </c>
      <c r="H399" t="s">
        <v>1018</v>
      </c>
      <c r="I399">
        <v>2296</v>
      </c>
      <c r="J399" s="3">
        <v>311.23</v>
      </c>
      <c r="K399" s="3">
        <v>714584.08</v>
      </c>
      <c r="L399">
        <v>538</v>
      </c>
      <c r="M399" t="s">
        <v>1016</v>
      </c>
      <c r="N399" s="16">
        <f t="shared" si="31"/>
        <v>45992</v>
      </c>
      <c r="O399" t="s">
        <v>899</v>
      </c>
      <c r="P399" t="str">
        <f t="shared" si="32"/>
        <v>December 2025</v>
      </c>
      <c r="Q399" t="s">
        <v>959</v>
      </c>
      <c r="R399" s="8">
        <v>26457.53</v>
      </c>
      <c r="S399" s="8">
        <f t="shared" si="33"/>
        <v>741041.61</v>
      </c>
      <c r="T399" s="6">
        <f t="shared" si="34"/>
        <v>2</v>
      </c>
    </row>
    <row r="400" spans="1:20" x14ac:dyDescent="0.3">
      <c r="A400" t="s">
        <v>1474</v>
      </c>
      <c r="B400" s="13" t="s">
        <v>598</v>
      </c>
      <c r="C400" s="16">
        <f t="shared" si="30"/>
        <v>45748</v>
      </c>
      <c r="D400" t="s">
        <v>955</v>
      </c>
      <c r="E400" t="s">
        <v>962</v>
      </c>
      <c r="F400" t="s">
        <v>980</v>
      </c>
      <c r="G400" t="s">
        <v>996</v>
      </c>
      <c r="H400" t="s">
        <v>982</v>
      </c>
      <c r="I400">
        <v>1326</v>
      </c>
      <c r="J400" s="3">
        <v>367.26</v>
      </c>
      <c r="K400" s="3">
        <v>486986.76</v>
      </c>
      <c r="L400">
        <v>108</v>
      </c>
      <c r="M400" t="s">
        <v>320</v>
      </c>
      <c r="N400" s="16">
        <f t="shared" si="31"/>
        <v>45748</v>
      </c>
      <c r="O400" t="s">
        <v>287</v>
      </c>
      <c r="P400" t="str">
        <f t="shared" si="32"/>
        <v>April 2025</v>
      </c>
      <c r="Q400" t="s">
        <v>959</v>
      </c>
      <c r="R400" s="8">
        <v>5017.04</v>
      </c>
      <c r="S400" s="8">
        <f t="shared" si="33"/>
        <v>492003.8</v>
      </c>
      <c r="T400" s="6">
        <f t="shared" si="34"/>
        <v>3</v>
      </c>
    </row>
    <row r="401" spans="1:20" x14ac:dyDescent="0.3">
      <c r="A401" t="s">
        <v>1475</v>
      </c>
      <c r="B401" s="13" t="s">
        <v>336</v>
      </c>
      <c r="C401" s="16">
        <f t="shared" si="30"/>
        <v>45809</v>
      </c>
      <c r="D401" t="s">
        <v>1011</v>
      </c>
      <c r="E401" t="s">
        <v>33</v>
      </c>
      <c r="F401" t="s">
        <v>980</v>
      </c>
      <c r="G401" t="s">
        <v>1045</v>
      </c>
      <c r="H401" t="s">
        <v>982</v>
      </c>
      <c r="I401">
        <v>864</v>
      </c>
      <c r="J401" s="3">
        <v>800.42</v>
      </c>
      <c r="K401" s="3">
        <v>691562.88</v>
      </c>
      <c r="L401">
        <v>245</v>
      </c>
      <c r="M401" t="s">
        <v>1094</v>
      </c>
      <c r="N401" s="16">
        <f t="shared" si="31"/>
        <v>45809</v>
      </c>
      <c r="O401" t="s">
        <v>1094</v>
      </c>
      <c r="P401" t="str">
        <f t="shared" si="32"/>
        <v>June 2025</v>
      </c>
      <c r="Q401" t="s">
        <v>966</v>
      </c>
      <c r="R401" s="8">
        <v>13308.89</v>
      </c>
      <c r="S401" s="8">
        <f t="shared" si="33"/>
        <v>704871.77</v>
      </c>
      <c r="T401" s="6">
        <f t="shared" si="34"/>
        <v>0</v>
      </c>
    </row>
    <row r="402" spans="1:20" x14ac:dyDescent="0.3">
      <c r="A402" t="s">
        <v>1476</v>
      </c>
      <c r="B402" s="13" t="s">
        <v>1027</v>
      </c>
      <c r="C402" s="16">
        <f t="shared" si="30"/>
        <v>45931</v>
      </c>
      <c r="D402" t="s">
        <v>961</v>
      </c>
      <c r="E402" t="s">
        <v>33</v>
      </c>
      <c r="F402" t="s">
        <v>980</v>
      </c>
      <c r="G402" t="s">
        <v>1078</v>
      </c>
      <c r="H402" t="s">
        <v>958</v>
      </c>
      <c r="I402">
        <v>2026</v>
      </c>
      <c r="J402" s="3">
        <v>452.83</v>
      </c>
      <c r="K402" s="3">
        <v>917433.58</v>
      </c>
      <c r="L402">
        <v>68</v>
      </c>
      <c r="M402" t="s">
        <v>482</v>
      </c>
      <c r="N402" s="16">
        <f t="shared" si="31"/>
        <v>45931</v>
      </c>
      <c r="O402" t="s">
        <v>482</v>
      </c>
      <c r="P402" t="str">
        <f t="shared" si="32"/>
        <v>October 2025</v>
      </c>
      <c r="Q402" t="s">
        <v>966</v>
      </c>
      <c r="R402" s="8">
        <v>2968.77</v>
      </c>
      <c r="S402" s="8">
        <f t="shared" si="33"/>
        <v>920402.35</v>
      </c>
      <c r="T402" s="6">
        <f t="shared" si="34"/>
        <v>0</v>
      </c>
    </row>
    <row r="403" spans="1:20" x14ac:dyDescent="0.3">
      <c r="A403" t="s">
        <v>1477</v>
      </c>
      <c r="B403" s="13" t="s">
        <v>1263</v>
      </c>
      <c r="C403" s="16">
        <f t="shared" si="30"/>
        <v>45870</v>
      </c>
      <c r="D403" t="s">
        <v>955</v>
      </c>
      <c r="E403" t="s">
        <v>987</v>
      </c>
      <c r="F403" t="s">
        <v>980</v>
      </c>
      <c r="G403" t="s">
        <v>1040</v>
      </c>
      <c r="H403" t="s">
        <v>1023</v>
      </c>
      <c r="I403">
        <v>1300</v>
      </c>
      <c r="J403" s="3">
        <v>417</v>
      </c>
      <c r="K403" s="3">
        <v>542100</v>
      </c>
      <c r="L403">
        <v>467</v>
      </c>
      <c r="M403" t="s">
        <v>92</v>
      </c>
      <c r="N403" s="16">
        <f t="shared" si="31"/>
        <v>45870</v>
      </c>
      <c r="O403" t="s">
        <v>92</v>
      </c>
      <c r="P403" t="str">
        <f t="shared" si="32"/>
        <v>August 2025</v>
      </c>
      <c r="Q403" t="s">
        <v>966</v>
      </c>
      <c r="R403" s="8">
        <v>27588.47</v>
      </c>
      <c r="S403" s="8">
        <f t="shared" si="33"/>
        <v>569688.47</v>
      </c>
      <c r="T403" s="6">
        <f t="shared" si="34"/>
        <v>0</v>
      </c>
    </row>
    <row r="404" spans="1:20" x14ac:dyDescent="0.3">
      <c r="A404" t="s">
        <v>1478</v>
      </c>
      <c r="B404" s="13" t="s">
        <v>1071</v>
      </c>
      <c r="C404" s="16">
        <f t="shared" si="30"/>
        <v>45870</v>
      </c>
      <c r="D404" t="s">
        <v>955</v>
      </c>
      <c r="E404" t="s">
        <v>962</v>
      </c>
      <c r="F404" t="s">
        <v>963</v>
      </c>
      <c r="G404" t="s">
        <v>957</v>
      </c>
      <c r="H404" t="s">
        <v>958</v>
      </c>
      <c r="I404">
        <v>138</v>
      </c>
      <c r="J404" s="3">
        <v>436.02</v>
      </c>
      <c r="K404" s="3">
        <v>60170.76</v>
      </c>
      <c r="L404">
        <v>428</v>
      </c>
      <c r="M404" t="s">
        <v>31</v>
      </c>
      <c r="N404" s="16">
        <f t="shared" si="31"/>
        <v>45870</v>
      </c>
      <c r="O404" t="s">
        <v>1479</v>
      </c>
      <c r="P404" t="str">
        <f t="shared" si="32"/>
        <v>August 2025</v>
      </c>
      <c r="Q404" t="s">
        <v>959</v>
      </c>
      <c r="R404" s="8">
        <v>24507.74</v>
      </c>
      <c r="S404" s="8">
        <f t="shared" si="33"/>
        <v>84678.5</v>
      </c>
      <c r="T404" s="6">
        <f t="shared" si="34"/>
        <v>1</v>
      </c>
    </row>
    <row r="405" spans="1:20" x14ac:dyDescent="0.3">
      <c r="A405" t="s">
        <v>1480</v>
      </c>
      <c r="B405" s="13" t="s">
        <v>532</v>
      </c>
      <c r="C405" s="16">
        <f t="shared" si="30"/>
        <v>45839</v>
      </c>
      <c r="D405" t="s">
        <v>984</v>
      </c>
      <c r="E405" t="s">
        <v>33</v>
      </c>
      <c r="F405" t="s">
        <v>980</v>
      </c>
      <c r="G405" t="s">
        <v>998</v>
      </c>
      <c r="H405" t="s">
        <v>1000</v>
      </c>
      <c r="I405">
        <v>595</v>
      </c>
      <c r="J405" s="3">
        <v>346.65</v>
      </c>
      <c r="K405" s="3">
        <v>206256.75</v>
      </c>
      <c r="L405">
        <v>34</v>
      </c>
      <c r="M405" t="s">
        <v>98</v>
      </c>
      <c r="N405" s="16">
        <f t="shared" si="31"/>
        <v>45839</v>
      </c>
      <c r="O405" t="s">
        <v>1005</v>
      </c>
      <c r="P405" t="str">
        <f t="shared" si="32"/>
        <v>July 2025</v>
      </c>
      <c r="Q405" t="s">
        <v>959</v>
      </c>
      <c r="R405" s="8">
        <v>1626.5</v>
      </c>
      <c r="S405" s="8">
        <f t="shared" si="33"/>
        <v>207883.25</v>
      </c>
      <c r="T405" s="6">
        <f t="shared" si="34"/>
        <v>1</v>
      </c>
    </row>
    <row r="406" spans="1:20" x14ac:dyDescent="0.3">
      <c r="A406" t="s">
        <v>1481</v>
      </c>
      <c r="B406" s="13" t="s">
        <v>480</v>
      </c>
      <c r="C406" s="16">
        <f t="shared" si="30"/>
        <v>45870</v>
      </c>
      <c r="D406" t="s">
        <v>1021</v>
      </c>
      <c r="E406" t="s">
        <v>43</v>
      </c>
      <c r="F406" t="s">
        <v>956</v>
      </c>
      <c r="G406" t="s">
        <v>991</v>
      </c>
      <c r="H406" t="s">
        <v>973</v>
      </c>
      <c r="I406">
        <v>1155</v>
      </c>
      <c r="J406" s="3">
        <v>95.27</v>
      </c>
      <c r="K406" s="3">
        <v>110036.85</v>
      </c>
      <c r="L406">
        <v>150</v>
      </c>
      <c r="M406" t="s">
        <v>498</v>
      </c>
      <c r="N406" s="16">
        <f t="shared" si="31"/>
        <v>45870</v>
      </c>
      <c r="O406" t="s">
        <v>498</v>
      </c>
      <c r="P406" t="str">
        <f t="shared" si="32"/>
        <v>August 2025</v>
      </c>
      <c r="Q406" t="s">
        <v>966</v>
      </c>
      <c r="R406" s="8">
        <v>6381.73</v>
      </c>
      <c r="S406" s="8">
        <f t="shared" si="33"/>
        <v>116418.58</v>
      </c>
      <c r="T406" s="6">
        <f t="shared" si="34"/>
        <v>0</v>
      </c>
    </row>
    <row r="407" spans="1:20" x14ac:dyDescent="0.3">
      <c r="A407" t="s">
        <v>1482</v>
      </c>
      <c r="B407" s="13" t="s">
        <v>566</v>
      </c>
      <c r="C407" s="16">
        <f t="shared" si="30"/>
        <v>45901</v>
      </c>
      <c r="D407" t="s">
        <v>1021</v>
      </c>
      <c r="E407" t="s">
        <v>33</v>
      </c>
      <c r="F407" t="s">
        <v>963</v>
      </c>
      <c r="G407" t="s">
        <v>981</v>
      </c>
      <c r="H407" t="s">
        <v>1018</v>
      </c>
      <c r="I407">
        <v>890</v>
      </c>
      <c r="J407" s="3">
        <v>150.30000000000001</v>
      </c>
      <c r="K407" s="3">
        <v>133767</v>
      </c>
      <c r="L407">
        <v>364</v>
      </c>
      <c r="M407" t="s">
        <v>1177</v>
      </c>
      <c r="N407" s="16">
        <f t="shared" si="31"/>
        <v>45901</v>
      </c>
      <c r="O407" t="s">
        <v>1177</v>
      </c>
      <c r="P407" t="str">
        <f t="shared" si="32"/>
        <v>September 2025</v>
      </c>
      <c r="Q407" t="s">
        <v>966</v>
      </c>
      <c r="R407" s="8">
        <v>18862.900000000001</v>
      </c>
      <c r="S407" s="8">
        <f t="shared" si="33"/>
        <v>152629.9</v>
      </c>
      <c r="T407" s="6">
        <f t="shared" si="34"/>
        <v>0</v>
      </c>
    </row>
    <row r="408" spans="1:20" x14ac:dyDescent="0.3">
      <c r="A408" t="s">
        <v>1483</v>
      </c>
      <c r="B408" s="13" t="s">
        <v>1245</v>
      </c>
      <c r="C408" s="16">
        <f t="shared" si="30"/>
        <v>45809</v>
      </c>
      <c r="D408" t="s">
        <v>1011</v>
      </c>
      <c r="E408" t="s">
        <v>990</v>
      </c>
      <c r="F408" t="s">
        <v>980</v>
      </c>
      <c r="G408" t="s">
        <v>1015</v>
      </c>
      <c r="H408" t="s">
        <v>1023</v>
      </c>
      <c r="I408">
        <v>2450</v>
      </c>
      <c r="J408" s="3">
        <v>149.65</v>
      </c>
      <c r="K408" s="3">
        <v>366642.5</v>
      </c>
      <c r="L408">
        <v>256</v>
      </c>
      <c r="M408" t="s">
        <v>506</v>
      </c>
      <c r="N408" s="16">
        <f t="shared" si="31"/>
        <v>45809</v>
      </c>
      <c r="O408" t="s">
        <v>506</v>
      </c>
      <c r="P408" t="str">
        <f t="shared" si="32"/>
        <v>June 2025</v>
      </c>
      <c r="Q408" t="s">
        <v>966</v>
      </c>
      <c r="R408" s="8">
        <v>12634.28</v>
      </c>
      <c r="S408" s="8">
        <f t="shared" si="33"/>
        <v>379276.78</v>
      </c>
      <c r="T408" s="6">
        <f t="shared" si="34"/>
        <v>0</v>
      </c>
    </row>
    <row r="409" spans="1:20" x14ac:dyDescent="0.3">
      <c r="A409" t="s">
        <v>1484</v>
      </c>
      <c r="B409" s="13" t="s">
        <v>453</v>
      </c>
      <c r="C409" s="16">
        <f t="shared" si="30"/>
        <v>45870</v>
      </c>
      <c r="D409" t="s">
        <v>975</v>
      </c>
      <c r="E409" t="s">
        <v>33</v>
      </c>
      <c r="F409" t="s">
        <v>980</v>
      </c>
      <c r="G409" t="s">
        <v>964</v>
      </c>
      <c r="H409" t="s">
        <v>1018</v>
      </c>
      <c r="I409">
        <v>1535</v>
      </c>
      <c r="J409" s="3">
        <v>179.53</v>
      </c>
      <c r="K409" s="3">
        <v>275578.55</v>
      </c>
      <c r="L409">
        <v>122</v>
      </c>
      <c r="M409" t="s">
        <v>480</v>
      </c>
      <c r="N409" s="16">
        <f t="shared" si="31"/>
        <v>45870</v>
      </c>
      <c r="O409" t="s">
        <v>480</v>
      </c>
      <c r="P409" t="str">
        <f t="shared" si="32"/>
        <v>August 2025</v>
      </c>
      <c r="Q409" t="s">
        <v>966</v>
      </c>
      <c r="R409" s="8">
        <v>6346.32</v>
      </c>
      <c r="S409" s="8">
        <f t="shared" si="33"/>
        <v>281924.87</v>
      </c>
      <c r="T409" s="6">
        <f t="shared" si="34"/>
        <v>0</v>
      </c>
    </row>
    <row r="410" spans="1:20" x14ac:dyDescent="0.3">
      <c r="A410" t="s">
        <v>1485</v>
      </c>
      <c r="B410" s="13" t="s">
        <v>970</v>
      </c>
      <c r="C410" s="16">
        <f t="shared" si="30"/>
        <v>45658</v>
      </c>
      <c r="D410" t="s">
        <v>984</v>
      </c>
      <c r="E410" t="s">
        <v>43</v>
      </c>
      <c r="F410" t="s">
        <v>971</v>
      </c>
      <c r="G410" t="s">
        <v>1152</v>
      </c>
      <c r="H410" t="s">
        <v>1000</v>
      </c>
      <c r="I410">
        <v>1586</v>
      </c>
      <c r="J410" s="3">
        <v>762.49</v>
      </c>
      <c r="K410" s="3">
        <v>1209309.1399999999</v>
      </c>
      <c r="L410">
        <v>455</v>
      </c>
      <c r="M410" t="s">
        <v>613</v>
      </c>
      <c r="N410" s="16">
        <f t="shared" si="31"/>
        <v>45658</v>
      </c>
      <c r="O410" t="s">
        <v>916</v>
      </c>
      <c r="P410" t="str">
        <f t="shared" si="32"/>
        <v>January 2025</v>
      </c>
      <c r="Q410" t="s">
        <v>959</v>
      </c>
      <c r="R410" s="8">
        <v>21446.58</v>
      </c>
      <c r="S410" s="8">
        <f t="shared" si="33"/>
        <v>1230755.72</v>
      </c>
      <c r="T410" s="6">
        <f t="shared" si="34"/>
        <v>2</v>
      </c>
    </row>
    <row r="411" spans="1:20" x14ac:dyDescent="0.3">
      <c r="A411" t="s">
        <v>1486</v>
      </c>
      <c r="B411" s="13" t="s">
        <v>77</v>
      </c>
      <c r="C411" s="16">
        <f t="shared" si="30"/>
        <v>45962</v>
      </c>
      <c r="D411" t="s">
        <v>955</v>
      </c>
      <c r="E411" t="s">
        <v>990</v>
      </c>
      <c r="F411" t="s">
        <v>971</v>
      </c>
      <c r="G411" t="s">
        <v>981</v>
      </c>
      <c r="H411" t="s">
        <v>1023</v>
      </c>
      <c r="I411">
        <v>1014</v>
      </c>
      <c r="J411" s="3">
        <v>369.07</v>
      </c>
      <c r="K411" s="3">
        <v>374236.98</v>
      </c>
      <c r="L411">
        <v>291</v>
      </c>
      <c r="M411" t="s">
        <v>217</v>
      </c>
      <c r="N411" s="16">
        <f t="shared" si="31"/>
        <v>45962</v>
      </c>
      <c r="O411" t="s">
        <v>217</v>
      </c>
      <c r="P411" t="str">
        <f t="shared" si="32"/>
        <v>November 2025</v>
      </c>
      <c r="Q411" t="s">
        <v>966</v>
      </c>
      <c r="R411" s="8">
        <v>13244.87</v>
      </c>
      <c r="S411" s="8">
        <f t="shared" si="33"/>
        <v>387481.85</v>
      </c>
      <c r="T411" s="6">
        <f t="shared" si="34"/>
        <v>0</v>
      </c>
    </row>
    <row r="412" spans="1:20" x14ac:dyDescent="0.3">
      <c r="A412" t="s">
        <v>1487</v>
      </c>
      <c r="B412" s="13" t="s">
        <v>683</v>
      </c>
      <c r="C412" s="16">
        <f t="shared" si="30"/>
        <v>45748</v>
      </c>
      <c r="D412" t="s">
        <v>955</v>
      </c>
      <c r="E412" t="s">
        <v>33</v>
      </c>
      <c r="F412" t="s">
        <v>971</v>
      </c>
      <c r="G412" t="s">
        <v>985</v>
      </c>
      <c r="H412" t="s">
        <v>1034</v>
      </c>
      <c r="I412">
        <v>134</v>
      </c>
      <c r="J412" s="3">
        <v>280.24</v>
      </c>
      <c r="K412" s="3">
        <v>37552.160000000003</v>
      </c>
      <c r="L412">
        <v>116</v>
      </c>
      <c r="M412" t="s">
        <v>340</v>
      </c>
      <c r="N412" s="16">
        <f t="shared" si="31"/>
        <v>45748</v>
      </c>
      <c r="O412" t="s">
        <v>188</v>
      </c>
      <c r="P412" t="str">
        <f t="shared" si="32"/>
        <v>May 2025</v>
      </c>
      <c r="Q412" t="s">
        <v>959</v>
      </c>
      <c r="R412" s="8">
        <v>5759.7</v>
      </c>
      <c r="S412" s="8">
        <f t="shared" si="33"/>
        <v>43311.86</v>
      </c>
      <c r="T412" s="6">
        <f t="shared" si="34"/>
        <v>3</v>
      </c>
    </row>
    <row r="413" spans="1:20" x14ac:dyDescent="0.3">
      <c r="A413" t="s">
        <v>1488</v>
      </c>
      <c r="B413" s="13" t="s">
        <v>64</v>
      </c>
      <c r="C413" s="16">
        <f t="shared" si="30"/>
        <v>45931</v>
      </c>
      <c r="D413" t="s">
        <v>955</v>
      </c>
      <c r="E413" t="s">
        <v>962</v>
      </c>
      <c r="F413" t="s">
        <v>963</v>
      </c>
      <c r="G413" t="s">
        <v>1004</v>
      </c>
      <c r="H413" t="s">
        <v>1023</v>
      </c>
      <c r="I413">
        <v>2143</v>
      </c>
      <c r="J413" s="3">
        <v>725.64</v>
      </c>
      <c r="K413" s="3">
        <v>1555046.52</v>
      </c>
      <c r="L413">
        <v>340</v>
      </c>
      <c r="M413" t="s">
        <v>400</v>
      </c>
      <c r="N413" s="16">
        <f t="shared" si="31"/>
        <v>45931</v>
      </c>
      <c r="O413" t="s">
        <v>64</v>
      </c>
      <c r="P413" t="str">
        <f t="shared" si="32"/>
        <v>October 2025</v>
      </c>
      <c r="Q413" t="s">
        <v>966</v>
      </c>
      <c r="R413" s="8">
        <v>17378.97</v>
      </c>
      <c r="S413" s="8">
        <f t="shared" si="33"/>
        <v>1572425.49</v>
      </c>
      <c r="T413" s="6">
        <f t="shared" si="34"/>
        <v>-1</v>
      </c>
    </row>
    <row r="414" spans="1:20" x14ac:dyDescent="0.3">
      <c r="A414" t="s">
        <v>1489</v>
      </c>
      <c r="B414" s="13" t="s">
        <v>1185</v>
      </c>
      <c r="C414" s="16">
        <f t="shared" si="30"/>
        <v>45717</v>
      </c>
      <c r="D414" t="s">
        <v>1003</v>
      </c>
      <c r="E414" t="s">
        <v>962</v>
      </c>
      <c r="F414" t="s">
        <v>971</v>
      </c>
      <c r="G414" t="s">
        <v>1004</v>
      </c>
      <c r="H414" t="s">
        <v>1023</v>
      </c>
      <c r="I414">
        <v>1992</v>
      </c>
      <c r="J414" s="3">
        <v>328.77</v>
      </c>
      <c r="K414" s="3">
        <v>654909.84</v>
      </c>
      <c r="L414">
        <v>219</v>
      </c>
      <c r="M414" t="s">
        <v>1490</v>
      </c>
      <c r="N414" s="16">
        <f t="shared" si="31"/>
        <v>45717</v>
      </c>
      <c r="O414" t="s">
        <v>1185</v>
      </c>
      <c r="P414" t="str">
        <f t="shared" si="32"/>
        <v>March 2025</v>
      </c>
      <c r="Q414" t="s">
        <v>966</v>
      </c>
      <c r="R414" s="8">
        <v>7715.03</v>
      </c>
      <c r="S414" s="8">
        <f t="shared" si="33"/>
        <v>662624.87</v>
      </c>
      <c r="T414" s="6">
        <f t="shared" si="34"/>
        <v>-1</v>
      </c>
    </row>
    <row r="415" spans="1:20" x14ac:dyDescent="0.3">
      <c r="A415" t="s">
        <v>1491</v>
      </c>
      <c r="B415" s="13" t="s">
        <v>380</v>
      </c>
      <c r="C415" s="16">
        <f t="shared" si="30"/>
        <v>45992</v>
      </c>
      <c r="D415" t="s">
        <v>1003</v>
      </c>
      <c r="E415" t="s">
        <v>987</v>
      </c>
      <c r="F415" t="s">
        <v>971</v>
      </c>
      <c r="G415" t="s">
        <v>1015</v>
      </c>
      <c r="H415" t="s">
        <v>977</v>
      </c>
      <c r="I415">
        <v>282</v>
      </c>
      <c r="J415" s="3">
        <v>129.13999999999999</v>
      </c>
      <c r="K415" s="3">
        <v>36417.480000000003</v>
      </c>
      <c r="L415">
        <v>273</v>
      </c>
      <c r="M415" t="s">
        <v>389</v>
      </c>
      <c r="N415" s="16">
        <f t="shared" si="31"/>
        <v>45992</v>
      </c>
      <c r="O415" t="s">
        <v>389</v>
      </c>
      <c r="P415" t="str">
        <f t="shared" si="32"/>
        <v>December 2025</v>
      </c>
      <c r="Q415" t="s">
        <v>966</v>
      </c>
      <c r="R415" s="8">
        <v>14655.15</v>
      </c>
      <c r="S415" s="8">
        <f t="shared" si="33"/>
        <v>51072.630000000005</v>
      </c>
      <c r="T415" s="6">
        <f t="shared" si="34"/>
        <v>0</v>
      </c>
    </row>
    <row r="416" spans="1:20" x14ac:dyDescent="0.3">
      <c r="A416" t="s">
        <v>1492</v>
      </c>
      <c r="B416" s="13" t="s">
        <v>469</v>
      </c>
      <c r="C416" s="16">
        <f t="shared" si="30"/>
        <v>45717</v>
      </c>
      <c r="D416" t="s">
        <v>955</v>
      </c>
      <c r="E416" t="s">
        <v>990</v>
      </c>
      <c r="F416" t="s">
        <v>956</v>
      </c>
      <c r="G416" t="s">
        <v>988</v>
      </c>
      <c r="H416" t="s">
        <v>973</v>
      </c>
      <c r="I416">
        <v>91</v>
      </c>
      <c r="J416" s="3">
        <v>276.69</v>
      </c>
      <c r="K416" s="3">
        <v>25178.79</v>
      </c>
      <c r="L416">
        <v>35</v>
      </c>
      <c r="M416" t="s">
        <v>178</v>
      </c>
      <c r="N416" s="16">
        <f t="shared" si="31"/>
        <v>45717</v>
      </c>
      <c r="O416" t="s">
        <v>178</v>
      </c>
      <c r="P416" t="str">
        <f t="shared" si="32"/>
        <v>March 2025</v>
      </c>
      <c r="Q416" t="s">
        <v>966</v>
      </c>
      <c r="R416" s="8">
        <v>1302</v>
      </c>
      <c r="S416" s="8">
        <f t="shared" si="33"/>
        <v>26480.79</v>
      </c>
      <c r="T416" s="6">
        <f t="shared" si="34"/>
        <v>0</v>
      </c>
    </row>
    <row r="417" spans="1:20" x14ac:dyDescent="0.3">
      <c r="A417" t="s">
        <v>1493</v>
      </c>
      <c r="B417" s="13" t="s">
        <v>143</v>
      </c>
      <c r="C417" s="16">
        <f t="shared" si="30"/>
        <v>45778</v>
      </c>
      <c r="D417" t="s">
        <v>968</v>
      </c>
      <c r="E417" t="s">
        <v>43</v>
      </c>
      <c r="F417" t="s">
        <v>956</v>
      </c>
      <c r="G417" t="s">
        <v>1152</v>
      </c>
      <c r="H417" t="s">
        <v>1018</v>
      </c>
      <c r="I417">
        <v>2007</v>
      </c>
      <c r="J417" s="3">
        <v>801.82</v>
      </c>
      <c r="K417" s="3">
        <v>1609252.74</v>
      </c>
      <c r="L417">
        <v>215</v>
      </c>
      <c r="M417" t="s">
        <v>161</v>
      </c>
      <c r="N417" s="16">
        <f t="shared" si="31"/>
        <v>45778</v>
      </c>
      <c r="O417" t="s">
        <v>143</v>
      </c>
      <c r="P417" t="str">
        <f t="shared" si="32"/>
        <v>May 2025</v>
      </c>
      <c r="Q417" t="s">
        <v>966</v>
      </c>
      <c r="R417" s="8">
        <v>10956.24</v>
      </c>
      <c r="S417" s="8">
        <f t="shared" si="33"/>
        <v>1620208.98</v>
      </c>
      <c r="T417" s="6">
        <f t="shared" si="34"/>
        <v>-1</v>
      </c>
    </row>
    <row r="418" spans="1:20" x14ac:dyDescent="0.3">
      <c r="A418" t="s">
        <v>1494</v>
      </c>
      <c r="B418" s="13" t="s">
        <v>833</v>
      </c>
      <c r="C418" s="16">
        <f t="shared" si="30"/>
        <v>45870</v>
      </c>
      <c r="D418" t="s">
        <v>955</v>
      </c>
      <c r="E418" t="s">
        <v>987</v>
      </c>
      <c r="F418" t="s">
        <v>980</v>
      </c>
      <c r="G418" t="s">
        <v>996</v>
      </c>
      <c r="H418" t="s">
        <v>958</v>
      </c>
      <c r="I418">
        <v>2280</v>
      </c>
      <c r="J418" s="3">
        <v>624.59</v>
      </c>
      <c r="K418" s="3">
        <v>1424065.2</v>
      </c>
      <c r="L418">
        <v>480</v>
      </c>
      <c r="M418" t="s">
        <v>670</v>
      </c>
      <c r="N418" s="16">
        <f t="shared" si="31"/>
        <v>45870</v>
      </c>
      <c r="O418" t="s">
        <v>377</v>
      </c>
      <c r="P418" t="str">
        <f t="shared" si="32"/>
        <v>August 2025</v>
      </c>
      <c r="Q418" t="s">
        <v>959</v>
      </c>
      <c r="R418" s="8">
        <v>22966.76</v>
      </c>
      <c r="S418" s="8">
        <f t="shared" si="33"/>
        <v>1447031.96</v>
      </c>
      <c r="T418" s="6">
        <f t="shared" si="34"/>
        <v>3</v>
      </c>
    </row>
    <row r="419" spans="1:20" x14ac:dyDescent="0.3">
      <c r="A419" t="s">
        <v>1495</v>
      </c>
      <c r="B419" s="13" t="s">
        <v>513</v>
      </c>
      <c r="C419" s="16">
        <f t="shared" si="30"/>
        <v>45809</v>
      </c>
      <c r="D419" t="s">
        <v>1011</v>
      </c>
      <c r="E419" t="s">
        <v>49</v>
      </c>
      <c r="F419" t="s">
        <v>956</v>
      </c>
      <c r="G419" t="s">
        <v>1068</v>
      </c>
      <c r="H419" t="s">
        <v>992</v>
      </c>
      <c r="I419">
        <v>2059</v>
      </c>
      <c r="J419" s="3">
        <v>380.08</v>
      </c>
      <c r="K419" s="3">
        <v>782584.72</v>
      </c>
      <c r="L419">
        <v>42</v>
      </c>
      <c r="M419" t="s">
        <v>737</v>
      </c>
      <c r="N419" s="16">
        <f t="shared" si="31"/>
        <v>45809</v>
      </c>
      <c r="O419" t="s">
        <v>737</v>
      </c>
      <c r="P419" t="str">
        <f t="shared" si="32"/>
        <v>June 2025</v>
      </c>
      <c r="Q419" t="s">
        <v>966</v>
      </c>
      <c r="R419" s="8">
        <v>2578.04</v>
      </c>
      <c r="S419" s="8">
        <f t="shared" si="33"/>
        <v>785162.76</v>
      </c>
      <c r="T419" s="6">
        <f t="shared" si="34"/>
        <v>0</v>
      </c>
    </row>
    <row r="420" spans="1:20" x14ac:dyDescent="0.3">
      <c r="A420" t="s">
        <v>1496</v>
      </c>
      <c r="B420" s="13" t="s">
        <v>866</v>
      </c>
      <c r="C420" s="16">
        <f t="shared" si="30"/>
        <v>45658</v>
      </c>
      <c r="D420" t="s">
        <v>955</v>
      </c>
      <c r="E420" t="s">
        <v>49</v>
      </c>
      <c r="F420" t="s">
        <v>980</v>
      </c>
      <c r="G420" t="s">
        <v>981</v>
      </c>
      <c r="H420" t="s">
        <v>1018</v>
      </c>
      <c r="I420">
        <v>1315</v>
      </c>
      <c r="J420" s="3">
        <v>374.32</v>
      </c>
      <c r="K420" s="3">
        <v>492230.8</v>
      </c>
      <c r="L420">
        <v>600</v>
      </c>
      <c r="M420" t="s">
        <v>313</v>
      </c>
      <c r="N420" s="16">
        <f t="shared" si="31"/>
        <v>45658</v>
      </c>
      <c r="O420" t="s">
        <v>313</v>
      </c>
      <c r="P420" t="str">
        <f t="shared" si="32"/>
        <v>January 2025</v>
      </c>
      <c r="Q420" t="s">
        <v>966</v>
      </c>
      <c r="R420" s="8">
        <v>0</v>
      </c>
      <c r="S420" s="8">
        <f t="shared" si="33"/>
        <v>492230.8</v>
      </c>
      <c r="T420" s="6">
        <f t="shared" si="34"/>
        <v>0</v>
      </c>
    </row>
    <row r="421" spans="1:20" x14ac:dyDescent="0.3">
      <c r="A421" t="s">
        <v>1497</v>
      </c>
      <c r="B421" s="13" t="s">
        <v>116</v>
      </c>
      <c r="C421" s="16">
        <f t="shared" si="30"/>
        <v>45748</v>
      </c>
      <c r="D421" t="s">
        <v>984</v>
      </c>
      <c r="E421" t="s">
        <v>49</v>
      </c>
      <c r="F421" t="s">
        <v>980</v>
      </c>
      <c r="G421" t="s">
        <v>1026</v>
      </c>
      <c r="H421" t="s">
        <v>958</v>
      </c>
      <c r="I421">
        <v>983</v>
      </c>
      <c r="J421" s="3">
        <v>373.44</v>
      </c>
      <c r="K421" s="3">
        <v>367091.52</v>
      </c>
      <c r="L421">
        <v>424</v>
      </c>
      <c r="M421" t="s">
        <v>539</v>
      </c>
      <c r="N421" s="16">
        <f t="shared" si="31"/>
        <v>45748</v>
      </c>
      <c r="O421" t="s">
        <v>223</v>
      </c>
      <c r="P421" t="str">
        <f t="shared" si="32"/>
        <v>April 2025</v>
      </c>
      <c r="Q421" t="s">
        <v>959</v>
      </c>
      <c r="R421" s="8">
        <v>20620.919999999998</v>
      </c>
      <c r="S421" s="8">
        <f t="shared" si="33"/>
        <v>387712.44</v>
      </c>
      <c r="T421" s="6">
        <f t="shared" si="34"/>
        <v>2</v>
      </c>
    </row>
    <row r="422" spans="1:20" x14ac:dyDescent="0.3">
      <c r="A422" t="s">
        <v>1498</v>
      </c>
      <c r="B422" s="13" t="s">
        <v>53</v>
      </c>
      <c r="C422" s="16">
        <f t="shared" si="30"/>
        <v>45689</v>
      </c>
      <c r="D422" t="s">
        <v>955</v>
      </c>
      <c r="E422" t="s">
        <v>33</v>
      </c>
      <c r="F422" t="s">
        <v>971</v>
      </c>
      <c r="G422" t="s">
        <v>1040</v>
      </c>
      <c r="H422" t="s">
        <v>992</v>
      </c>
      <c r="I422">
        <v>1160</v>
      </c>
      <c r="J422" s="3">
        <v>659.96</v>
      </c>
      <c r="K422" s="3">
        <v>765553.6</v>
      </c>
      <c r="L422">
        <v>518</v>
      </c>
      <c r="M422" t="s">
        <v>923</v>
      </c>
      <c r="N422" s="16">
        <f t="shared" si="31"/>
        <v>45689</v>
      </c>
      <c r="O422" t="s">
        <v>923</v>
      </c>
      <c r="P422" t="str">
        <f t="shared" si="32"/>
        <v>February 2025</v>
      </c>
      <c r="Q422" t="s">
        <v>966</v>
      </c>
      <c r="R422" s="8">
        <v>22703.95</v>
      </c>
      <c r="S422" s="8">
        <f t="shared" si="33"/>
        <v>788257.54999999993</v>
      </c>
      <c r="T422" s="6">
        <f t="shared" si="34"/>
        <v>0</v>
      </c>
    </row>
    <row r="423" spans="1:20" x14ac:dyDescent="0.3">
      <c r="A423" t="s">
        <v>1499</v>
      </c>
      <c r="B423" s="13" t="s">
        <v>172</v>
      </c>
      <c r="C423" s="16">
        <f t="shared" si="30"/>
        <v>45658</v>
      </c>
      <c r="D423" t="s">
        <v>1011</v>
      </c>
      <c r="E423" t="s">
        <v>962</v>
      </c>
      <c r="F423" t="s">
        <v>963</v>
      </c>
      <c r="G423" t="s">
        <v>1132</v>
      </c>
      <c r="H423" t="s">
        <v>965</v>
      </c>
      <c r="I423">
        <v>1800</v>
      </c>
      <c r="J423" s="3">
        <v>542.44000000000005</v>
      </c>
      <c r="K423" s="3">
        <v>976392</v>
      </c>
      <c r="L423">
        <v>116</v>
      </c>
      <c r="M423" t="s">
        <v>273</v>
      </c>
      <c r="N423" s="16">
        <f t="shared" si="31"/>
        <v>45658</v>
      </c>
      <c r="O423" t="s">
        <v>46</v>
      </c>
      <c r="P423" t="str">
        <f t="shared" si="32"/>
        <v>February 2025</v>
      </c>
      <c r="Q423" t="s">
        <v>959</v>
      </c>
      <c r="R423" s="8">
        <v>4655.21</v>
      </c>
      <c r="S423" s="8">
        <f t="shared" si="33"/>
        <v>981047.21</v>
      </c>
      <c r="T423" s="6">
        <f t="shared" si="34"/>
        <v>3</v>
      </c>
    </row>
    <row r="424" spans="1:20" x14ac:dyDescent="0.3">
      <c r="A424" t="s">
        <v>1500</v>
      </c>
      <c r="B424" s="13" t="s">
        <v>263</v>
      </c>
      <c r="C424" s="16">
        <f t="shared" si="30"/>
        <v>45689</v>
      </c>
      <c r="D424" t="s">
        <v>968</v>
      </c>
      <c r="E424" t="s">
        <v>990</v>
      </c>
      <c r="F424" t="s">
        <v>971</v>
      </c>
      <c r="G424" t="s">
        <v>1012</v>
      </c>
      <c r="H424" t="s">
        <v>965</v>
      </c>
      <c r="I424">
        <v>1412</v>
      </c>
      <c r="J424" s="3">
        <v>180.18</v>
      </c>
      <c r="K424" s="3">
        <v>254414.16</v>
      </c>
      <c r="L424">
        <v>358</v>
      </c>
      <c r="M424" t="s">
        <v>385</v>
      </c>
      <c r="N424" s="16">
        <f t="shared" si="31"/>
        <v>45689</v>
      </c>
      <c r="O424" t="s">
        <v>385</v>
      </c>
      <c r="P424" t="str">
        <f t="shared" si="32"/>
        <v>February 2025</v>
      </c>
      <c r="Q424" t="s">
        <v>966</v>
      </c>
      <c r="R424" s="8">
        <v>16199.13</v>
      </c>
      <c r="S424" s="8">
        <f t="shared" si="33"/>
        <v>270613.28999999998</v>
      </c>
      <c r="T424" s="6">
        <f t="shared" si="34"/>
        <v>0</v>
      </c>
    </row>
    <row r="425" spans="1:20" x14ac:dyDescent="0.3">
      <c r="A425" t="s">
        <v>1501</v>
      </c>
      <c r="B425" s="13" t="s">
        <v>438</v>
      </c>
      <c r="C425" s="16">
        <f t="shared" si="30"/>
        <v>45658</v>
      </c>
      <c r="D425" t="s">
        <v>968</v>
      </c>
      <c r="E425" t="s">
        <v>33</v>
      </c>
      <c r="F425" t="s">
        <v>956</v>
      </c>
      <c r="G425" t="s">
        <v>1221</v>
      </c>
      <c r="H425" t="s">
        <v>965</v>
      </c>
      <c r="I425">
        <v>2219</v>
      </c>
      <c r="J425" s="3">
        <v>705.77</v>
      </c>
      <c r="K425" s="3">
        <v>1566103.63</v>
      </c>
      <c r="L425">
        <v>552</v>
      </c>
      <c r="M425" t="s">
        <v>717</v>
      </c>
      <c r="N425" s="16">
        <f t="shared" si="31"/>
        <v>45658</v>
      </c>
      <c r="O425" t="s">
        <v>717</v>
      </c>
      <c r="P425" t="str">
        <f t="shared" si="32"/>
        <v>January 2025</v>
      </c>
      <c r="Q425" t="s">
        <v>966</v>
      </c>
      <c r="R425" s="8">
        <v>31065.439999999999</v>
      </c>
      <c r="S425" s="8">
        <f t="shared" si="33"/>
        <v>1597169.0699999998</v>
      </c>
      <c r="T425" s="6">
        <f t="shared" si="34"/>
        <v>0</v>
      </c>
    </row>
    <row r="426" spans="1:20" x14ac:dyDescent="0.3">
      <c r="A426" t="s">
        <v>1502</v>
      </c>
      <c r="B426" s="13" t="s">
        <v>64</v>
      </c>
      <c r="C426" s="16">
        <f t="shared" si="30"/>
        <v>45931</v>
      </c>
      <c r="D426" t="s">
        <v>984</v>
      </c>
      <c r="E426" t="s">
        <v>962</v>
      </c>
      <c r="F426" t="s">
        <v>980</v>
      </c>
      <c r="G426" t="s">
        <v>996</v>
      </c>
      <c r="H426" t="s">
        <v>973</v>
      </c>
      <c r="I426">
        <v>461</v>
      </c>
      <c r="J426" s="3">
        <v>289.35000000000002</v>
      </c>
      <c r="K426" s="3">
        <v>133390.35</v>
      </c>
      <c r="L426">
        <v>70</v>
      </c>
      <c r="M426" t="s">
        <v>400</v>
      </c>
      <c r="N426" s="16">
        <f t="shared" si="31"/>
        <v>45931</v>
      </c>
      <c r="O426" t="s">
        <v>275</v>
      </c>
      <c r="P426" t="str">
        <f t="shared" si="32"/>
        <v>October 2025</v>
      </c>
      <c r="Q426" t="s">
        <v>959</v>
      </c>
      <c r="R426" s="8">
        <v>2813.37</v>
      </c>
      <c r="S426" s="8">
        <f t="shared" si="33"/>
        <v>136203.72</v>
      </c>
      <c r="T426" s="6">
        <f t="shared" si="34"/>
        <v>1</v>
      </c>
    </row>
    <row r="427" spans="1:20" x14ac:dyDescent="0.3">
      <c r="A427" t="s">
        <v>1503</v>
      </c>
      <c r="B427" s="13" t="s">
        <v>350</v>
      </c>
      <c r="C427" s="16">
        <f t="shared" si="30"/>
        <v>45931</v>
      </c>
      <c r="D427" t="s">
        <v>1021</v>
      </c>
      <c r="E427" t="s">
        <v>43</v>
      </c>
      <c r="F427" t="s">
        <v>971</v>
      </c>
      <c r="G427" t="s">
        <v>1221</v>
      </c>
      <c r="H427" t="s">
        <v>958</v>
      </c>
      <c r="I427">
        <v>1604</v>
      </c>
      <c r="J427" s="3">
        <v>207.53</v>
      </c>
      <c r="K427" s="3">
        <v>332878.12</v>
      </c>
      <c r="L427">
        <v>102</v>
      </c>
      <c r="M427" t="s">
        <v>23</v>
      </c>
      <c r="N427" s="16">
        <f t="shared" si="31"/>
        <v>45931</v>
      </c>
      <c r="O427" t="s">
        <v>138</v>
      </c>
      <c r="P427" t="str">
        <f t="shared" si="32"/>
        <v>October 2025</v>
      </c>
      <c r="Q427" t="s">
        <v>959</v>
      </c>
      <c r="R427" s="8">
        <v>6148.99</v>
      </c>
      <c r="S427" s="8">
        <f t="shared" si="33"/>
        <v>339027.11</v>
      </c>
      <c r="T427" s="6">
        <f t="shared" si="34"/>
        <v>2</v>
      </c>
    </row>
    <row r="428" spans="1:20" x14ac:dyDescent="0.3">
      <c r="A428" t="s">
        <v>1504</v>
      </c>
      <c r="B428" s="13" t="s">
        <v>340</v>
      </c>
      <c r="C428" s="16">
        <f t="shared" si="30"/>
        <v>45748</v>
      </c>
      <c r="D428" t="s">
        <v>955</v>
      </c>
      <c r="E428" t="s">
        <v>33</v>
      </c>
      <c r="F428" t="s">
        <v>956</v>
      </c>
      <c r="G428" t="s">
        <v>1072</v>
      </c>
      <c r="H428" t="s">
        <v>965</v>
      </c>
      <c r="I428">
        <v>1250</v>
      </c>
      <c r="J428" s="3">
        <v>73.56</v>
      </c>
      <c r="K428" s="3">
        <v>91950</v>
      </c>
      <c r="L428">
        <v>556</v>
      </c>
      <c r="M428" t="s">
        <v>1147</v>
      </c>
      <c r="N428" s="16">
        <f t="shared" si="31"/>
        <v>45748</v>
      </c>
      <c r="O428" t="s">
        <v>167</v>
      </c>
      <c r="P428" t="str">
        <f t="shared" si="32"/>
        <v>April 2025</v>
      </c>
      <c r="Q428" t="s">
        <v>966</v>
      </c>
      <c r="R428" s="8">
        <v>32388.97</v>
      </c>
      <c r="S428" s="8">
        <f t="shared" si="33"/>
        <v>124338.97</v>
      </c>
      <c r="T428" s="6">
        <f t="shared" si="34"/>
        <v>-1</v>
      </c>
    </row>
    <row r="429" spans="1:20" x14ac:dyDescent="0.3">
      <c r="A429" t="s">
        <v>1505</v>
      </c>
      <c r="B429" s="13" t="s">
        <v>566</v>
      </c>
      <c r="C429" s="16">
        <f t="shared" si="30"/>
        <v>45901</v>
      </c>
      <c r="D429" t="s">
        <v>975</v>
      </c>
      <c r="E429" t="s">
        <v>49</v>
      </c>
      <c r="F429" t="s">
        <v>971</v>
      </c>
      <c r="G429" t="s">
        <v>1026</v>
      </c>
      <c r="H429" t="s">
        <v>1023</v>
      </c>
      <c r="I429">
        <v>1569</v>
      </c>
      <c r="J429" s="3">
        <v>681.71</v>
      </c>
      <c r="K429" s="3">
        <v>1069602.99</v>
      </c>
      <c r="L429">
        <v>544</v>
      </c>
      <c r="M429" t="s">
        <v>1177</v>
      </c>
      <c r="N429" s="16">
        <f t="shared" si="31"/>
        <v>45901</v>
      </c>
      <c r="O429" t="s">
        <v>1177</v>
      </c>
      <c r="P429" t="str">
        <f t="shared" si="32"/>
        <v>September 2025</v>
      </c>
      <c r="Q429" t="s">
        <v>966</v>
      </c>
      <c r="R429" s="8">
        <v>33342.550000000003</v>
      </c>
      <c r="S429" s="8">
        <f t="shared" si="33"/>
        <v>1102945.54</v>
      </c>
      <c r="T429" s="6">
        <f t="shared" si="34"/>
        <v>0</v>
      </c>
    </row>
    <row r="430" spans="1:20" x14ac:dyDescent="0.3">
      <c r="A430" t="s">
        <v>1506</v>
      </c>
      <c r="B430" s="13" t="s">
        <v>819</v>
      </c>
      <c r="C430" s="16">
        <f t="shared" si="30"/>
        <v>45748</v>
      </c>
      <c r="D430" t="s">
        <v>984</v>
      </c>
      <c r="E430" t="s">
        <v>987</v>
      </c>
      <c r="F430" t="s">
        <v>971</v>
      </c>
      <c r="G430" t="s">
        <v>1087</v>
      </c>
      <c r="H430" t="s">
        <v>992</v>
      </c>
      <c r="I430">
        <v>1032</v>
      </c>
      <c r="J430" s="3">
        <v>183.79</v>
      </c>
      <c r="K430" s="3">
        <v>189671.28</v>
      </c>
      <c r="L430">
        <v>199</v>
      </c>
      <c r="M430" t="s">
        <v>412</v>
      </c>
      <c r="N430" s="16">
        <f t="shared" si="31"/>
        <v>45748</v>
      </c>
      <c r="O430" t="s">
        <v>539</v>
      </c>
      <c r="P430" t="str">
        <f t="shared" si="32"/>
        <v>April 2025</v>
      </c>
      <c r="Q430" t="s">
        <v>959</v>
      </c>
      <c r="R430" s="8">
        <v>11778.1</v>
      </c>
      <c r="S430" s="8">
        <f t="shared" si="33"/>
        <v>201449.38</v>
      </c>
      <c r="T430" s="6">
        <f t="shared" si="34"/>
        <v>4</v>
      </c>
    </row>
    <row r="431" spans="1:20" x14ac:dyDescent="0.3">
      <c r="A431" t="s">
        <v>1507</v>
      </c>
      <c r="B431" s="13" t="s">
        <v>566</v>
      </c>
      <c r="C431" s="16">
        <f t="shared" si="30"/>
        <v>45901</v>
      </c>
      <c r="D431" t="s">
        <v>968</v>
      </c>
      <c r="E431" t="s">
        <v>43</v>
      </c>
      <c r="F431" t="s">
        <v>963</v>
      </c>
      <c r="G431" t="s">
        <v>1015</v>
      </c>
      <c r="H431" t="s">
        <v>965</v>
      </c>
      <c r="I431">
        <v>1770</v>
      </c>
      <c r="J431" s="3">
        <v>891.96</v>
      </c>
      <c r="K431" s="3">
        <v>1578769.2</v>
      </c>
      <c r="L431">
        <v>82</v>
      </c>
      <c r="M431" t="s">
        <v>564</v>
      </c>
      <c r="N431" s="16">
        <f t="shared" si="31"/>
        <v>45901</v>
      </c>
      <c r="O431" t="s">
        <v>1177</v>
      </c>
      <c r="P431" t="str">
        <f t="shared" si="32"/>
        <v>September 2025</v>
      </c>
      <c r="Q431" t="s">
        <v>959</v>
      </c>
      <c r="R431" s="8">
        <v>3046.6</v>
      </c>
      <c r="S431" s="8">
        <f t="shared" si="33"/>
        <v>1581815.8</v>
      </c>
      <c r="T431" s="6">
        <f t="shared" si="34"/>
        <v>1</v>
      </c>
    </row>
    <row r="432" spans="1:20" x14ac:dyDescent="0.3">
      <c r="A432" t="s">
        <v>1508</v>
      </c>
      <c r="B432" s="13" t="s">
        <v>1144</v>
      </c>
      <c r="C432" s="16">
        <f t="shared" si="30"/>
        <v>45870</v>
      </c>
      <c r="D432" t="s">
        <v>1021</v>
      </c>
      <c r="E432" t="s">
        <v>962</v>
      </c>
      <c r="F432" t="s">
        <v>963</v>
      </c>
      <c r="G432" t="s">
        <v>1072</v>
      </c>
      <c r="H432" t="s">
        <v>973</v>
      </c>
      <c r="I432">
        <v>593</v>
      </c>
      <c r="J432" s="3">
        <v>402</v>
      </c>
      <c r="K432" s="3">
        <v>238386</v>
      </c>
      <c r="L432">
        <v>424</v>
      </c>
      <c r="M432" t="s">
        <v>377</v>
      </c>
      <c r="N432" s="16">
        <f t="shared" si="31"/>
        <v>45870</v>
      </c>
      <c r="O432" t="s">
        <v>1059</v>
      </c>
      <c r="P432" t="str">
        <f t="shared" si="32"/>
        <v>August 2025</v>
      </c>
      <c r="Q432" t="s">
        <v>959</v>
      </c>
      <c r="R432" s="8">
        <v>19086.47</v>
      </c>
      <c r="S432" s="8">
        <f t="shared" si="33"/>
        <v>257472.47</v>
      </c>
      <c r="T432" s="6">
        <f t="shared" si="34"/>
        <v>4</v>
      </c>
    </row>
    <row r="433" spans="1:20" x14ac:dyDescent="0.3">
      <c r="A433" t="s">
        <v>1509</v>
      </c>
      <c r="B433" s="13" t="s">
        <v>852</v>
      </c>
      <c r="C433" s="16">
        <f t="shared" si="30"/>
        <v>45839</v>
      </c>
      <c r="D433" t="s">
        <v>975</v>
      </c>
      <c r="E433" t="s">
        <v>33</v>
      </c>
      <c r="F433" t="s">
        <v>971</v>
      </c>
      <c r="G433" t="s">
        <v>994</v>
      </c>
      <c r="H433" t="s">
        <v>973</v>
      </c>
      <c r="I433">
        <v>1788</v>
      </c>
      <c r="J433" s="3">
        <v>393.64</v>
      </c>
      <c r="K433" s="3">
        <v>703828.32</v>
      </c>
      <c r="L433">
        <v>247</v>
      </c>
      <c r="M433" t="s">
        <v>430</v>
      </c>
      <c r="N433" s="16">
        <f t="shared" si="31"/>
        <v>45839</v>
      </c>
      <c r="O433" t="s">
        <v>430</v>
      </c>
      <c r="P433" t="str">
        <f t="shared" si="32"/>
        <v>July 2025</v>
      </c>
      <c r="Q433" t="s">
        <v>966</v>
      </c>
      <c r="R433" s="8">
        <v>10832.95</v>
      </c>
      <c r="S433" s="8">
        <f t="shared" si="33"/>
        <v>714661.2699999999</v>
      </c>
      <c r="T433" s="6">
        <f t="shared" si="34"/>
        <v>0</v>
      </c>
    </row>
    <row r="434" spans="1:20" x14ac:dyDescent="0.3">
      <c r="A434" t="s">
        <v>1510</v>
      </c>
      <c r="B434" s="13" t="s">
        <v>670</v>
      </c>
      <c r="C434" s="16">
        <f t="shared" si="30"/>
        <v>45870</v>
      </c>
      <c r="D434" t="s">
        <v>1021</v>
      </c>
      <c r="E434" t="s">
        <v>33</v>
      </c>
      <c r="F434" t="s">
        <v>971</v>
      </c>
      <c r="G434" t="s">
        <v>1040</v>
      </c>
      <c r="H434" t="s">
        <v>982</v>
      </c>
      <c r="I434">
        <v>577</v>
      </c>
      <c r="J434" s="3">
        <v>141.06</v>
      </c>
      <c r="K434" s="3">
        <v>81391.62</v>
      </c>
      <c r="L434">
        <v>249</v>
      </c>
      <c r="M434" t="s">
        <v>1144</v>
      </c>
      <c r="N434" s="16">
        <f t="shared" si="31"/>
        <v>45870</v>
      </c>
      <c r="O434" t="s">
        <v>670</v>
      </c>
      <c r="P434" t="str">
        <f t="shared" si="32"/>
        <v>August 2025</v>
      </c>
      <c r="Q434" t="s">
        <v>966</v>
      </c>
      <c r="R434" s="8">
        <v>10898.34</v>
      </c>
      <c r="S434" s="8">
        <f t="shared" si="33"/>
        <v>92289.959999999992</v>
      </c>
      <c r="T434" s="6">
        <f t="shared" si="34"/>
        <v>-1</v>
      </c>
    </row>
    <row r="435" spans="1:20" x14ac:dyDescent="0.3">
      <c r="A435" t="s">
        <v>1511</v>
      </c>
      <c r="B435" s="13" t="s">
        <v>435</v>
      </c>
      <c r="C435" s="16">
        <f t="shared" si="30"/>
        <v>45809</v>
      </c>
      <c r="D435" t="s">
        <v>955</v>
      </c>
      <c r="E435" t="s">
        <v>33</v>
      </c>
      <c r="F435" t="s">
        <v>963</v>
      </c>
      <c r="G435" t="s">
        <v>972</v>
      </c>
      <c r="H435" t="s">
        <v>1018</v>
      </c>
      <c r="I435">
        <v>1345</v>
      </c>
      <c r="J435" s="3">
        <v>348.11</v>
      </c>
      <c r="K435" s="3">
        <v>468207.95</v>
      </c>
      <c r="L435">
        <v>214</v>
      </c>
      <c r="M435" t="s">
        <v>145</v>
      </c>
      <c r="N435" s="16">
        <f t="shared" si="31"/>
        <v>45809</v>
      </c>
      <c r="O435" t="s">
        <v>244</v>
      </c>
      <c r="P435" t="str">
        <f t="shared" si="32"/>
        <v>June 2025</v>
      </c>
      <c r="Q435" t="s">
        <v>959</v>
      </c>
      <c r="R435" s="8">
        <v>10745.78</v>
      </c>
      <c r="S435" s="8">
        <f t="shared" si="33"/>
        <v>478953.73000000004</v>
      </c>
      <c r="T435" s="6">
        <f t="shared" si="34"/>
        <v>2</v>
      </c>
    </row>
    <row r="436" spans="1:20" x14ac:dyDescent="0.3">
      <c r="A436" t="s">
        <v>1512</v>
      </c>
      <c r="B436" s="13" t="s">
        <v>908</v>
      </c>
      <c r="C436" s="16">
        <f t="shared" si="30"/>
        <v>45839</v>
      </c>
      <c r="D436" t="s">
        <v>984</v>
      </c>
      <c r="E436" t="s">
        <v>43</v>
      </c>
      <c r="F436" t="s">
        <v>963</v>
      </c>
      <c r="G436" t="s">
        <v>1078</v>
      </c>
      <c r="H436" t="s">
        <v>992</v>
      </c>
      <c r="I436">
        <v>1719</v>
      </c>
      <c r="J436" s="3">
        <v>530.01</v>
      </c>
      <c r="K436" s="3">
        <v>911087.19</v>
      </c>
      <c r="L436">
        <v>240</v>
      </c>
      <c r="M436" t="s">
        <v>56</v>
      </c>
      <c r="N436" s="16">
        <f t="shared" si="31"/>
        <v>45839</v>
      </c>
      <c r="O436" t="s">
        <v>56</v>
      </c>
      <c r="P436" t="str">
        <f t="shared" si="32"/>
        <v>July 2025</v>
      </c>
      <c r="Q436" t="s">
        <v>966</v>
      </c>
      <c r="R436" s="8">
        <v>11640.44</v>
      </c>
      <c r="S436" s="8">
        <f t="shared" si="33"/>
        <v>922727.62999999989</v>
      </c>
      <c r="T436" s="6">
        <f t="shared" si="34"/>
        <v>0</v>
      </c>
    </row>
    <row r="437" spans="1:20" x14ac:dyDescent="0.3">
      <c r="A437" t="s">
        <v>1513</v>
      </c>
      <c r="B437" s="13" t="s">
        <v>195</v>
      </c>
      <c r="C437" s="16">
        <f t="shared" si="30"/>
        <v>45992</v>
      </c>
      <c r="D437" t="s">
        <v>1011</v>
      </c>
      <c r="E437" t="s">
        <v>43</v>
      </c>
      <c r="F437" t="s">
        <v>980</v>
      </c>
      <c r="G437" t="s">
        <v>981</v>
      </c>
      <c r="H437" t="s">
        <v>973</v>
      </c>
      <c r="I437">
        <v>113</v>
      </c>
      <c r="J437" s="3">
        <v>325.64999999999998</v>
      </c>
      <c r="K437" s="3">
        <v>36798.449999999997</v>
      </c>
      <c r="L437">
        <v>525</v>
      </c>
      <c r="M437" t="s">
        <v>656</v>
      </c>
      <c r="N437" s="16">
        <f t="shared" si="31"/>
        <v>45992</v>
      </c>
      <c r="O437" t="s">
        <v>1016</v>
      </c>
      <c r="P437" t="str">
        <f t="shared" si="32"/>
        <v>December 2025</v>
      </c>
      <c r="Q437" t="s">
        <v>966</v>
      </c>
      <c r="R437" s="8">
        <v>27619.63</v>
      </c>
      <c r="S437" s="8">
        <f t="shared" si="33"/>
        <v>64418.080000000002</v>
      </c>
      <c r="T437" s="6">
        <f t="shared" si="34"/>
        <v>-1</v>
      </c>
    </row>
    <row r="438" spans="1:20" x14ac:dyDescent="0.3">
      <c r="A438" t="s">
        <v>1514</v>
      </c>
      <c r="B438" s="13" t="s">
        <v>1245</v>
      </c>
      <c r="C438" s="16">
        <f t="shared" si="30"/>
        <v>45809</v>
      </c>
      <c r="D438" t="s">
        <v>955</v>
      </c>
      <c r="E438" t="s">
        <v>990</v>
      </c>
      <c r="F438" t="s">
        <v>956</v>
      </c>
      <c r="G438" t="s">
        <v>1221</v>
      </c>
      <c r="H438" t="s">
        <v>1018</v>
      </c>
      <c r="I438">
        <v>1024</v>
      </c>
      <c r="J438" s="3">
        <v>730.56</v>
      </c>
      <c r="K438" s="3">
        <v>748093.43999999994</v>
      </c>
      <c r="L438">
        <v>528</v>
      </c>
      <c r="M438" t="s">
        <v>513</v>
      </c>
      <c r="N438" s="16">
        <f t="shared" si="31"/>
        <v>45809</v>
      </c>
      <c r="O438" t="s">
        <v>513</v>
      </c>
      <c r="P438" t="str">
        <f t="shared" si="32"/>
        <v>June 2025</v>
      </c>
      <c r="Q438" t="s">
        <v>966</v>
      </c>
      <c r="R438" s="8">
        <v>22248.25</v>
      </c>
      <c r="S438" s="8">
        <f t="shared" si="33"/>
        <v>770341.69</v>
      </c>
      <c r="T438" s="6">
        <f t="shared" si="34"/>
        <v>0</v>
      </c>
    </row>
    <row r="439" spans="1:20" x14ac:dyDescent="0.3">
      <c r="A439" t="s">
        <v>1515</v>
      </c>
      <c r="B439" s="13" t="s">
        <v>176</v>
      </c>
      <c r="C439" s="16">
        <f t="shared" si="30"/>
        <v>45931</v>
      </c>
      <c r="D439" t="s">
        <v>984</v>
      </c>
      <c r="E439" t="s">
        <v>43</v>
      </c>
      <c r="F439" t="s">
        <v>971</v>
      </c>
      <c r="G439" t="s">
        <v>1072</v>
      </c>
      <c r="H439" t="s">
        <v>1023</v>
      </c>
      <c r="I439">
        <v>1541</v>
      </c>
      <c r="J439" s="3">
        <v>582.1</v>
      </c>
      <c r="K439" s="3">
        <v>897016.1</v>
      </c>
      <c r="L439">
        <v>210</v>
      </c>
      <c r="M439" t="s">
        <v>1055</v>
      </c>
      <c r="N439" s="16">
        <f t="shared" si="31"/>
        <v>45931</v>
      </c>
      <c r="O439" t="s">
        <v>176</v>
      </c>
      <c r="P439" t="str">
        <f t="shared" si="32"/>
        <v>October 2025</v>
      </c>
      <c r="Q439" t="s">
        <v>966</v>
      </c>
      <c r="R439" s="8">
        <v>8540.73</v>
      </c>
      <c r="S439" s="8">
        <f t="shared" si="33"/>
        <v>905556.83</v>
      </c>
      <c r="T439" s="6">
        <f t="shared" si="34"/>
        <v>-1</v>
      </c>
    </row>
    <row r="440" spans="1:20" x14ac:dyDescent="0.3">
      <c r="A440" t="s">
        <v>1516</v>
      </c>
      <c r="B440" s="13" t="s">
        <v>627</v>
      </c>
      <c r="C440" s="16">
        <f t="shared" si="30"/>
        <v>45717</v>
      </c>
      <c r="D440" t="s">
        <v>1011</v>
      </c>
      <c r="E440" t="s">
        <v>990</v>
      </c>
      <c r="F440" t="s">
        <v>971</v>
      </c>
      <c r="G440" t="s">
        <v>1087</v>
      </c>
      <c r="H440" t="s">
        <v>1034</v>
      </c>
      <c r="I440">
        <v>428</v>
      </c>
      <c r="J440" s="3">
        <v>150.93</v>
      </c>
      <c r="K440" s="3">
        <v>64598.04</v>
      </c>
      <c r="L440">
        <v>602</v>
      </c>
      <c r="M440" t="s">
        <v>694</v>
      </c>
      <c r="N440" s="16">
        <f t="shared" si="31"/>
        <v>45717</v>
      </c>
      <c r="O440" t="s">
        <v>577</v>
      </c>
      <c r="P440" t="str">
        <f t="shared" si="32"/>
        <v>March 2025</v>
      </c>
      <c r="Q440" t="s">
        <v>959</v>
      </c>
      <c r="R440" s="8">
        <v>36470.239999999998</v>
      </c>
      <c r="S440" s="8">
        <f t="shared" si="33"/>
        <v>101068.28</v>
      </c>
      <c r="T440" s="6">
        <f t="shared" si="34"/>
        <v>1</v>
      </c>
    </row>
    <row r="441" spans="1:20" x14ac:dyDescent="0.3">
      <c r="A441" t="s">
        <v>1517</v>
      </c>
      <c r="B441" s="13" t="s">
        <v>165</v>
      </c>
      <c r="C441" s="16">
        <f t="shared" si="30"/>
        <v>45778</v>
      </c>
      <c r="D441" t="s">
        <v>975</v>
      </c>
      <c r="E441" t="s">
        <v>43</v>
      </c>
      <c r="F441" t="s">
        <v>971</v>
      </c>
      <c r="G441" t="s">
        <v>1045</v>
      </c>
      <c r="H441" t="s">
        <v>1023</v>
      </c>
      <c r="I441">
        <v>932</v>
      </c>
      <c r="J441" s="3">
        <v>495.67</v>
      </c>
      <c r="K441" s="3">
        <v>461964.44</v>
      </c>
      <c r="L441">
        <v>520</v>
      </c>
      <c r="M441" t="s">
        <v>462</v>
      </c>
      <c r="N441" s="16">
        <f t="shared" si="31"/>
        <v>45809</v>
      </c>
      <c r="O441" t="s">
        <v>462</v>
      </c>
      <c r="P441" t="str">
        <f t="shared" si="32"/>
        <v>June 2025</v>
      </c>
      <c r="Q441" t="s">
        <v>966</v>
      </c>
      <c r="R441" s="8">
        <v>29672.12</v>
      </c>
      <c r="S441" s="8">
        <f t="shared" si="33"/>
        <v>491636.56</v>
      </c>
      <c r="T441" s="6">
        <f t="shared" si="34"/>
        <v>0</v>
      </c>
    </row>
    <row r="442" spans="1:20" x14ac:dyDescent="0.3">
      <c r="A442" t="s">
        <v>1518</v>
      </c>
      <c r="B442" s="13" t="s">
        <v>398</v>
      </c>
      <c r="C442" s="16">
        <f t="shared" si="30"/>
        <v>45748</v>
      </c>
      <c r="D442" t="s">
        <v>961</v>
      </c>
      <c r="E442" t="s">
        <v>43</v>
      </c>
      <c r="F442" t="s">
        <v>971</v>
      </c>
      <c r="G442" t="s">
        <v>976</v>
      </c>
      <c r="H442" t="s">
        <v>1018</v>
      </c>
      <c r="I442">
        <v>1876</v>
      </c>
      <c r="J442" s="3">
        <v>736.22</v>
      </c>
      <c r="K442" s="3">
        <v>1381148.72</v>
      </c>
      <c r="L442">
        <v>584</v>
      </c>
      <c r="M442" t="s">
        <v>412</v>
      </c>
      <c r="N442" s="16">
        <f t="shared" si="31"/>
        <v>45748</v>
      </c>
      <c r="O442" t="s">
        <v>116</v>
      </c>
      <c r="P442" t="str">
        <f t="shared" si="32"/>
        <v>April 2025</v>
      </c>
      <c r="Q442" t="s">
        <v>959</v>
      </c>
      <c r="R442" s="8">
        <v>29944.71</v>
      </c>
      <c r="S442" s="8">
        <f t="shared" si="33"/>
        <v>1411093.43</v>
      </c>
      <c r="T442" s="6">
        <f t="shared" si="34"/>
        <v>2</v>
      </c>
    </row>
    <row r="443" spans="1:20" x14ac:dyDescent="0.3">
      <c r="A443" t="s">
        <v>1519</v>
      </c>
      <c r="B443" s="13" t="s">
        <v>277</v>
      </c>
      <c r="C443" s="16">
        <f t="shared" si="30"/>
        <v>45839</v>
      </c>
      <c r="D443" t="s">
        <v>1021</v>
      </c>
      <c r="E443" t="s">
        <v>962</v>
      </c>
      <c r="F443" t="s">
        <v>956</v>
      </c>
      <c r="G443" t="s">
        <v>1068</v>
      </c>
      <c r="H443" t="s">
        <v>1018</v>
      </c>
      <c r="I443">
        <v>1683</v>
      </c>
      <c r="J443" s="3">
        <v>677.59</v>
      </c>
      <c r="K443" s="3">
        <v>1140383.97</v>
      </c>
      <c r="L443">
        <v>65</v>
      </c>
      <c r="M443" t="s">
        <v>852</v>
      </c>
      <c r="N443" s="16">
        <f t="shared" si="31"/>
        <v>45839</v>
      </c>
      <c r="O443" t="s">
        <v>852</v>
      </c>
      <c r="P443" t="str">
        <f t="shared" si="32"/>
        <v>July 2025</v>
      </c>
      <c r="Q443" t="s">
        <v>966</v>
      </c>
      <c r="R443" s="8">
        <v>3421.86</v>
      </c>
      <c r="S443" s="8">
        <f t="shared" si="33"/>
        <v>1143805.83</v>
      </c>
      <c r="T443" s="6">
        <f t="shared" si="34"/>
        <v>0</v>
      </c>
    </row>
    <row r="444" spans="1:20" x14ac:dyDescent="0.3">
      <c r="A444" t="s">
        <v>1520</v>
      </c>
      <c r="B444" s="13" t="s">
        <v>15</v>
      </c>
      <c r="C444" s="16">
        <f t="shared" si="30"/>
        <v>45689</v>
      </c>
      <c r="D444" t="s">
        <v>968</v>
      </c>
      <c r="E444" t="s">
        <v>990</v>
      </c>
      <c r="F444" t="s">
        <v>956</v>
      </c>
      <c r="G444" t="s">
        <v>988</v>
      </c>
      <c r="H444" t="s">
        <v>1034</v>
      </c>
      <c r="I444">
        <v>736</v>
      </c>
      <c r="J444" s="3">
        <v>553.36</v>
      </c>
      <c r="K444" s="3">
        <v>407272.96000000002</v>
      </c>
      <c r="L444">
        <v>442</v>
      </c>
      <c r="M444" t="s">
        <v>53</v>
      </c>
      <c r="N444" s="16">
        <f t="shared" si="31"/>
        <v>45689</v>
      </c>
      <c r="O444" t="s">
        <v>53</v>
      </c>
      <c r="P444" t="str">
        <f t="shared" si="32"/>
        <v>February 2025</v>
      </c>
      <c r="Q444" t="s">
        <v>966</v>
      </c>
      <c r="R444" s="8">
        <v>21541.07</v>
      </c>
      <c r="S444" s="8">
        <f t="shared" si="33"/>
        <v>428814.03</v>
      </c>
      <c r="T444" s="6">
        <f t="shared" si="34"/>
        <v>0</v>
      </c>
    </row>
    <row r="445" spans="1:20" x14ac:dyDescent="0.3">
      <c r="A445" t="s">
        <v>1521</v>
      </c>
      <c r="B445" s="13" t="s">
        <v>1005</v>
      </c>
      <c r="C445" s="16">
        <f t="shared" si="30"/>
        <v>45839</v>
      </c>
      <c r="D445" t="s">
        <v>968</v>
      </c>
      <c r="E445" t="s">
        <v>962</v>
      </c>
      <c r="F445" t="s">
        <v>956</v>
      </c>
      <c r="G445" t="s">
        <v>1042</v>
      </c>
      <c r="H445" t="s">
        <v>1018</v>
      </c>
      <c r="I445">
        <v>868</v>
      </c>
      <c r="J445" s="3">
        <v>189.53</v>
      </c>
      <c r="K445" s="3">
        <v>164512.04</v>
      </c>
      <c r="L445">
        <v>255</v>
      </c>
      <c r="M445" t="s">
        <v>1360</v>
      </c>
      <c r="N445" s="16">
        <f t="shared" si="31"/>
        <v>45839</v>
      </c>
      <c r="O445" t="s">
        <v>1360</v>
      </c>
      <c r="P445" t="str">
        <f t="shared" si="32"/>
        <v>July 2025</v>
      </c>
      <c r="Q445" t="s">
        <v>966</v>
      </c>
      <c r="R445" s="8">
        <v>15636.22</v>
      </c>
      <c r="S445" s="8">
        <f t="shared" si="33"/>
        <v>180148.26</v>
      </c>
      <c r="T445" s="6">
        <f t="shared" si="34"/>
        <v>0</v>
      </c>
    </row>
    <row r="446" spans="1:20" x14ac:dyDescent="0.3">
      <c r="A446" t="s">
        <v>1522</v>
      </c>
      <c r="B446" s="13" t="s">
        <v>124</v>
      </c>
      <c r="C446" s="16">
        <f t="shared" si="30"/>
        <v>45901</v>
      </c>
      <c r="D446" t="s">
        <v>984</v>
      </c>
      <c r="E446" t="s">
        <v>962</v>
      </c>
      <c r="F446" t="s">
        <v>980</v>
      </c>
      <c r="G446" t="s">
        <v>1152</v>
      </c>
      <c r="H446" t="s">
        <v>973</v>
      </c>
      <c r="I446">
        <v>641</v>
      </c>
      <c r="J446" s="3">
        <v>663.23</v>
      </c>
      <c r="K446" s="3">
        <v>425130.43</v>
      </c>
      <c r="L446">
        <v>690</v>
      </c>
      <c r="M446" t="s">
        <v>246</v>
      </c>
      <c r="N446" s="16">
        <f t="shared" si="31"/>
        <v>45901</v>
      </c>
      <c r="O446" t="s">
        <v>1241</v>
      </c>
      <c r="P446" t="str">
        <f t="shared" si="32"/>
        <v>September 2025</v>
      </c>
      <c r="Q446" t="s">
        <v>959</v>
      </c>
      <c r="R446" s="8">
        <v>37316.730000000003</v>
      </c>
      <c r="S446" s="8">
        <f t="shared" si="33"/>
        <v>462447.16</v>
      </c>
      <c r="T446" s="6">
        <f t="shared" si="34"/>
        <v>2</v>
      </c>
    </row>
    <row r="447" spans="1:20" x14ac:dyDescent="0.3">
      <c r="A447" t="s">
        <v>1523</v>
      </c>
      <c r="B447" s="13" t="s">
        <v>438</v>
      </c>
      <c r="C447" s="16">
        <f t="shared" si="30"/>
        <v>45658</v>
      </c>
      <c r="D447" t="s">
        <v>1003</v>
      </c>
      <c r="E447" t="s">
        <v>33</v>
      </c>
      <c r="F447" t="s">
        <v>980</v>
      </c>
      <c r="G447" t="s">
        <v>972</v>
      </c>
      <c r="H447" t="s">
        <v>1023</v>
      </c>
      <c r="I447">
        <v>2269</v>
      </c>
      <c r="J447" s="3">
        <v>526.77</v>
      </c>
      <c r="K447" s="3">
        <v>1195241.1299999999</v>
      </c>
      <c r="L447">
        <v>470</v>
      </c>
      <c r="M447" t="s">
        <v>717</v>
      </c>
      <c r="N447" s="16">
        <f t="shared" si="31"/>
        <v>45658</v>
      </c>
      <c r="O447" t="s">
        <v>291</v>
      </c>
      <c r="P447" t="str">
        <f t="shared" si="32"/>
        <v>January 2025</v>
      </c>
      <c r="Q447" t="s">
        <v>959</v>
      </c>
      <c r="R447" s="8">
        <v>22719.81</v>
      </c>
      <c r="S447" s="8">
        <f t="shared" si="33"/>
        <v>1217960.94</v>
      </c>
      <c r="T447" s="6">
        <f t="shared" si="34"/>
        <v>2</v>
      </c>
    </row>
    <row r="448" spans="1:20" x14ac:dyDescent="0.3">
      <c r="A448" t="s">
        <v>1524</v>
      </c>
      <c r="B448" s="13" t="s">
        <v>739</v>
      </c>
      <c r="C448" s="16">
        <f t="shared" si="30"/>
        <v>45839</v>
      </c>
      <c r="D448" t="s">
        <v>1011</v>
      </c>
      <c r="E448" t="s">
        <v>43</v>
      </c>
      <c r="F448" t="s">
        <v>971</v>
      </c>
      <c r="G448" t="s">
        <v>985</v>
      </c>
      <c r="H448" t="s">
        <v>977</v>
      </c>
      <c r="I448">
        <v>1394</v>
      </c>
      <c r="J448" s="3">
        <v>555.08000000000004</v>
      </c>
      <c r="K448" s="3">
        <v>773781.52</v>
      </c>
      <c r="L448">
        <v>692</v>
      </c>
      <c r="M448" t="s">
        <v>71</v>
      </c>
      <c r="N448" s="16">
        <f t="shared" si="31"/>
        <v>45839</v>
      </c>
      <c r="O448" t="s">
        <v>633</v>
      </c>
      <c r="P448" t="str">
        <f t="shared" si="32"/>
        <v>July 2025</v>
      </c>
      <c r="Q448" t="s">
        <v>959</v>
      </c>
      <c r="R448" s="8">
        <v>37565.97</v>
      </c>
      <c r="S448" s="8">
        <f t="shared" si="33"/>
        <v>811347.49</v>
      </c>
      <c r="T448" s="6">
        <f t="shared" si="34"/>
        <v>2</v>
      </c>
    </row>
    <row r="449" spans="1:20" x14ac:dyDescent="0.3">
      <c r="A449" t="s">
        <v>1525</v>
      </c>
      <c r="B449" s="13" t="s">
        <v>58</v>
      </c>
      <c r="C449" s="16">
        <f t="shared" si="30"/>
        <v>45992</v>
      </c>
      <c r="D449" t="s">
        <v>1003</v>
      </c>
      <c r="E449" t="s">
        <v>33</v>
      </c>
      <c r="F449" t="s">
        <v>971</v>
      </c>
      <c r="G449" t="s">
        <v>1068</v>
      </c>
      <c r="H449" t="s">
        <v>1000</v>
      </c>
      <c r="I449">
        <v>1803</v>
      </c>
      <c r="J449" s="3">
        <v>806.26</v>
      </c>
      <c r="K449" s="3">
        <v>1453686.78</v>
      </c>
      <c r="L449">
        <v>708</v>
      </c>
      <c r="M449" t="s">
        <v>880</v>
      </c>
      <c r="N449" s="16">
        <f t="shared" si="31"/>
        <v>45992</v>
      </c>
      <c r="O449" t="s">
        <v>296</v>
      </c>
      <c r="P449" t="str">
        <f t="shared" si="32"/>
        <v>December 2025</v>
      </c>
      <c r="Q449" t="s">
        <v>966</v>
      </c>
      <c r="R449" s="8">
        <v>36860.53</v>
      </c>
      <c r="S449" s="8">
        <f t="shared" si="33"/>
        <v>1490547.31</v>
      </c>
      <c r="T449" s="6">
        <f t="shared" si="34"/>
        <v>-1</v>
      </c>
    </row>
    <row r="450" spans="1:20" x14ac:dyDescent="0.3">
      <c r="A450" t="s">
        <v>1526</v>
      </c>
      <c r="B450" s="13" t="s">
        <v>868</v>
      </c>
      <c r="C450" s="16">
        <f t="shared" si="30"/>
        <v>45809</v>
      </c>
      <c r="D450" t="s">
        <v>1021</v>
      </c>
      <c r="E450" t="s">
        <v>43</v>
      </c>
      <c r="F450" t="s">
        <v>956</v>
      </c>
      <c r="G450" t="s">
        <v>972</v>
      </c>
      <c r="H450" t="s">
        <v>992</v>
      </c>
      <c r="I450">
        <v>1807</v>
      </c>
      <c r="J450" s="3">
        <v>453.02</v>
      </c>
      <c r="K450" s="3">
        <v>818607.14</v>
      </c>
      <c r="L450">
        <v>202</v>
      </c>
      <c r="M450" t="s">
        <v>446</v>
      </c>
      <c r="N450" s="16">
        <f t="shared" si="31"/>
        <v>45809</v>
      </c>
      <c r="O450" t="s">
        <v>446</v>
      </c>
      <c r="P450" t="str">
        <f t="shared" si="32"/>
        <v>June 2025</v>
      </c>
      <c r="Q450" t="s">
        <v>966</v>
      </c>
      <c r="R450" s="8">
        <v>12028.36</v>
      </c>
      <c r="S450" s="8">
        <f t="shared" si="33"/>
        <v>830635.5</v>
      </c>
      <c r="T450" s="6">
        <f t="shared" si="34"/>
        <v>0</v>
      </c>
    </row>
    <row r="451" spans="1:20" x14ac:dyDescent="0.3">
      <c r="A451" t="s">
        <v>1527</v>
      </c>
      <c r="B451" s="13" t="s">
        <v>598</v>
      </c>
      <c r="C451" s="16">
        <f t="shared" ref="C451:C514" si="35">DATE(YEAR(B451), MONTH(B451), 1)</f>
        <v>45748</v>
      </c>
      <c r="D451" t="s">
        <v>961</v>
      </c>
      <c r="E451" t="s">
        <v>49</v>
      </c>
      <c r="F451" t="s">
        <v>963</v>
      </c>
      <c r="G451" t="s">
        <v>1068</v>
      </c>
      <c r="H451" t="s">
        <v>1023</v>
      </c>
      <c r="I451">
        <v>924</v>
      </c>
      <c r="J451" s="3">
        <v>195.23</v>
      </c>
      <c r="K451" s="3">
        <v>180392.52</v>
      </c>
      <c r="L451">
        <v>565</v>
      </c>
      <c r="M451" t="s">
        <v>704</v>
      </c>
      <c r="N451" s="16">
        <f t="shared" ref="N451:N514" si="36">DATE(YEAR(M451), MONTH(M451),1)</f>
        <v>45748</v>
      </c>
      <c r="O451" t="s">
        <v>320</v>
      </c>
      <c r="P451" t="str">
        <f t="shared" ref="P451:P514" si="37">TEXT(O451, "mmmm yyyy")</f>
        <v>April 2025</v>
      </c>
      <c r="Q451" t="s">
        <v>966</v>
      </c>
      <c r="R451" s="8">
        <v>28391.67</v>
      </c>
      <c r="S451" s="8">
        <f t="shared" ref="S451:S514" si="38">K451 +R451</f>
        <v>208784.19</v>
      </c>
      <c r="T451" s="6">
        <f t="shared" si="34"/>
        <v>-1</v>
      </c>
    </row>
    <row r="452" spans="1:20" x14ac:dyDescent="0.3">
      <c r="A452" t="s">
        <v>1528</v>
      </c>
      <c r="B452" s="13" t="s">
        <v>694</v>
      </c>
      <c r="C452" s="16">
        <f t="shared" si="35"/>
        <v>45717</v>
      </c>
      <c r="D452" t="s">
        <v>1011</v>
      </c>
      <c r="E452" t="s">
        <v>33</v>
      </c>
      <c r="F452" t="s">
        <v>971</v>
      </c>
      <c r="G452" t="s">
        <v>964</v>
      </c>
      <c r="H452" t="s">
        <v>1000</v>
      </c>
      <c r="I452">
        <v>1368</v>
      </c>
      <c r="J452" s="3">
        <v>193.08</v>
      </c>
      <c r="K452" s="3">
        <v>264133.44</v>
      </c>
      <c r="L452">
        <v>384</v>
      </c>
      <c r="M452" t="s">
        <v>309</v>
      </c>
      <c r="N452" s="16">
        <f t="shared" si="36"/>
        <v>45717</v>
      </c>
      <c r="O452" t="s">
        <v>1105</v>
      </c>
      <c r="P452" t="str">
        <f t="shared" si="37"/>
        <v>March 2025</v>
      </c>
      <c r="Q452" t="s">
        <v>959</v>
      </c>
      <c r="R452" s="8">
        <v>17188.759999999998</v>
      </c>
      <c r="S452" s="8">
        <f t="shared" si="38"/>
        <v>281322.2</v>
      </c>
      <c r="T452" s="6">
        <f t="shared" ref="T452:T515" si="39">O452 -M452</f>
        <v>3</v>
      </c>
    </row>
    <row r="453" spans="1:20" x14ac:dyDescent="0.3">
      <c r="A453" t="s">
        <v>1529</v>
      </c>
      <c r="B453" s="13" t="s">
        <v>422</v>
      </c>
      <c r="C453" s="16">
        <f t="shared" si="35"/>
        <v>45901</v>
      </c>
      <c r="D453" t="s">
        <v>1003</v>
      </c>
      <c r="E453" t="s">
        <v>49</v>
      </c>
      <c r="F453" t="s">
        <v>963</v>
      </c>
      <c r="G453" t="s">
        <v>994</v>
      </c>
      <c r="H453" t="s">
        <v>965</v>
      </c>
      <c r="I453">
        <v>659</v>
      </c>
      <c r="J453" s="3">
        <v>858.29</v>
      </c>
      <c r="K453" s="3">
        <v>565613.11</v>
      </c>
      <c r="L453">
        <v>222</v>
      </c>
      <c r="M453" t="s">
        <v>246</v>
      </c>
      <c r="N453" s="16">
        <f t="shared" si="36"/>
        <v>45901</v>
      </c>
      <c r="O453" t="s">
        <v>1207</v>
      </c>
      <c r="P453" t="str">
        <f t="shared" si="37"/>
        <v>September 2025</v>
      </c>
      <c r="Q453" t="s">
        <v>959</v>
      </c>
      <c r="R453" s="8">
        <v>8949.3700000000008</v>
      </c>
      <c r="S453" s="8">
        <f t="shared" si="38"/>
        <v>574562.48</v>
      </c>
      <c r="T453" s="6">
        <f t="shared" si="39"/>
        <v>3</v>
      </c>
    </row>
    <row r="454" spans="1:20" x14ac:dyDescent="0.3">
      <c r="A454" t="s">
        <v>1530</v>
      </c>
      <c r="B454" s="13" t="s">
        <v>122</v>
      </c>
      <c r="C454" s="16">
        <f t="shared" si="35"/>
        <v>45931</v>
      </c>
      <c r="D454" t="s">
        <v>1011</v>
      </c>
      <c r="E454" t="s">
        <v>990</v>
      </c>
      <c r="F454" t="s">
        <v>956</v>
      </c>
      <c r="G454" t="s">
        <v>964</v>
      </c>
      <c r="H454" t="s">
        <v>992</v>
      </c>
      <c r="I454">
        <v>1976</v>
      </c>
      <c r="J454" s="3">
        <v>647.91</v>
      </c>
      <c r="K454" s="3">
        <v>1280270.1599999999</v>
      </c>
      <c r="L454">
        <v>456</v>
      </c>
      <c r="M454" t="s">
        <v>400</v>
      </c>
      <c r="N454" s="16">
        <f t="shared" si="36"/>
        <v>45931</v>
      </c>
      <c r="O454" t="s">
        <v>400</v>
      </c>
      <c r="P454" t="str">
        <f t="shared" si="37"/>
        <v>October 2025</v>
      </c>
      <c r="Q454" t="s">
        <v>966</v>
      </c>
      <c r="R454" s="8">
        <v>25396.53</v>
      </c>
      <c r="S454" s="8">
        <f t="shared" si="38"/>
        <v>1305666.69</v>
      </c>
      <c r="T454" s="6">
        <f t="shared" si="39"/>
        <v>0</v>
      </c>
    </row>
    <row r="455" spans="1:20" x14ac:dyDescent="0.3">
      <c r="A455" t="s">
        <v>1531</v>
      </c>
      <c r="B455" s="13" t="s">
        <v>330</v>
      </c>
      <c r="C455" s="16">
        <f t="shared" si="35"/>
        <v>45992</v>
      </c>
      <c r="D455" t="s">
        <v>975</v>
      </c>
      <c r="E455" t="s">
        <v>987</v>
      </c>
      <c r="F455" t="s">
        <v>971</v>
      </c>
      <c r="G455" t="s">
        <v>985</v>
      </c>
      <c r="H455" t="s">
        <v>1034</v>
      </c>
      <c r="I455">
        <v>826</v>
      </c>
      <c r="J455" s="3">
        <v>582.96</v>
      </c>
      <c r="K455" s="3">
        <v>481524.96</v>
      </c>
      <c r="L455">
        <v>150</v>
      </c>
      <c r="M455" t="s">
        <v>679</v>
      </c>
      <c r="N455" s="16">
        <f t="shared" si="36"/>
        <v>45992</v>
      </c>
      <c r="O455" t="s">
        <v>330</v>
      </c>
      <c r="P455" t="str">
        <f t="shared" si="37"/>
        <v>December 2025</v>
      </c>
      <c r="Q455" t="s">
        <v>966</v>
      </c>
      <c r="R455" s="8">
        <v>5483.94</v>
      </c>
      <c r="S455" s="8">
        <f t="shared" si="38"/>
        <v>487008.9</v>
      </c>
      <c r="T455" s="6">
        <f t="shared" si="39"/>
        <v>-1</v>
      </c>
    </row>
    <row r="456" spans="1:20" x14ac:dyDescent="0.3">
      <c r="A456" t="s">
        <v>1532</v>
      </c>
      <c r="B456" s="13" t="s">
        <v>770</v>
      </c>
      <c r="C456" s="16">
        <f t="shared" si="35"/>
        <v>45992</v>
      </c>
      <c r="D456" t="s">
        <v>961</v>
      </c>
      <c r="E456" t="s">
        <v>33</v>
      </c>
      <c r="F456" t="s">
        <v>971</v>
      </c>
      <c r="G456" t="s">
        <v>1087</v>
      </c>
      <c r="H456" t="s">
        <v>1034</v>
      </c>
      <c r="I456">
        <v>363</v>
      </c>
      <c r="J456" s="3">
        <v>265.29000000000002</v>
      </c>
      <c r="K456" s="3">
        <v>96300.27</v>
      </c>
      <c r="L456">
        <v>553</v>
      </c>
      <c r="M456" t="s">
        <v>361</v>
      </c>
      <c r="N456" s="16">
        <f t="shared" si="36"/>
        <v>45992</v>
      </c>
      <c r="O456" t="s">
        <v>656</v>
      </c>
      <c r="P456" t="str">
        <f t="shared" si="37"/>
        <v>December 2025</v>
      </c>
      <c r="Q456" t="s">
        <v>959</v>
      </c>
      <c r="R456" s="8">
        <v>31871.83</v>
      </c>
      <c r="S456" s="8">
        <f t="shared" si="38"/>
        <v>128172.1</v>
      </c>
      <c r="T456" s="6">
        <f t="shared" si="39"/>
        <v>3</v>
      </c>
    </row>
    <row r="457" spans="1:20" x14ac:dyDescent="0.3">
      <c r="A457" t="s">
        <v>1533</v>
      </c>
      <c r="B457" s="13" t="s">
        <v>796</v>
      </c>
      <c r="C457" s="16">
        <f t="shared" si="35"/>
        <v>45962</v>
      </c>
      <c r="D457" t="s">
        <v>1003</v>
      </c>
      <c r="E457" t="s">
        <v>33</v>
      </c>
      <c r="F457" t="s">
        <v>971</v>
      </c>
      <c r="G457" t="s">
        <v>976</v>
      </c>
      <c r="H457" t="s">
        <v>1000</v>
      </c>
      <c r="I457">
        <v>1851</v>
      </c>
      <c r="J457" s="3">
        <v>379.63</v>
      </c>
      <c r="K457" s="3">
        <v>702695.13</v>
      </c>
      <c r="L457">
        <v>642</v>
      </c>
      <c r="M457" t="s">
        <v>1049</v>
      </c>
      <c r="N457" s="16">
        <f t="shared" si="36"/>
        <v>45962</v>
      </c>
      <c r="O457" t="s">
        <v>1081</v>
      </c>
      <c r="P457" t="str">
        <f t="shared" si="37"/>
        <v>November 2025</v>
      </c>
      <c r="Q457" t="s">
        <v>959</v>
      </c>
      <c r="R457" s="8">
        <v>38097.89</v>
      </c>
      <c r="S457" s="8">
        <f t="shared" si="38"/>
        <v>740793.02</v>
      </c>
      <c r="T457" s="6">
        <f t="shared" si="39"/>
        <v>2</v>
      </c>
    </row>
    <row r="458" spans="1:20" x14ac:dyDescent="0.3">
      <c r="A458" t="s">
        <v>1534</v>
      </c>
      <c r="B458" s="13" t="s">
        <v>871</v>
      </c>
      <c r="C458" s="16">
        <f t="shared" si="35"/>
        <v>45839</v>
      </c>
      <c r="D458" t="s">
        <v>1003</v>
      </c>
      <c r="E458" t="s">
        <v>43</v>
      </c>
      <c r="F458" t="s">
        <v>956</v>
      </c>
      <c r="G458" t="s">
        <v>998</v>
      </c>
      <c r="H458" t="s">
        <v>977</v>
      </c>
      <c r="I458">
        <v>1517</v>
      </c>
      <c r="J458" s="3">
        <v>496.93</v>
      </c>
      <c r="K458" s="3">
        <v>753842.81</v>
      </c>
      <c r="L458">
        <v>17</v>
      </c>
      <c r="M458" t="s">
        <v>633</v>
      </c>
      <c r="N458" s="16">
        <f t="shared" si="36"/>
        <v>45839</v>
      </c>
      <c r="O458" t="s">
        <v>56</v>
      </c>
      <c r="P458" t="str">
        <f t="shared" si="37"/>
        <v>July 2025</v>
      </c>
      <c r="Q458" t="s">
        <v>959</v>
      </c>
      <c r="R458" s="8">
        <v>619.72</v>
      </c>
      <c r="S458" s="8">
        <f t="shared" si="38"/>
        <v>754462.53</v>
      </c>
      <c r="T458" s="6">
        <f t="shared" si="39"/>
        <v>3</v>
      </c>
    </row>
    <row r="459" spans="1:20" x14ac:dyDescent="0.3">
      <c r="A459" t="s">
        <v>1535</v>
      </c>
      <c r="B459" s="13" t="s">
        <v>1154</v>
      </c>
      <c r="C459" s="16">
        <f t="shared" si="35"/>
        <v>45748</v>
      </c>
      <c r="D459" t="s">
        <v>984</v>
      </c>
      <c r="E459" t="s">
        <v>43</v>
      </c>
      <c r="F459" t="s">
        <v>971</v>
      </c>
      <c r="G459" t="s">
        <v>1132</v>
      </c>
      <c r="H459" t="s">
        <v>1000</v>
      </c>
      <c r="I459">
        <v>53</v>
      </c>
      <c r="J459" s="3">
        <v>496.69</v>
      </c>
      <c r="K459" s="3">
        <v>26324.57</v>
      </c>
      <c r="L459">
        <v>394</v>
      </c>
      <c r="M459" t="s">
        <v>1107</v>
      </c>
      <c r="N459" s="16">
        <f t="shared" si="36"/>
        <v>45748</v>
      </c>
      <c r="O459" t="s">
        <v>604</v>
      </c>
      <c r="P459" t="str">
        <f t="shared" si="37"/>
        <v>April 2025</v>
      </c>
      <c r="Q459" t="s">
        <v>966</v>
      </c>
      <c r="R459" s="8">
        <v>21429.68</v>
      </c>
      <c r="S459" s="8">
        <f t="shared" si="38"/>
        <v>47754.25</v>
      </c>
      <c r="T459" s="6">
        <f t="shared" si="39"/>
        <v>-1</v>
      </c>
    </row>
    <row r="460" spans="1:20" x14ac:dyDescent="0.3">
      <c r="A460" t="s">
        <v>1536</v>
      </c>
      <c r="B460" s="13" t="s">
        <v>622</v>
      </c>
      <c r="C460" s="16">
        <f t="shared" si="35"/>
        <v>45931</v>
      </c>
      <c r="D460" t="s">
        <v>961</v>
      </c>
      <c r="E460" t="s">
        <v>33</v>
      </c>
      <c r="F460" t="s">
        <v>956</v>
      </c>
      <c r="G460" t="s">
        <v>1042</v>
      </c>
      <c r="H460" t="s">
        <v>973</v>
      </c>
      <c r="I460">
        <v>646</v>
      </c>
      <c r="J460" s="3">
        <v>872.26</v>
      </c>
      <c r="K460" s="3">
        <v>563479.96</v>
      </c>
      <c r="L460">
        <v>373</v>
      </c>
      <c r="M460" t="s">
        <v>1191</v>
      </c>
      <c r="N460" s="16">
        <f t="shared" si="36"/>
        <v>45931</v>
      </c>
      <c r="O460" t="s">
        <v>798</v>
      </c>
      <c r="P460" t="str">
        <f t="shared" si="37"/>
        <v>October 2025</v>
      </c>
      <c r="Q460" t="s">
        <v>966</v>
      </c>
      <c r="R460" s="8">
        <v>18628.02</v>
      </c>
      <c r="S460" s="8">
        <f t="shared" si="38"/>
        <v>582107.98</v>
      </c>
      <c r="T460" s="6">
        <f t="shared" si="39"/>
        <v>-1</v>
      </c>
    </row>
    <row r="461" spans="1:20" x14ac:dyDescent="0.3">
      <c r="A461" t="s">
        <v>1537</v>
      </c>
      <c r="B461" s="13" t="s">
        <v>1127</v>
      </c>
      <c r="C461" s="16">
        <f t="shared" si="35"/>
        <v>45839</v>
      </c>
      <c r="D461" t="s">
        <v>1021</v>
      </c>
      <c r="E461" t="s">
        <v>962</v>
      </c>
      <c r="F461" t="s">
        <v>963</v>
      </c>
      <c r="G461" t="s">
        <v>988</v>
      </c>
      <c r="H461" t="s">
        <v>958</v>
      </c>
      <c r="I461">
        <v>2468</v>
      </c>
      <c r="J461" s="3">
        <v>882.71</v>
      </c>
      <c r="K461" s="3">
        <v>2178528.2799999998</v>
      </c>
      <c r="L461">
        <v>584</v>
      </c>
      <c r="M461" t="s">
        <v>871</v>
      </c>
      <c r="N461" s="16">
        <f t="shared" si="36"/>
        <v>45839</v>
      </c>
      <c r="O461" t="s">
        <v>71</v>
      </c>
      <c r="P461" t="str">
        <f t="shared" si="37"/>
        <v>July 2025</v>
      </c>
      <c r="Q461" t="s">
        <v>966</v>
      </c>
      <c r="R461" s="8">
        <v>28673.68</v>
      </c>
      <c r="S461" s="8">
        <f t="shared" si="38"/>
        <v>2207201.96</v>
      </c>
      <c r="T461" s="6">
        <f t="shared" si="39"/>
        <v>-1</v>
      </c>
    </row>
    <row r="462" spans="1:20" x14ac:dyDescent="0.3">
      <c r="A462" t="s">
        <v>1538</v>
      </c>
      <c r="B462" s="13" t="s">
        <v>412</v>
      </c>
      <c r="C462" s="16">
        <f t="shared" si="35"/>
        <v>45748</v>
      </c>
      <c r="D462" t="s">
        <v>968</v>
      </c>
      <c r="E462" t="s">
        <v>962</v>
      </c>
      <c r="F462" t="s">
        <v>956</v>
      </c>
      <c r="G462" t="s">
        <v>1068</v>
      </c>
      <c r="H462" t="s">
        <v>965</v>
      </c>
      <c r="I462">
        <v>1519</v>
      </c>
      <c r="J462" s="3">
        <v>259.66000000000003</v>
      </c>
      <c r="K462" s="3">
        <v>394423.54</v>
      </c>
      <c r="L462">
        <v>483</v>
      </c>
      <c r="M462" t="s">
        <v>116</v>
      </c>
      <c r="N462" s="16">
        <f t="shared" si="36"/>
        <v>45748</v>
      </c>
      <c r="O462" t="s">
        <v>300</v>
      </c>
      <c r="P462" t="str">
        <f t="shared" si="37"/>
        <v>April 2025</v>
      </c>
      <c r="Q462" t="s">
        <v>966</v>
      </c>
      <c r="R462" s="8">
        <v>19890.53</v>
      </c>
      <c r="S462" s="8">
        <f t="shared" si="38"/>
        <v>414314.06999999995</v>
      </c>
      <c r="T462" s="6">
        <f t="shared" si="39"/>
        <v>-1</v>
      </c>
    </row>
    <row r="463" spans="1:20" x14ac:dyDescent="0.3">
      <c r="A463" t="s">
        <v>1539</v>
      </c>
      <c r="B463" s="13" t="s">
        <v>398</v>
      </c>
      <c r="C463" s="16">
        <f t="shared" si="35"/>
        <v>45748</v>
      </c>
      <c r="D463" t="s">
        <v>961</v>
      </c>
      <c r="E463" t="s">
        <v>43</v>
      </c>
      <c r="F463" t="s">
        <v>963</v>
      </c>
      <c r="G463" t="s">
        <v>1038</v>
      </c>
      <c r="H463" t="s">
        <v>1023</v>
      </c>
      <c r="I463">
        <v>564</v>
      </c>
      <c r="J463" s="3">
        <v>150.91999999999999</v>
      </c>
      <c r="K463" s="3">
        <v>85118.88</v>
      </c>
      <c r="L463">
        <v>389</v>
      </c>
      <c r="M463" t="s">
        <v>412</v>
      </c>
      <c r="N463" s="16">
        <f t="shared" si="36"/>
        <v>45748</v>
      </c>
      <c r="O463" t="s">
        <v>819</v>
      </c>
      <c r="P463" t="str">
        <f t="shared" si="37"/>
        <v>April 2025</v>
      </c>
      <c r="Q463" t="s">
        <v>966</v>
      </c>
      <c r="R463" s="8">
        <v>21371.8</v>
      </c>
      <c r="S463" s="8">
        <f t="shared" si="38"/>
        <v>106490.68000000001</v>
      </c>
      <c r="T463" s="6">
        <f t="shared" si="39"/>
        <v>-1</v>
      </c>
    </row>
    <row r="464" spans="1:20" x14ac:dyDescent="0.3">
      <c r="A464" t="s">
        <v>1540</v>
      </c>
      <c r="B464" s="13" t="s">
        <v>406</v>
      </c>
      <c r="C464" s="16">
        <f t="shared" si="35"/>
        <v>45748</v>
      </c>
      <c r="D464" t="s">
        <v>984</v>
      </c>
      <c r="E464" t="s">
        <v>43</v>
      </c>
      <c r="F464" t="s">
        <v>971</v>
      </c>
      <c r="G464" t="s">
        <v>981</v>
      </c>
      <c r="H464" t="s">
        <v>1023</v>
      </c>
      <c r="I464">
        <v>2224</v>
      </c>
      <c r="J464" s="3">
        <v>837.23</v>
      </c>
      <c r="K464" s="3">
        <v>1861999.52</v>
      </c>
      <c r="L464">
        <v>94</v>
      </c>
      <c r="M464" t="s">
        <v>403</v>
      </c>
      <c r="N464" s="16">
        <f t="shared" si="36"/>
        <v>45748</v>
      </c>
      <c r="O464" t="s">
        <v>406</v>
      </c>
      <c r="P464" t="str">
        <f t="shared" si="37"/>
        <v>April 2025</v>
      </c>
      <c r="Q464" t="s">
        <v>966</v>
      </c>
      <c r="R464" s="8">
        <v>3878.88</v>
      </c>
      <c r="S464" s="8">
        <f t="shared" si="38"/>
        <v>1865878.4</v>
      </c>
      <c r="T464" s="6">
        <f t="shared" si="39"/>
        <v>-1</v>
      </c>
    </row>
    <row r="465" spans="1:20" x14ac:dyDescent="0.3">
      <c r="A465" t="s">
        <v>1541</v>
      </c>
      <c r="B465" s="13" t="s">
        <v>923</v>
      </c>
      <c r="C465" s="16">
        <f t="shared" si="35"/>
        <v>45689</v>
      </c>
      <c r="D465" t="s">
        <v>1011</v>
      </c>
      <c r="E465" t="s">
        <v>43</v>
      </c>
      <c r="F465" t="s">
        <v>980</v>
      </c>
      <c r="G465" t="s">
        <v>1040</v>
      </c>
      <c r="H465" t="s">
        <v>1000</v>
      </c>
      <c r="I465">
        <v>2407</v>
      </c>
      <c r="J465" s="3">
        <v>867.81</v>
      </c>
      <c r="K465" s="3">
        <v>2088818.67</v>
      </c>
      <c r="L465">
        <v>123</v>
      </c>
      <c r="M465" t="s">
        <v>476</v>
      </c>
      <c r="N465" s="16">
        <f t="shared" si="36"/>
        <v>45689</v>
      </c>
      <c r="O465" t="s">
        <v>347</v>
      </c>
      <c r="P465" t="str">
        <f t="shared" si="37"/>
        <v>February 2025</v>
      </c>
      <c r="Q465" t="s">
        <v>959</v>
      </c>
      <c r="R465" s="8">
        <v>5273.7</v>
      </c>
      <c r="S465" s="8">
        <f t="shared" si="38"/>
        <v>2094092.3699999999</v>
      </c>
      <c r="T465" s="6">
        <f t="shared" si="39"/>
        <v>1</v>
      </c>
    </row>
    <row r="466" spans="1:20" x14ac:dyDescent="0.3">
      <c r="A466" t="s">
        <v>1542</v>
      </c>
      <c r="B466" s="13" t="s">
        <v>932</v>
      </c>
      <c r="C466" s="16">
        <f t="shared" si="35"/>
        <v>45992</v>
      </c>
      <c r="D466" t="s">
        <v>1011</v>
      </c>
      <c r="E466" t="s">
        <v>962</v>
      </c>
      <c r="F466" t="s">
        <v>971</v>
      </c>
      <c r="G466" t="s">
        <v>1068</v>
      </c>
      <c r="H466" t="s">
        <v>973</v>
      </c>
      <c r="I466">
        <v>2451</v>
      </c>
      <c r="J466" s="3">
        <v>234.14</v>
      </c>
      <c r="K466" s="3">
        <v>573877.14</v>
      </c>
      <c r="L466">
        <v>390</v>
      </c>
      <c r="M466" t="s">
        <v>880</v>
      </c>
      <c r="N466" s="16">
        <f t="shared" si="36"/>
        <v>45992</v>
      </c>
      <c r="O466" t="s">
        <v>880</v>
      </c>
      <c r="P466" t="str">
        <f t="shared" si="37"/>
        <v>December 2025</v>
      </c>
      <c r="Q466" t="s">
        <v>966</v>
      </c>
      <c r="R466" s="8">
        <v>17681.150000000001</v>
      </c>
      <c r="S466" s="8">
        <f t="shared" si="38"/>
        <v>591558.29</v>
      </c>
      <c r="T466" s="6">
        <f t="shared" si="39"/>
        <v>0</v>
      </c>
    </row>
    <row r="467" spans="1:20" x14ac:dyDescent="0.3">
      <c r="A467" t="s">
        <v>1543</v>
      </c>
      <c r="B467" s="13" t="s">
        <v>552</v>
      </c>
      <c r="C467" s="16">
        <f t="shared" si="35"/>
        <v>45748</v>
      </c>
      <c r="D467" t="s">
        <v>1003</v>
      </c>
      <c r="E467" t="s">
        <v>990</v>
      </c>
      <c r="F467" t="s">
        <v>971</v>
      </c>
      <c r="G467" t="s">
        <v>981</v>
      </c>
      <c r="H467" t="s">
        <v>977</v>
      </c>
      <c r="I467">
        <v>2149</v>
      </c>
      <c r="J467" s="3">
        <v>165.01</v>
      </c>
      <c r="K467" s="3">
        <v>354606.49</v>
      </c>
      <c r="L467">
        <v>680</v>
      </c>
      <c r="M467" t="s">
        <v>340</v>
      </c>
      <c r="N467" s="16">
        <f t="shared" si="36"/>
        <v>45748</v>
      </c>
      <c r="O467" t="s">
        <v>340</v>
      </c>
      <c r="P467" t="str">
        <f t="shared" si="37"/>
        <v>April 2025</v>
      </c>
      <c r="Q467" t="s">
        <v>966</v>
      </c>
      <c r="R467" s="8">
        <v>24026.49</v>
      </c>
      <c r="S467" s="8">
        <f t="shared" si="38"/>
        <v>378632.98</v>
      </c>
      <c r="T467" s="6">
        <f t="shared" si="39"/>
        <v>0</v>
      </c>
    </row>
    <row r="468" spans="1:20" x14ac:dyDescent="0.3">
      <c r="A468" t="s">
        <v>1544</v>
      </c>
      <c r="B468" s="13" t="s">
        <v>1545</v>
      </c>
      <c r="C468" s="16">
        <f t="shared" si="35"/>
        <v>45658</v>
      </c>
      <c r="D468" t="s">
        <v>984</v>
      </c>
      <c r="E468" t="s">
        <v>33</v>
      </c>
      <c r="F468" t="s">
        <v>971</v>
      </c>
      <c r="G468" t="s">
        <v>976</v>
      </c>
      <c r="H468" t="s">
        <v>965</v>
      </c>
      <c r="I468">
        <v>719</v>
      </c>
      <c r="J468" s="3">
        <v>97.86</v>
      </c>
      <c r="K468" s="3">
        <v>70361.34</v>
      </c>
      <c r="L468">
        <v>285</v>
      </c>
      <c r="M468" t="s">
        <v>1546</v>
      </c>
      <c r="N468" s="16">
        <f t="shared" si="36"/>
        <v>45658</v>
      </c>
      <c r="O468" t="s">
        <v>273</v>
      </c>
      <c r="P468" t="str">
        <f t="shared" si="37"/>
        <v>January 2025</v>
      </c>
      <c r="Q468" t="s">
        <v>959</v>
      </c>
      <c r="R468" s="8">
        <v>17265.12</v>
      </c>
      <c r="S468" s="8">
        <f t="shared" si="38"/>
        <v>87626.459999999992</v>
      </c>
      <c r="T468" s="6">
        <f t="shared" si="39"/>
        <v>2</v>
      </c>
    </row>
    <row r="469" spans="1:20" x14ac:dyDescent="0.3">
      <c r="A469" t="s">
        <v>1547</v>
      </c>
      <c r="B469" s="13" t="s">
        <v>1069</v>
      </c>
      <c r="C469" s="16">
        <f t="shared" si="35"/>
        <v>45778</v>
      </c>
      <c r="D469" t="s">
        <v>955</v>
      </c>
      <c r="E469" t="s">
        <v>49</v>
      </c>
      <c r="F469" t="s">
        <v>971</v>
      </c>
      <c r="G469" t="s">
        <v>988</v>
      </c>
      <c r="H469" t="s">
        <v>992</v>
      </c>
      <c r="I469">
        <v>1096</v>
      </c>
      <c r="J469" s="3">
        <v>650.16999999999996</v>
      </c>
      <c r="K469" s="3">
        <v>712586.32</v>
      </c>
      <c r="L469">
        <v>80</v>
      </c>
      <c r="M469" t="s">
        <v>1125</v>
      </c>
      <c r="N469" s="16">
        <f t="shared" si="36"/>
        <v>45778</v>
      </c>
      <c r="O469" t="s">
        <v>1125</v>
      </c>
      <c r="P469" t="str">
        <f t="shared" si="37"/>
        <v>May 2025</v>
      </c>
      <c r="Q469" t="s">
        <v>966</v>
      </c>
      <c r="R469" s="8">
        <v>3944.43</v>
      </c>
      <c r="S469" s="8">
        <f t="shared" si="38"/>
        <v>716530.75</v>
      </c>
      <c r="T469" s="6">
        <f t="shared" si="39"/>
        <v>0</v>
      </c>
    </row>
    <row r="470" spans="1:20" x14ac:dyDescent="0.3">
      <c r="A470" t="s">
        <v>1548</v>
      </c>
      <c r="B470" s="13" t="s">
        <v>785</v>
      </c>
      <c r="C470" s="16">
        <f t="shared" si="35"/>
        <v>45748</v>
      </c>
      <c r="D470" t="s">
        <v>968</v>
      </c>
      <c r="E470" t="s">
        <v>33</v>
      </c>
      <c r="F470" t="s">
        <v>956</v>
      </c>
      <c r="G470" t="s">
        <v>972</v>
      </c>
      <c r="H470" t="s">
        <v>1034</v>
      </c>
      <c r="I470">
        <v>2002</v>
      </c>
      <c r="J470" s="3">
        <v>439.85</v>
      </c>
      <c r="K470" s="3">
        <v>880579.7</v>
      </c>
      <c r="L470">
        <v>589</v>
      </c>
      <c r="M470" t="s">
        <v>604</v>
      </c>
      <c r="N470" s="16">
        <f t="shared" si="36"/>
        <v>45748</v>
      </c>
      <c r="O470" t="s">
        <v>1154</v>
      </c>
      <c r="P470" t="str">
        <f t="shared" si="37"/>
        <v>April 2025</v>
      </c>
      <c r="Q470" t="s">
        <v>966</v>
      </c>
      <c r="R470" s="8">
        <v>35816.5</v>
      </c>
      <c r="S470" s="8">
        <f t="shared" si="38"/>
        <v>916396.2</v>
      </c>
      <c r="T470" s="6">
        <f t="shared" si="39"/>
        <v>-1</v>
      </c>
    </row>
    <row r="471" spans="1:20" x14ac:dyDescent="0.3">
      <c r="A471" t="s">
        <v>1549</v>
      </c>
      <c r="B471" s="13" t="s">
        <v>64</v>
      </c>
      <c r="C471" s="16">
        <f t="shared" si="35"/>
        <v>45931</v>
      </c>
      <c r="D471" t="s">
        <v>984</v>
      </c>
      <c r="E471" t="s">
        <v>987</v>
      </c>
      <c r="F471" t="s">
        <v>963</v>
      </c>
      <c r="G471" t="s">
        <v>972</v>
      </c>
      <c r="H471" t="s">
        <v>982</v>
      </c>
      <c r="I471">
        <v>2032</v>
      </c>
      <c r="J471" s="3">
        <v>762.25</v>
      </c>
      <c r="K471" s="3">
        <v>1548892</v>
      </c>
      <c r="L471">
        <v>292</v>
      </c>
      <c r="M471" t="s">
        <v>400</v>
      </c>
      <c r="N471" s="16">
        <f t="shared" si="36"/>
        <v>45931</v>
      </c>
      <c r="O471" t="s">
        <v>210</v>
      </c>
      <c r="P471" t="str">
        <f t="shared" si="37"/>
        <v>October 2025</v>
      </c>
      <c r="Q471" t="s">
        <v>959</v>
      </c>
      <c r="R471" s="8">
        <v>16186.22</v>
      </c>
      <c r="S471" s="8">
        <f t="shared" si="38"/>
        <v>1565078.22</v>
      </c>
      <c r="T471" s="6">
        <f t="shared" si="39"/>
        <v>2</v>
      </c>
    </row>
    <row r="472" spans="1:20" x14ac:dyDescent="0.3">
      <c r="A472" t="s">
        <v>1550</v>
      </c>
      <c r="B472" s="13" t="s">
        <v>1298</v>
      </c>
      <c r="C472" s="16">
        <f t="shared" si="35"/>
        <v>45717</v>
      </c>
      <c r="D472" t="s">
        <v>975</v>
      </c>
      <c r="E472" t="s">
        <v>43</v>
      </c>
      <c r="F472" t="s">
        <v>971</v>
      </c>
      <c r="G472" t="s">
        <v>1132</v>
      </c>
      <c r="H472" t="s">
        <v>1000</v>
      </c>
      <c r="I472">
        <v>1877</v>
      </c>
      <c r="J472" s="3">
        <v>277.19</v>
      </c>
      <c r="K472" s="3">
        <v>520285.63</v>
      </c>
      <c r="L472">
        <v>97</v>
      </c>
      <c r="M472" t="s">
        <v>484</v>
      </c>
      <c r="N472" s="16">
        <f t="shared" si="36"/>
        <v>45717</v>
      </c>
      <c r="O472" t="s">
        <v>484</v>
      </c>
      <c r="P472" t="str">
        <f t="shared" si="37"/>
        <v>March 2025</v>
      </c>
      <c r="Q472" t="s">
        <v>966</v>
      </c>
      <c r="R472" s="8">
        <v>4897.7299999999996</v>
      </c>
      <c r="S472" s="8">
        <f t="shared" si="38"/>
        <v>525183.36</v>
      </c>
      <c r="T472" s="6">
        <f t="shared" si="39"/>
        <v>0</v>
      </c>
    </row>
    <row r="473" spans="1:20" x14ac:dyDescent="0.3">
      <c r="A473" t="s">
        <v>1551</v>
      </c>
      <c r="B473" s="13" t="s">
        <v>887</v>
      </c>
      <c r="C473" s="16">
        <f t="shared" si="35"/>
        <v>45839</v>
      </c>
      <c r="D473" t="s">
        <v>961</v>
      </c>
      <c r="E473" t="s">
        <v>990</v>
      </c>
      <c r="F473" t="s">
        <v>971</v>
      </c>
      <c r="G473" t="s">
        <v>998</v>
      </c>
      <c r="H473" t="s">
        <v>992</v>
      </c>
      <c r="I473">
        <v>2101</v>
      </c>
      <c r="J473" s="3">
        <v>702.52</v>
      </c>
      <c r="K473" s="3">
        <v>1475994.52</v>
      </c>
      <c r="L473">
        <v>657</v>
      </c>
      <c r="M473" t="s">
        <v>522</v>
      </c>
      <c r="N473" s="16">
        <f t="shared" si="36"/>
        <v>45839</v>
      </c>
      <c r="O473" t="s">
        <v>522</v>
      </c>
      <c r="P473" t="str">
        <f t="shared" si="37"/>
        <v>July 2025</v>
      </c>
      <c r="Q473" t="s">
        <v>966</v>
      </c>
      <c r="R473" s="8">
        <v>28945.3</v>
      </c>
      <c r="S473" s="8">
        <f t="shared" si="38"/>
        <v>1504939.82</v>
      </c>
      <c r="T473" s="6">
        <f t="shared" si="39"/>
        <v>0</v>
      </c>
    </row>
    <row r="474" spans="1:20" x14ac:dyDescent="0.3">
      <c r="A474" t="s">
        <v>1552</v>
      </c>
      <c r="B474" s="13" t="s">
        <v>273</v>
      </c>
      <c r="C474" s="16">
        <f t="shared" si="35"/>
        <v>45658</v>
      </c>
      <c r="D474" t="s">
        <v>955</v>
      </c>
      <c r="E474" t="s">
        <v>49</v>
      </c>
      <c r="F474" t="s">
        <v>980</v>
      </c>
      <c r="G474" t="s">
        <v>996</v>
      </c>
      <c r="H474" t="s">
        <v>977</v>
      </c>
      <c r="I474">
        <v>625</v>
      </c>
      <c r="J474" s="3">
        <v>53.76</v>
      </c>
      <c r="K474" s="3">
        <v>33600</v>
      </c>
      <c r="L474">
        <v>604</v>
      </c>
      <c r="M474" t="s">
        <v>459</v>
      </c>
      <c r="N474" s="16">
        <f t="shared" si="36"/>
        <v>45658</v>
      </c>
      <c r="O474" t="s">
        <v>46</v>
      </c>
      <c r="P474" t="str">
        <f t="shared" si="37"/>
        <v>February 2025</v>
      </c>
      <c r="Q474" t="s">
        <v>959</v>
      </c>
      <c r="R474" s="8">
        <v>22156.02</v>
      </c>
      <c r="S474" s="8">
        <f t="shared" si="38"/>
        <v>55756.020000000004</v>
      </c>
      <c r="T474" s="6">
        <f t="shared" si="39"/>
        <v>1</v>
      </c>
    </row>
    <row r="475" spans="1:20" x14ac:dyDescent="0.3">
      <c r="A475" t="s">
        <v>1553</v>
      </c>
      <c r="B475" s="13" t="s">
        <v>1055</v>
      </c>
      <c r="C475" s="16">
        <f t="shared" si="35"/>
        <v>45931</v>
      </c>
      <c r="D475" t="s">
        <v>968</v>
      </c>
      <c r="E475" t="s">
        <v>987</v>
      </c>
      <c r="F475" t="s">
        <v>971</v>
      </c>
      <c r="G475" t="s">
        <v>1051</v>
      </c>
      <c r="H475" t="str">
        <f xml:space="preserve"> "Not Found"</f>
        <v>Not Found</v>
      </c>
      <c r="I475">
        <v>713</v>
      </c>
      <c r="J475" s="3">
        <v>83.28</v>
      </c>
      <c r="K475" s="3">
        <v>59378.64</v>
      </c>
      <c r="L475">
        <v>687</v>
      </c>
      <c r="M475" t="s">
        <v>215</v>
      </c>
      <c r="N475" s="16">
        <f t="shared" si="36"/>
        <v>45931</v>
      </c>
      <c r="O475" t="s">
        <v>215</v>
      </c>
      <c r="P475" t="str">
        <f t="shared" si="37"/>
        <v>October 2025</v>
      </c>
      <c r="Q475" t="s">
        <v>966</v>
      </c>
      <c r="R475" s="8">
        <v>26777.91</v>
      </c>
      <c r="S475" s="8">
        <f t="shared" si="38"/>
        <v>86156.55</v>
      </c>
      <c r="T475" s="6">
        <f t="shared" si="39"/>
        <v>0</v>
      </c>
    </row>
    <row r="476" spans="1:20" x14ac:dyDescent="0.3">
      <c r="A476" t="s">
        <v>1554</v>
      </c>
      <c r="B476" s="13" t="s">
        <v>1010</v>
      </c>
      <c r="C476" s="16">
        <f t="shared" si="35"/>
        <v>45992</v>
      </c>
      <c r="D476" t="s">
        <v>1021</v>
      </c>
      <c r="E476" t="s">
        <v>33</v>
      </c>
      <c r="F476" t="s">
        <v>963</v>
      </c>
      <c r="G476" t="s">
        <v>981</v>
      </c>
      <c r="H476" t="s">
        <v>982</v>
      </c>
      <c r="I476">
        <v>2397</v>
      </c>
      <c r="J476" s="3">
        <v>544.66</v>
      </c>
      <c r="K476" s="3">
        <v>1305550.02</v>
      </c>
      <c r="L476">
        <v>510</v>
      </c>
      <c r="M476" t="s">
        <v>607</v>
      </c>
      <c r="N476" s="16">
        <f t="shared" si="36"/>
        <v>45992</v>
      </c>
      <c r="O476" t="s">
        <v>1016</v>
      </c>
      <c r="P476" t="str">
        <f t="shared" si="37"/>
        <v>December 2025</v>
      </c>
      <c r="Q476" t="s">
        <v>959</v>
      </c>
      <c r="R476" s="8">
        <v>30193.15</v>
      </c>
      <c r="S476" s="8">
        <f t="shared" si="38"/>
        <v>1335743.17</v>
      </c>
      <c r="T476" s="6">
        <f t="shared" si="39"/>
        <v>3</v>
      </c>
    </row>
    <row r="477" spans="1:20" x14ac:dyDescent="0.3">
      <c r="A477" t="s">
        <v>1555</v>
      </c>
      <c r="B477" s="13" t="s">
        <v>453</v>
      </c>
      <c r="C477" s="16">
        <f t="shared" si="35"/>
        <v>45870</v>
      </c>
      <c r="D477" t="s">
        <v>984</v>
      </c>
      <c r="E477" t="s">
        <v>990</v>
      </c>
      <c r="F477" t="s">
        <v>963</v>
      </c>
      <c r="G477" t="s">
        <v>998</v>
      </c>
      <c r="H477" t="s">
        <v>1000</v>
      </c>
      <c r="I477">
        <v>988</v>
      </c>
      <c r="J477" s="3">
        <v>634.97</v>
      </c>
      <c r="K477" s="3">
        <v>627350.36</v>
      </c>
      <c r="L477">
        <v>639</v>
      </c>
      <c r="M477" t="s">
        <v>498</v>
      </c>
      <c r="N477" s="16">
        <f t="shared" si="36"/>
        <v>45870</v>
      </c>
      <c r="O477" t="s">
        <v>498</v>
      </c>
      <c r="P477" t="str">
        <f t="shared" si="37"/>
        <v>August 2025</v>
      </c>
      <c r="Q477" t="s">
        <v>966</v>
      </c>
      <c r="R477" s="8">
        <v>22482</v>
      </c>
      <c r="S477" s="8">
        <f t="shared" si="38"/>
        <v>649832.36</v>
      </c>
      <c r="T477" s="6">
        <f t="shared" si="39"/>
        <v>0</v>
      </c>
    </row>
    <row r="478" spans="1:20" x14ac:dyDescent="0.3">
      <c r="A478" t="s">
        <v>1556</v>
      </c>
      <c r="B478" s="13" t="s">
        <v>598</v>
      </c>
      <c r="C478" s="16">
        <f t="shared" si="35"/>
        <v>45748</v>
      </c>
      <c r="D478" t="s">
        <v>961</v>
      </c>
      <c r="E478" t="s">
        <v>49</v>
      </c>
      <c r="F478" t="s">
        <v>956</v>
      </c>
      <c r="G478" t="s">
        <v>1026</v>
      </c>
      <c r="H478" t="s">
        <v>1018</v>
      </c>
      <c r="I478">
        <v>2391</v>
      </c>
      <c r="J478" s="3">
        <v>787.52</v>
      </c>
      <c r="K478" s="3">
        <v>1882960.32</v>
      </c>
      <c r="L478">
        <v>168</v>
      </c>
      <c r="M478" t="s">
        <v>320</v>
      </c>
      <c r="N478" s="16">
        <f t="shared" si="36"/>
        <v>45748</v>
      </c>
      <c r="O478" t="s">
        <v>320</v>
      </c>
      <c r="P478" t="str">
        <f t="shared" si="37"/>
        <v>April 2025</v>
      </c>
      <c r="Q478" t="s">
        <v>966</v>
      </c>
      <c r="R478" s="8">
        <v>7961.32</v>
      </c>
      <c r="S478" s="8">
        <f t="shared" si="38"/>
        <v>1890921.6400000001</v>
      </c>
      <c r="T478" s="6">
        <f t="shared" si="39"/>
        <v>0</v>
      </c>
    </row>
    <row r="479" spans="1:20" x14ac:dyDescent="0.3">
      <c r="A479" t="s">
        <v>1557</v>
      </c>
      <c r="B479" s="13" t="s">
        <v>624</v>
      </c>
      <c r="C479" s="16">
        <f t="shared" si="35"/>
        <v>45962</v>
      </c>
      <c r="D479" t="s">
        <v>1021</v>
      </c>
      <c r="E479" t="s">
        <v>990</v>
      </c>
      <c r="F479" t="s">
        <v>980</v>
      </c>
      <c r="G479" t="s">
        <v>1012</v>
      </c>
      <c r="H479" t="s">
        <v>1000</v>
      </c>
      <c r="I479">
        <v>2136</v>
      </c>
      <c r="J479" s="3">
        <v>305.43</v>
      </c>
      <c r="K479" s="3">
        <v>652398.48</v>
      </c>
      <c r="L479">
        <v>702</v>
      </c>
      <c r="M479" t="s">
        <v>305</v>
      </c>
      <c r="N479" s="16">
        <f t="shared" si="36"/>
        <v>45962</v>
      </c>
      <c r="O479" t="s">
        <v>305</v>
      </c>
      <c r="P479" t="str">
        <f t="shared" si="37"/>
        <v>November 2025</v>
      </c>
      <c r="Q479" t="s">
        <v>966</v>
      </c>
      <c r="R479" s="8">
        <v>32575.23</v>
      </c>
      <c r="S479" s="8">
        <f t="shared" si="38"/>
        <v>684973.71</v>
      </c>
      <c r="T479" s="6">
        <f t="shared" si="39"/>
        <v>0</v>
      </c>
    </row>
    <row r="480" spans="1:20" x14ac:dyDescent="0.3">
      <c r="A480" t="s">
        <v>1558</v>
      </c>
      <c r="B480" s="13" t="s">
        <v>717</v>
      </c>
      <c r="C480" s="16">
        <f t="shared" si="35"/>
        <v>45658</v>
      </c>
      <c r="D480" t="s">
        <v>955</v>
      </c>
      <c r="E480" t="s">
        <v>49</v>
      </c>
      <c r="F480" t="s">
        <v>980</v>
      </c>
      <c r="G480" t="s">
        <v>1045</v>
      </c>
      <c r="H480" t="s">
        <v>982</v>
      </c>
      <c r="I480">
        <v>808</v>
      </c>
      <c r="J480" s="3">
        <v>623.64</v>
      </c>
      <c r="K480" s="3">
        <v>503901.12</v>
      </c>
      <c r="L480">
        <v>414</v>
      </c>
      <c r="M480" t="s">
        <v>291</v>
      </c>
      <c r="N480" s="16">
        <f t="shared" si="36"/>
        <v>45658</v>
      </c>
      <c r="O480" t="s">
        <v>258</v>
      </c>
      <c r="P480" t="str">
        <f t="shared" si="37"/>
        <v>January 2025</v>
      </c>
      <c r="Q480" t="s">
        <v>959</v>
      </c>
      <c r="R480" s="8">
        <v>16236.28</v>
      </c>
      <c r="S480" s="8">
        <f t="shared" si="38"/>
        <v>520137.4</v>
      </c>
      <c r="T480" s="6">
        <f t="shared" si="39"/>
        <v>2</v>
      </c>
    </row>
    <row r="481" spans="1:20" x14ac:dyDescent="0.3">
      <c r="A481" t="s">
        <v>1559</v>
      </c>
      <c r="B481" s="13" t="s">
        <v>1144</v>
      </c>
      <c r="C481" s="16">
        <f t="shared" si="35"/>
        <v>45870</v>
      </c>
      <c r="D481" t="s">
        <v>1011</v>
      </c>
      <c r="E481" t="s">
        <v>49</v>
      </c>
      <c r="F481" t="s">
        <v>963</v>
      </c>
      <c r="G481" t="s">
        <v>1072</v>
      </c>
      <c r="H481" t="s">
        <v>973</v>
      </c>
      <c r="I481">
        <v>1084</v>
      </c>
      <c r="J481" s="3">
        <v>654.51</v>
      </c>
      <c r="K481" s="3">
        <v>709488.84</v>
      </c>
      <c r="L481">
        <v>190</v>
      </c>
      <c r="M481" t="s">
        <v>289</v>
      </c>
      <c r="N481" s="16">
        <f t="shared" si="36"/>
        <v>45870</v>
      </c>
      <c r="O481" t="s">
        <v>496</v>
      </c>
      <c r="P481" t="str">
        <f t="shared" si="37"/>
        <v>August 2025</v>
      </c>
      <c r="Q481" t="s">
        <v>959</v>
      </c>
      <c r="R481" s="8">
        <v>10363.98</v>
      </c>
      <c r="S481" s="8">
        <f t="shared" si="38"/>
        <v>719852.82</v>
      </c>
      <c r="T481" s="6">
        <f t="shared" si="39"/>
        <v>3</v>
      </c>
    </row>
    <row r="482" spans="1:20" x14ac:dyDescent="0.3">
      <c r="A482" t="s">
        <v>1560</v>
      </c>
      <c r="B482" s="13" t="s">
        <v>837</v>
      </c>
      <c r="C482" s="16">
        <f t="shared" si="35"/>
        <v>45689</v>
      </c>
      <c r="D482" t="s">
        <v>975</v>
      </c>
      <c r="E482" t="s">
        <v>987</v>
      </c>
      <c r="F482" t="s">
        <v>956</v>
      </c>
      <c r="G482" t="s">
        <v>1045</v>
      </c>
      <c r="H482" t="s">
        <v>958</v>
      </c>
      <c r="I482">
        <v>881</v>
      </c>
      <c r="J482" s="3">
        <v>698.05</v>
      </c>
      <c r="K482" s="3">
        <v>614982.05000000005</v>
      </c>
      <c r="L482">
        <v>263</v>
      </c>
      <c r="M482" t="s">
        <v>754</v>
      </c>
      <c r="N482" s="16">
        <f t="shared" si="36"/>
        <v>45689</v>
      </c>
      <c r="O482" t="s">
        <v>363</v>
      </c>
      <c r="P482" t="str">
        <f t="shared" si="37"/>
        <v>February 2025</v>
      </c>
      <c r="Q482" t="s">
        <v>959</v>
      </c>
      <c r="R482" s="8">
        <v>14422.13</v>
      </c>
      <c r="S482" s="8">
        <f t="shared" si="38"/>
        <v>629404.18000000005</v>
      </c>
      <c r="T482" s="6">
        <f t="shared" si="39"/>
        <v>1</v>
      </c>
    </row>
    <row r="483" spans="1:20" x14ac:dyDescent="0.3">
      <c r="A483" t="s">
        <v>1561</v>
      </c>
      <c r="B483" s="13" t="s">
        <v>1118</v>
      </c>
      <c r="C483" s="16">
        <f t="shared" si="35"/>
        <v>45658</v>
      </c>
      <c r="D483" t="s">
        <v>1021</v>
      </c>
      <c r="E483" t="s">
        <v>962</v>
      </c>
      <c r="F483" t="s">
        <v>956</v>
      </c>
      <c r="G483" t="s">
        <v>1026</v>
      </c>
      <c r="H483" t="s">
        <v>1034</v>
      </c>
      <c r="I483">
        <v>2499</v>
      </c>
      <c r="J483" s="3">
        <v>539.66</v>
      </c>
      <c r="K483" s="3">
        <v>1348610.34</v>
      </c>
      <c r="L483">
        <v>656</v>
      </c>
      <c r="M483" t="s">
        <v>307</v>
      </c>
      <c r="N483" s="16">
        <f t="shared" si="36"/>
        <v>45658</v>
      </c>
      <c r="O483" t="s">
        <v>149</v>
      </c>
      <c r="P483" t="str">
        <f t="shared" si="37"/>
        <v>January 2025</v>
      </c>
      <c r="Q483" t="s">
        <v>959</v>
      </c>
      <c r="R483" s="8">
        <v>39866.54</v>
      </c>
      <c r="S483" s="8">
        <f t="shared" si="38"/>
        <v>1388476.8800000001</v>
      </c>
      <c r="T483" s="6">
        <f t="shared" si="39"/>
        <v>3</v>
      </c>
    </row>
    <row r="484" spans="1:20" x14ac:dyDescent="0.3">
      <c r="A484" t="s">
        <v>1562</v>
      </c>
      <c r="B484" s="13" t="s">
        <v>79</v>
      </c>
      <c r="C484" s="16">
        <f t="shared" si="35"/>
        <v>45809</v>
      </c>
      <c r="D484" t="s">
        <v>1003</v>
      </c>
      <c r="E484" t="s">
        <v>990</v>
      </c>
      <c r="F484" t="s">
        <v>956</v>
      </c>
      <c r="G484" t="s">
        <v>1038</v>
      </c>
      <c r="H484" t="s">
        <v>1023</v>
      </c>
      <c r="I484">
        <v>523</v>
      </c>
      <c r="J484" s="3">
        <v>186.47</v>
      </c>
      <c r="K484" s="3">
        <v>97523.81</v>
      </c>
      <c r="L484">
        <v>714</v>
      </c>
      <c r="M484" t="s">
        <v>252</v>
      </c>
      <c r="N484" s="16">
        <f t="shared" si="36"/>
        <v>45809</v>
      </c>
      <c r="O484" t="s">
        <v>180</v>
      </c>
      <c r="P484" t="str">
        <f t="shared" si="37"/>
        <v>June 2025</v>
      </c>
      <c r="Q484" t="s">
        <v>959</v>
      </c>
      <c r="R484" s="8">
        <v>40374.67</v>
      </c>
      <c r="S484" s="8">
        <f t="shared" si="38"/>
        <v>137898.47999999998</v>
      </c>
      <c r="T484" s="6">
        <f t="shared" si="39"/>
        <v>1</v>
      </c>
    </row>
    <row r="485" spans="1:20" x14ac:dyDescent="0.3">
      <c r="A485" t="s">
        <v>1563</v>
      </c>
      <c r="B485" s="13" t="s">
        <v>438</v>
      </c>
      <c r="C485" s="16">
        <f t="shared" si="35"/>
        <v>45658</v>
      </c>
      <c r="D485" t="s">
        <v>961</v>
      </c>
      <c r="E485" t="s">
        <v>49</v>
      </c>
      <c r="F485" t="s">
        <v>980</v>
      </c>
      <c r="G485" t="s">
        <v>1221</v>
      </c>
      <c r="H485" t="s">
        <v>977</v>
      </c>
      <c r="I485">
        <v>2333</v>
      </c>
      <c r="J485" s="3">
        <v>401.89</v>
      </c>
      <c r="K485" s="3">
        <v>937609.37</v>
      </c>
      <c r="L485">
        <v>255</v>
      </c>
      <c r="M485" t="s">
        <v>345</v>
      </c>
      <c r="N485" s="16">
        <f t="shared" si="36"/>
        <v>45658</v>
      </c>
      <c r="O485" t="s">
        <v>717</v>
      </c>
      <c r="P485" t="str">
        <f t="shared" si="37"/>
        <v>January 2025</v>
      </c>
      <c r="Q485" t="s">
        <v>959</v>
      </c>
      <c r="R485" s="8">
        <v>9075.1299999999992</v>
      </c>
      <c r="S485" s="8">
        <f t="shared" si="38"/>
        <v>946684.5</v>
      </c>
      <c r="T485" s="6">
        <f t="shared" si="39"/>
        <v>1</v>
      </c>
    </row>
    <row r="486" spans="1:20" x14ac:dyDescent="0.3">
      <c r="A486" t="s">
        <v>1564</v>
      </c>
      <c r="B486" s="13" t="s">
        <v>466</v>
      </c>
      <c r="C486" s="16">
        <f t="shared" si="35"/>
        <v>45717</v>
      </c>
      <c r="D486" t="s">
        <v>984</v>
      </c>
      <c r="E486" t="s">
        <v>43</v>
      </c>
      <c r="F486" t="s">
        <v>963</v>
      </c>
      <c r="G486" t="s">
        <v>988</v>
      </c>
      <c r="H486" t="s">
        <v>1023</v>
      </c>
      <c r="I486">
        <v>1284</v>
      </c>
      <c r="J486" s="3">
        <v>511.26</v>
      </c>
      <c r="K486" s="3">
        <v>656457.84</v>
      </c>
      <c r="L486">
        <v>130</v>
      </c>
      <c r="M486" t="s">
        <v>86</v>
      </c>
      <c r="N486" s="16">
        <f t="shared" si="36"/>
        <v>45717</v>
      </c>
      <c r="O486" t="s">
        <v>86</v>
      </c>
      <c r="P486" t="str">
        <f t="shared" si="37"/>
        <v>March 2025</v>
      </c>
      <c r="Q486" t="s">
        <v>966</v>
      </c>
      <c r="R486" s="8">
        <v>4570.12</v>
      </c>
      <c r="S486" s="8">
        <f t="shared" si="38"/>
        <v>661027.96</v>
      </c>
      <c r="T486" s="6">
        <f t="shared" si="39"/>
        <v>0</v>
      </c>
    </row>
    <row r="487" spans="1:20" x14ac:dyDescent="0.3">
      <c r="A487" t="s">
        <v>1565</v>
      </c>
      <c r="B487" s="13" t="s">
        <v>1451</v>
      </c>
      <c r="C487" s="16">
        <f t="shared" si="35"/>
        <v>45778</v>
      </c>
      <c r="D487" t="s">
        <v>1021</v>
      </c>
      <c r="E487" t="s">
        <v>33</v>
      </c>
      <c r="F487" t="s">
        <v>963</v>
      </c>
      <c r="G487" t="s">
        <v>1038</v>
      </c>
      <c r="H487" t="s">
        <v>1023</v>
      </c>
      <c r="I487">
        <v>333</v>
      </c>
      <c r="J487" s="3">
        <v>876.97</v>
      </c>
      <c r="K487" s="3">
        <v>292031.01</v>
      </c>
      <c r="L487">
        <v>706</v>
      </c>
      <c r="M487" t="s">
        <v>668</v>
      </c>
      <c r="N487" s="16">
        <f t="shared" si="36"/>
        <v>45778</v>
      </c>
      <c r="O487" t="s">
        <v>668</v>
      </c>
      <c r="P487" t="str">
        <f t="shared" si="37"/>
        <v>May 2025</v>
      </c>
      <c r="Q487" t="s">
        <v>966</v>
      </c>
      <c r="R487" s="8">
        <v>33028.97</v>
      </c>
      <c r="S487" s="8">
        <f t="shared" si="38"/>
        <v>325059.98</v>
      </c>
      <c r="T487" s="6">
        <f t="shared" si="39"/>
        <v>0</v>
      </c>
    </row>
    <row r="488" spans="1:20" x14ac:dyDescent="0.3">
      <c r="A488" t="s">
        <v>1566</v>
      </c>
      <c r="B488" s="13" t="s">
        <v>1567</v>
      </c>
      <c r="C488" s="16">
        <f t="shared" si="35"/>
        <v>45778</v>
      </c>
      <c r="D488" t="s">
        <v>961</v>
      </c>
      <c r="E488" t="s">
        <v>33</v>
      </c>
      <c r="F488" t="s">
        <v>963</v>
      </c>
      <c r="G488" t="s">
        <v>1051</v>
      </c>
      <c r="H488" t="s">
        <v>992</v>
      </c>
      <c r="I488">
        <v>1741</v>
      </c>
      <c r="J488" s="3">
        <v>350.09</v>
      </c>
      <c r="K488" s="3">
        <v>609506.68999999994</v>
      </c>
      <c r="L488">
        <v>175</v>
      </c>
      <c r="M488" t="s">
        <v>219</v>
      </c>
      <c r="N488" s="16">
        <f t="shared" si="36"/>
        <v>45778</v>
      </c>
      <c r="O488" t="s">
        <v>219</v>
      </c>
      <c r="P488" t="str">
        <f t="shared" si="37"/>
        <v>May 2025</v>
      </c>
      <c r="Q488" t="s">
        <v>966</v>
      </c>
      <c r="R488" s="8">
        <v>7660.29</v>
      </c>
      <c r="S488" s="8">
        <f t="shared" si="38"/>
        <v>617166.98</v>
      </c>
      <c r="T488" s="6">
        <f t="shared" si="39"/>
        <v>0</v>
      </c>
    </row>
    <row r="489" spans="1:20" x14ac:dyDescent="0.3">
      <c r="A489" t="s">
        <v>1568</v>
      </c>
      <c r="B489" s="13" t="s">
        <v>287</v>
      </c>
      <c r="C489" s="16">
        <f t="shared" si="35"/>
        <v>45748</v>
      </c>
      <c r="D489" t="s">
        <v>955</v>
      </c>
      <c r="E489" t="s">
        <v>33</v>
      </c>
      <c r="F489" t="s">
        <v>971</v>
      </c>
      <c r="G489" t="s">
        <v>991</v>
      </c>
      <c r="H489" t="s">
        <v>977</v>
      </c>
      <c r="I489">
        <v>449</v>
      </c>
      <c r="J489" s="3">
        <v>608.30999999999995</v>
      </c>
      <c r="K489" s="3">
        <v>273131.19</v>
      </c>
      <c r="L489">
        <v>261</v>
      </c>
      <c r="M489" t="s">
        <v>426</v>
      </c>
      <c r="N489" s="16">
        <f t="shared" si="36"/>
        <v>45748</v>
      </c>
      <c r="O489" t="s">
        <v>448</v>
      </c>
      <c r="P489" t="str">
        <f t="shared" si="37"/>
        <v>April 2025</v>
      </c>
      <c r="Q489" t="s">
        <v>959</v>
      </c>
      <c r="R489" s="8">
        <v>12607.11</v>
      </c>
      <c r="S489" s="8">
        <f t="shared" si="38"/>
        <v>285738.3</v>
      </c>
      <c r="T489" s="6">
        <f t="shared" si="39"/>
        <v>1</v>
      </c>
    </row>
    <row r="490" spans="1:20" x14ac:dyDescent="0.3">
      <c r="A490" t="s">
        <v>1569</v>
      </c>
      <c r="B490" s="13" t="s">
        <v>1097</v>
      </c>
      <c r="C490" s="16">
        <f t="shared" si="35"/>
        <v>45778</v>
      </c>
      <c r="D490" t="s">
        <v>1003</v>
      </c>
      <c r="E490" t="s">
        <v>33</v>
      </c>
      <c r="F490" t="s">
        <v>956</v>
      </c>
      <c r="G490" t="s">
        <v>957</v>
      </c>
      <c r="H490" t="s">
        <v>973</v>
      </c>
      <c r="I490">
        <v>2000</v>
      </c>
      <c r="J490" s="3">
        <v>862.37</v>
      </c>
      <c r="K490" s="3">
        <v>1724740</v>
      </c>
      <c r="L490">
        <v>448</v>
      </c>
      <c r="M490" t="s">
        <v>1099</v>
      </c>
      <c r="N490" s="16">
        <f t="shared" si="36"/>
        <v>45778</v>
      </c>
      <c r="O490" t="s">
        <v>94</v>
      </c>
      <c r="P490" t="str">
        <f t="shared" si="37"/>
        <v>May 2025</v>
      </c>
      <c r="Q490" t="s">
        <v>959</v>
      </c>
      <c r="R490" s="8">
        <v>24057.13</v>
      </c>
      <c r="S490" s="8">
        <f t="shared" si="38"/>
        <v>1748797.13</v>
      </c>
      <c r="T490" s="6">
        <f t="shared" si="39"/>
        <v>2</v>
      </c>
    </row>
    <row r="491" spans="1:20" x14ac:dyDescent="0.3">
      <c r="A491" t="s">
        <v>1570</v>
      </c>
      <c r="B491" s="13" t="s">
        <v>15</v>
      </c>
      <c r="C491" s="16">
        <f t="shared" si="35"/>
        <v>45689</v>
      </c>
      <c r="D491" t="s">
        <v>1003</v>
      </c>
      <c r="E491" t="s">
        <v>987</v>
      </c>
      <c r="F491" t="s">
        <v>971</v>
      </c>
      <c r="G491" t="s">
        <v>998</v>
      </c>
      <c r="H491" t="s">
        <v>1034</v>
      </c>
      <c r="I491">
        <v>967</v>
      </c>
      <c r="J491" s="3">
        <v>339.04</v>
      </c>
      <c r="K491" s="3">
        <v>327851.68</v>
      </c>
      <c r="L491">
        <v>634</v>
      </c>
      <c r="M491" t="s">
        <v>53</v>
      </c>
      <c r="N491" s="16">
        <f t="shared" si="36"/>
        <v>45689</v>
      </c>
      <c r="O491" t="s">
        <v>206</v>
      </c>
      <c r="P491" t="str">
        <f t="shared" si="37"/>
        <v>February 2025</v>
      </c>
      <c r="Q491" t="s">
        <v>959</v>
      </c>
      <c r="R491" s="8">
        <v>29077.06</v>
      </c>
      <c r="S491" s="8">
        <f t="shared" si="38"/>
        <v>356928.74</v>
      </c>
      <c r="T491" s="6">
        <f t="shared" si="39"/>
        <v>1</v>
      </c>
    </row>
    <row r="492" spans="1:20" x14ac:dyDescent="0.3">
      <c r="A492" t="s">
        <v>1571</v>
      </c>
      <c r="B492" s="13" t="s">
        <v>496</v>
      </c>
      <c r="C492" s="16">
        <f t="shared" si="35"/>
        <v>45870</v>
      </c>
      <c r="D492" t="s">
        <v>961</v>
      </c>
      <c r="E492" t="s">
        <v>987</v>
      </c>
      <c r="F492" t="s">
        <v>980</v>
      </c>
      <c r="G492" t="s">
        <v>1098</v>
      </c>
      <c r="H492" t="s">
        <v>1023</v>
      </c>
      <c r="I492">
        <v>1382</v>
      </c>
      <c r="J492" s="3">
        <v>79.650000000000006</v>
      </c>
      <c r="K492" s="3">
        <v>110076.3</v>
      </c>
      <c r="L492">
        <v>647</v>
      </c>
      <c r="M492" t="s">
        <v>1059</v>
      </c>
      <c r="N492" s="16">
        <f t="shared" si="36"/>
        <v>45870</v>
      </c>
      <c r="O492" t="s">
        <v>600</v>
      </c>
      <c r="P492" t="str">
        <f t="shared" si="37"/>
        <v>August 2025</v>
      </c>
      <c r="Q492" t="s">
        <v>959</v>
      </c>
      <c r="R492" s="8">
        <v>36394.410000000003</v>
      </c>
      <c r="S492" s="8">
        <f t="shared" si="38"/>
        <v>146470.71000000002</v>
      </c>
      <c r="T492" s="6">
        <f t="shared" si="39"/>
        <v>1</v>
      </c>
    </row>
    <row r="493" spans="1:20" x14ac:dyDescent="0.3">
      <c r="A493" t="s">
        <v>1572</v>
      </c>
      <c r="B493" s="13" t="s">
        <v>195</v>
      </c>
      <c r="C493" s="16">
        <f t="shared" si="35"/>
        <v>45992</v>
      </c>
      <c r="D493" t="s">
        <v>961</v>
      </c>
      <c r="E493" t="s">
        <v>987</v>
      </c>
      <c r="F493" t="s">
        <v>971</v>
      </c>
      <c r="G493" t="s">
        <v>1068</v>
      </c>
      <c r="H493" t="s">
        <v>1023</v>
      </c>
      <c r="I493">
        <v>1664</v>
      </c>
      <c r="J493" s="3">
        <v>559.23</v>
      </c>
      <c r="K493" s="3">
        <v>930558.72</v>
      </c>
      <c r="L493">
        <v>396</v>
      </c>
      <c r="M493" t="s">
        <v>656</v>
      </c>
      <c r="N493" s="16">
        <f t="shared" si="36"/>
        <v>45992</v>
      </c>
      <c r="O493" t="s">
        <v>595</v>
      </c>
      <c r="P493" t="str">
        <f t="shared" si="37"/>
        <v>December 2025</v>
      </c>
      <c r="Q493" t="s">
        <v>959</v>
      </c>
      <c r="R493" s="8">
        <v>21511.1</v>
      </c>
      <c r="S493" s="8">
        <f t="shared" si="38"/>
        <v>952069.82</v>
      </c>
      <c r="T493" s="6">
        <f t="shared" si="39"/>
        <v>2</v>
      </c>
    </row>
    <row r="494" spans="1:20" x14ac:dyDescent="0.3">
      <c r="A494" t="s">
        <v>1573</v>
      </c>
      <c r="B494" s="13" t="s">
        <v>88</v>
      </c>
      <c r="C494" s="16">
        <f t="shared" si="35"/>
        <v>45992</v>
      </c>
      <c r="D494" t="s">
        <v>1011</v>
      </c>
      <c r="E494" t="s">
        <v>990</v>
      </c>
      <c r="F494" t="s">
        <v>963</v>
      </c>
      <c r="G494" t="s">
        <v>972</v>
      </c>
      <c r="H494" t="s">
        <v>982</v>
      </c>
      <c r="I494">
        <v>724</v>
      </c>
      <c r="J494" s="3">
        <v>212.28</v>
      </c>
      <c r="K494" s="3">
        <v>153690.72</v>
      </c>
      <c r="L494">
        <v>192</v>
      </c>
      <c r="M494" t="s">
        <v>1010</v>
      </c>
      <c r="N494" s="16">
        <f t="shared" si="36"/>
        <v>45992</v>
      </c>
      <c r="O494" t="s">
        <v>770</v>
      </c>
      <c r="P494" t="str">
        <f t="shared" si="37"/>
        <v>December 2025</v>
      </c>
      <c r="Q494" t="s">
        <v>959</v>
      </c>
      <c r="R494" s="8">
        <v>7423.09</v>
      </c>
      <c r="S494" s="8">
        <f t="shared" si="38"/>
        <v>161113.81</v>
      </c>
      <c r="T494" s="6">
        <f t="shared" si="39"/>
        <v>1</v>
      </c>
    </row>
    <row r="495" spans="1:20" x14ac:dyDescent="0.3">
      <c r="A495" t="s">
        <v>1574</v>
      </c>
      <c r="B495" s="13" t="s">
        <v>1127</v>
      </c>
      <c r="C495" s="16">
        <f t="shared" si="35"/>
        <v>45839</v>
      </c>
      <c r="D495" t="s">
        <v>1021</v>
      </c>
      <c r="E495" t="s">
        <v>49</v>
      </c>
      <c r="F495" t="s">
        <v>963</v>
      </c>
      <c r="G495" t="s">
        <v>957</v>
      </c>
      <c r="H495" t="s">
        <v>1034</v>
      </c>
      <c r="I495">
        <v>1665</v>
      </c>
      <c r="J495" s="3">
        <v>134.84</v>
      </c>
      <c r="K495" s="3">
        <v>224508.6</v>
      </c>
      <c r="L495">
        <v>532</v>
      </c>
      <c r="M495" t="s">
        <v>871</v>
      </c>
      <c r="N495" s="16">
        <f t="shared" si="36"/>
        <v>45839</v>
      </c>
      <c r="O495" t="s">
        <v>871</v>
      </c>
      <c r="P495" t="str">
        <f t="shared" si="37"/>
        <v>July 2025</v>
      </c>
      <c r="Q495" t="s">
        <v>966</v>
      </c>
      <c r="R495" s="8">
        <v>32821.14</v>
      </c>
      <c r="S495" s="8">
        <f t="shared" si="38"/>
        <v>257329.74</v>
      </c>
      <c r="T495" s="6">
        <f t="shared" si="39"/>
        <v>0</v>
      </c>
    </row>
    <row r="496" spans="1:20" x14ac:dyDescent="0.3">
      <c r="A496" t="s">
        <v>1575</v>
      </c>
      <c r="B496" s="13" t="s">
        <v>380</v>
      </c>
      <c r="C496" s="16">
        <f t="shared" si="35"/>
        <v>45992</v>
      </c>
      <c r="D496" t="s">
        <v>968</v>
      </c>
      <c r="E496" t="s">
        <v>49</v>
      </c>
      <c r="F496" t="s">
        <v>971</v>
      </c>
      <c r="G496" t="s">
        <v>1012</v>
      </c>
      <c r="H496" t="s">
        <v>958</v>
      </c>
      <c r="I496">
        <v>792</v>
      </c>
      <c r="J496" s="3">
        <v>234.86</v>
      </c>
      <c r="K496" s="3">
        <v>186009.12</v>
      </c>
      <c r="L496">
        <v>557</v>
      </c>
      <c r="M496" t="s">
        <v>765</v>
      </c>
      <c r="N496" s="16">
        <f t="shared" si="36"/>
        <v>45992</v>
      </c>
      <c r="O496" t="s">
        <v>163</v>
      </c>
      <c r="P496" t="str">
        <f t="shared" si="37"/>
        <v>December 2025</v>
      </c>
      <c r="Q496" t="s">
        <v>959</v>
      </c>
      <c r="R496" s="8">
        <v>31254.67</v>
      </c>
      <c r="S496" s="8">
        <f t="shared" si="38"/>
        <v>217263.78999999998</v>
      </c>
      <c r="T496" s="6">
        <f t="shared" si="39"/>
        <v>1</v>
      </c>
    </row>
    <row r="497" spans="1:20" x14ac:dyDescent="0.3">
      <c r="A497" t="s">
        <v>1576</v>
      </c>
      <c r="B497" s="13" t="s">
        <v>528</v>
      </c>
      <c r="C497" s="16">
        <f t="shared" si="35"/>
        <v>45992</v>
      </c>
      <c r="D497" t="s">
        <v>955</v>
      </c>
      <c r="E497" t="s">
        <v>43</v>
      </c>
      <c r="F497" t="s">
        <v>956</v>
      </c>
      <c r="G497" t="s">
        <v>996</v>
      </c>
      <c r="H497" t="s">
        <v>958</v>
      </c>
      <c r="I497">
        <v>943</v>
      </c>
      <c r="J497" s="3">
        <v>580.21</v>
      </c>
      <c r="K497" s="3">
        <v>547138.03</v>
      </c>
      <c r="L497">
        <v>595</v>
      </c>
      <c r="M497" t="s">
        <v>380</v>
      </c>
      <c r="N497" s="16">
        <f t="shared" si="36"/>
        <v>45992</v>
      </c>
      <c r="O497" t="s">
        <v>389</v>
      </c>
      <c r="P497" t="str">
        <f t="shared" si="37"/>
        <v>December 2025</v>
      </c>
      <c r="Q497" t="s">
        <v>959</v>
      </c>
      <c r="R497" s="8">
        <v>25482.11</v>
      </c>
      <c r="S497" s="8">
        <f t="shared" si="38"/>
        <v>572620.14</v>
      </c>
      <c r="T497" s="6">
        <f t="shared" si="39"/>
        <v>1</v>
      </c>
    </row>
    <row r="498" spans="1:20" x14ac:dyDescent="0.3">
      <c r="A498" t="s">
        <v>1577</v>
      </c>
      <c r="B498" s="13" t="s">
        <v>180</v>
      </c>
      <c r="C498" s="16">
        <f t="shared" si="35"/>
        <v>45809</v>
      </c>
      <c r="D498" t="s">
        <v>955</v>
      </c>
      <c r="E498" t="s">
        <v>962</v>
      </c>
      <c r="F498" t="s">
        <v>971</v>
      </c>
      <c r="G498" t="s">
        <v>1045</v>
      </c>
      <c r="H498" t="s">
        <v>958</v>
      </c>
      <c r="I498">
        <v>1774</v>
      </c>
      <c r="J498" s="3">
        <v>746.16</v>
      </c>
      <c r="K498" s="3">
        <v>1323687.8400000001</v>
      </c>
      <c r="L498">
        <v>36</v>
      </c>
      <c r="M498" t="s">
        <v>435</v>
      </c>
      <c r="N498" s="16">
        <f t="shared" si="36"/>
        <v>45809</v>
      </c>
      <c r="O498" t="s">
        <v>186</v>
      </c>
      <c r="P498" t="str">
        <f t="shared" si="37"/>
        <v>June 2025</v>
      </c>
      <c r="Q498" t="s">
        <v>959</v>
      </c>
      <c r="R498" s="8">
        <v>1451.44</v>
      </c>
      <c r="S498" s="8">
        <f t="shared" si="38"/>
        <v>1325139.28</v>
      </c>
      <c r="T498" s="6">
        <f t="shared" si="39"/>
        <v>4</v>
      </c>
    </row>
    <row r="499" spans="1:20" x14ac:dyDescent="0.3">
      <c r="A499" t="s">
        <v>1578</v>
      </c>
      <c r="B499" s="13" t="s">
        <v>778</v>
      </c>
      <c r="C499" s="16">
        <f t="shared" si="35"/>
        <v>45962</v>
      </c>
      <c r="D499" t="s">
        <v>968</v>
      </c>
      <c r="E499" t="s">
        <v>33</v>
      </c>
      <c r="F499" t="s">
        <v>971</v>
      </c>
      <c r="G499" t="s">
        <v>1036</v>
      </c>
      <c r="H499" t="s">
        <v>1023</v>
      </c>
      <c r="I499">
        <v>1978</v>
      </c>
      <c r="J499" s="3">
        <v>558.80999999999995</v>
      </c>
      <c r="K499" s="3">
        <v>1105326.18</v>
      </c>
      <c r="L499">
        <v>449</v>
      </c>
      <c r="M499" t="s">
        <v>305</v>
      </c>
      <c r="N499" s="16">
        <f t="shared" si="36"/>
        <v>45962</v>
      </c>
      <c r="O499" t="s">
        <v>1174</v>
      </c>
      <c r="P499" t="str">
        <f t="shared" si="37"/>
        <v>November 2025</v>
      </c>
      <c r="Q499" t="s">
        <v>959</v>
      </c>
      <c r="R499" s="8">
        <v>23120.61</v>
      </c>
      <c r="S499" s="8">
        <f t="shared" si="38"/>
        <v>1128446.79</v>
      </c>
      <c r="T499" s="6">
        <f t="shared" si="39"/>
        <v>3</v>
      </c>
    </row>
    <row r="500" spans="1:20" x14ac:dyDescent="0.3">
      <c r="A500" t="s">
        <v>1579</v>
      </c>
      <c r="B500" s="13" t="s">
        <v>193</v>
      </c>
      <c r="C500" s="16">
        <f t="shared" si="35"/>
        <v>45901</v>
      </c>
      <c r="D500" t="s">
        <v>1021</v>
      </c>
      <c r="E500" t="s">
        <v>43</v>
      </c>
      <c r="F500" t="s">
        <v>956</v>
      </c>
      <c r="G500" t="s">
        <v>988</v>
      </c>
      <c r="H500" t="s">
        <v>973</v>
      </c>
      <c r="I500">
        <v>1367</v>
      </c>
      <c r="J500" s="3">
        <v>86.78</v>
      </c>
      <c r="K500" s="3">
        <v>118628.26</v>
      </c>
      <c r="L500">
        <v>237</v>
      </c>
      <c r="M500" t="s">
        <v>557</v>
      </c>
      <c r="N500" s="16">
        <f t="shared" si="36"/>
        <v>45901</v>
      </c>
      <c r="O500" t="s">
        <v>136</v>
      </c>
      <c r="P500" t="str">
        <f t="shared" si="37"/>
        <v>September 2025</v>
      </c>
      <c r="Q500" t="s">
        <v>959</v>
      </c>
      <c r="R500" s="8">
        <v>8621.0499999999993</v>
      </c>
      <c r="S500" s="8">
        <f t="shared" si="38"/>
        <v>127249.31</v>
      </c>
      <c r="T500" s="6">
        <f t="shared" si="39"/>
        <v>2</v>
      </c>
    </row>
    <row r="501" spans="1:20" x14ac:dyDescent="0.3">
      <c r="A501" t="s">
        <v>1580</v>
      </c>
      <c r="B501" s="13" t="s">
        <v>1191</v>
      </c>
      <c r="C501" s="16">
        <f t="shared" si="35"/>
        <v>45931</v>
      </c>
      <c r="D501" t="s">
        <v>961</v>
      </c>
      <c r="E501" t="s">
        <v>962</v>
      </c>
      <c r="F501" t="s">
        <v>971</v>
      </c>
      <c r="G501" t="s">
        <v>1152</v>
      </c>
      <c r="H501" t="s">
        <v>982</v>
      </c>
      <c r="I501">
        <v>2216</v>
      </c>
      <c r="J501" s="3">
        <v>751.8</v>
      </c>
      <c r="K501" s="3">
        <v>1665988.8</v>
      </c>
      <c r="L501">
        <v>671</v>
      </c>
      <c r="M501" t="s">
        <v>64</v>
      </c>
      <c r="N501" s="16">
        <f t="shared" si="36"/>
        <v>45931</v>
      </c>
      <c r="O501" t="s">
        <v>400</v>
      </c>
      <c r="P501" t="str">
        <f t="shared" si="37"/>
        <v>October 2025</v>
      </c>
      <c r="Q501" t="s">
        <v>959</v>
      </c>
      <c r="R501" s="8">
        <v>24473.99</v>
      </c>
      <c r="S501" s="8">
        <f t="shared" si="38"/>
        <v>1690462.79</v>
      </c>
      <c r="T501" s="6">
        <f t="shared" si="39"/>
        <v>1</v>
      </c>
    </row>
    <row r="502" spans="1:20" x14ac:dyDescent="0.3">
      <c r="A502" t="s">
        <v>1581</v>
      </c>
      <c r="B502" s="13" t="s">
        <v>163</v>
      </c>
      <c r="C502" s="16">
        <f t="shared" si="35"/>
        <v>45992</v>
      </c>
      <c r="D502" t="s">
        <v>1003</v>
      </c>
      <c r="E502" t="s">
        <v>987</v>
      </c>
      <c r="F502" t="s">
        <v>963</v>
      </c>
      <c r="G502" t="s">
        <v>1012</v>
      </c>
      <c r="H502" t="s">
        <v>977</v>
      </c>
      <c r="I502">
        <v>835</v>
      </c>
      <c r="J502" s="3">
        <v>582.72</v>
      </c>
      <c r="K502" s="3">
        <v>486571.2</v>
      </c>
      <c r="L502">
        <v>271</v>
      </c>
      <c r="M502" t="s">
        <v>130</v>
      </c>
      <c r="N502" s="16">
        <f t="shared" si="36"/>
        <v>45992</v>
      </c>
      <c r="O502" t="s">
        <v>932</v>
      </c>
      <c r="P502" t="str">
        <f t="shared" si="37"/>
        <v>December 2025</v>
      </c>
      <c r="Q502" t="s">
        <v>959</v>
      </c>
      <c r="R502" s="8">
        <v>16204.65</v>
      </c>
      <c r="S502" s="8">
        <f t="shared" si="38"/>
        <v>502775.85000000003</v>
      </c>
      <c r="T502" s="6">
        <f t="shared" si="39"/>
        <v>3</v>
      </c>
    </row>
    <row r="503" spans="1:20" x14ac:dyDescent="0.3">
      <c r="A503" t="s">
        <v>1582</v>
      </c>
      <c r="B503" s="13" t="s">
        <v>383</v>
      </c>
      <c r="C503" s="16">
        <f t="shared" si="35"/>
        <v>45778</v>
      </c>
      <c r="D503" t="s">
        <v>1011</v>
      </c>
      <c r="E503" t="s">
        <v>962</v>
      </c>
      <c r="F503" t="s">
        <v>980</v>
      </c>
      <c r="G503" t="s">
        <v>1004</v>
      </c>
      <c r="H503" t="s">
        <v>965</v>
      </c>
      <c r="I503">
        <v>101</v>
      </c>
      <c r="J503" s="3">
        <v>249.71</v>
      </c>
      <c r="K503" s="3">
        <v>25220.71</v>
      </c>
      <c r="L503">
        <v>611</v>
      </c>
      <c r="M503" t="s">
        <v>1069</v>
      </c>
      <c r="N503" s="16">
        <f t="shared" si="36"/>
        <v>45778</v>
      </c>
      <c r="O503" t="s">
        <v>1069</v>
      </c>
      <c r="P503" t="str">
        <f t="shared" si="37"/>
        <v>May 2025</v>
      </c>
      <c r="Q503" t="s">
        <v>966</v>
      </c>
      <c r="R503" s="8">
        <v>32219.48</v>
      </c>
      <c r="S503" s="8">
        <f t="shared" si="38"/>
        <v>57440.19</v>
      </c>
      <c r="T503" s="6">
        <f t="shared" si="39"/>
        <v>0</v>
      </c>
    </row>
    <row r="504" spans="1:20" x14ac:dyDescent="0.3">
      <c r="A504" t="s">
        <v>1583</v>
      </c>
      <c r="B504" s="13" t="s">
        <v>887</v>
      </c>
      <c r="C504" s="16">
        <f t="shared" si="35"/>
        <v>45839</v>
      </c>
      <c r="D504" t="s">
        <v>961</v>
      </c>
      <c r="E504" t="s">
        <v>49</v>
      </c>
      <c r="F504" t="s">
        <v>971</v>
      </c>
      <c r="G504" t="s">
        <v>981</v>
      </c>
      <c r="H504" t="s">
        <v>1000</v>
      </c>
      <c r="I504">
        <v>1550</v>
      </c>
      <c r="J504" s="3">
        <v>677.51</v>
      </c>
      <c r="K504" s="3">
        <v>1050140.5</v>
      </c>
      <c r="L504">
        <v>127</v>
      </c>
      <c r="M504" t="s">
        <v>1002</v>
      </c>
      <c r="N504" s="16">
        <f t="shared" si="36"/>
        <v>45839</v>
      </c>
      <c r="O504" t="s">
        <v>1002</v>
      </c>
      <c r="P504" t="str">
        <f t="shared" si="37"/>
        <v>July 2025</v>
      </c>
      <c r="Q504" t="s">
        <v>966</v>
      </c>
      <c r="R504" s="8">
        <v>4900.12</v>
      </c>
      <c r="S504" s="8">
        <f t="shared" si="38"/>
        <v>1055040.6200000001</v>
      </c>
      <c r="T504" s="6">
        <f t="shared" si="39"/>
        <v>0</v>
      </c>
    </row>
    <row r="505" spans="1:20" x14ac:dyDescent="0.3">
      <c r="A505" t="s">
        <v>1584</v>
      </c>
      <c r="B505" s="13" t="s">
        <v>837</v>
      </c>
      <c r="C505" s="16">
        <f t="shared" si="35"/>
        <v>45689</v>
      </c>
      <c r="D505" t="s">
        <v>1003</v>
      </c>
      <c r="E505" t="s">
        <v>990</v>
      </c>
      <c r="F505" t="s">
        <v>980</v>
      </c>
      <c r="G505" t="s">
        <v>1087</v>
      </c>
      <c r="H505" t="s">
        <v>973</v>
      </c>
      <c r="I505">
        <v>2335</v>
      </c>
      <c r="J505" s="3">
        <v>826.08</v>
      </c>
      <c r="K505" s="3">
        <v>1928896.8</v>
      </c>
      <c r="L505">
        <v>260</v>
      </c>
      <c r="M505" t="s">
        <v>754</v>
      </c>
      <c r="N505" s="16">
        <f t="shared" si="36"/>
        <v>45689</v>
      </c>
      <c r="O505" t="s">
        <v>363</v>
      </c>
      <c r="P505" t="str">
        <f t="shared" si="37"/>
        <v>February 2025</v>
      </c>
      <c r="Q505" t="s">
        <v>959</v>
      </c>
      <c r="R505" s="8">
        <v>10414.36</v>
      </c>
      <c r="S505" s="8">
        <f t="shared" si="38"/>
        <v>1939311.1600000001</v>
      </c>
      <c r="T505" s="6">
        <f t="shared" si="39"/>
        <v>1</v>
      </c>
    </row>
    <row r="506" spans="1:20" x14ac:dyDescent="0.3">
      <c r="A506" t="s">
        <v>1585</v>
      </c>
      <c r="B506" s="13" t="s">
        <v>469</v>
      </c>
      <c r="C506" s="16">
        <f t="shared" si="35"/>
        <v>45717</v>
      </c>
      <c r="D506" t="s">
        <v>961</v>
      </c>
      <c r="E506" t="s">
        <v>49</v>
      </c>
      <c r="F506" t="s">
        <v>963</v>
      </c>
      <c r="G506" t="s">
        <v>1012</v>
      </c>
      <c r="H506" t="s">
        <v>977</v>
      </c>
      <c r="I506">
        <v>952</v>
      </c>
      <c r="J506" s="3">
        <v>273.36</v>
      </c>
      <c r="K506" s="3">
        <v>260238.72</v>
      </c>
      <c r="L506">
        <v>106</v>
      </c>
      <c r="M506" t="s">
        <v>178</v>
      </c>
      <c r="N506" s="16">
        <f t="shared" si="36"/>
        <v>45717</v>
      </c>
      <c r="O506" t="s">
        <v>141</v>
      </c>
      <c r="P506" t="str">
        <f t="shared" si="37"/>
        <v>March 2025</v>
      </c>
      <c r="Q506" t="s">
        <v>959</v>
      </c>
      <c r="R506" s="8">
        <v>6525.91</v>
      </c>
      <c r="S506" s="8">
        <f t="shared" si="38"/>
        <v>266764.63</v>
      </c>
      <c r="T506" s="6">
        <f t="shared" si="39"/>
        <v>2</v>
      </c>
    </row>
    <row r="507" spans="1:20" x14ac:dyDescent="0.3">
      <c r="A507" t="s">
        <v>1586</v>
      </c>
      <c r="B507" s="13" t="s">
        <v>896</v>
      </c>
      <c r="C507" s="16">
        <f t="shared" si="35"/>
        <v>45870</v>
      </c>
      <c r="D507" t="s">
        <v>955</v>
      </c>
      <c r="E507" t="s">
        <v>987</v>
      </c>
      <c r="F507" t="s">
        <v>963</v>
      </c>
      <c r="G507" t="s">
        <v>976</v>
      </c>
      <c r="H507" t="s">
        <v>982</v>
      </c>
      <c r="I507">
        <v>1733</v>
      </c>
      <c r="J507" s="3">
        <v>112.74</v>
      </c>
      <c r="K507" s="3">
        <v>195378.42</v>
      </c>
      <c r="L507">
        <v>451</v>
      </c>
      <c r="M507" t="s">
        <v>1071</v>
      </c>
      <c r="N507" s="16">
        <f t="shared" si="36"/>
        <v>45870</v>
      </c>
      <c r="O507" t="s">
        <v>1071</v>
      </c>
      <c r="P507" t="str">
        <f t="shared" si="37"/>
        <v>August 2025</v>
      </c>
      <c r="Q507" t="s">
        <v>966</v>
      </c>
      <c r="R507" s="8">
        <v>23818.080000000002</v>
      </c>
      <c r="S507" s="8">
        <f t="shared" si="38"/>
        <v>219196.5</v>
      </c>
      <c r="T507" s="6">
        <f t="shared" si="39"/>
        <v>0</v>
      </c>
    </row>
    <row r="508" spans="1:20" x14ac:dyDescent="0.3">
      <c r="A508" t="s">
        <v>1587</v>
      </c>
      <c r="B508" s="13" t="s">
        <v>263</v>
      </c>
      <c r="C508" s="16">
        <f t="shared" si="35"/>
        <v>45689</v>
      </c>
      <c r="D508" t="s">
        <v>1011</v>
      </c>
      <c r="E508" t="s">
        <v>987</v>
      </c>
      <c r="F508" t="s">
        <v>980</v>
      </c>
      <c r="G508" t="s">
        <v>1042</v>
      </c>
      <c r="H508" t="s">
        <v>1000</v>
      </c>
      <c r="I508">
        <v>2204</v>
      </c>
      <c r="J508" s="3">
        <v>452.94</v>
      </c>
      <c r="K508" s="3">
        <v>998279.76</v>
      </c>
      <c r="L508">
        <v>255</v>
      </c>
      <c r="M508" t="s">
        <v>631</v>
      </c>
      <c r="N508" s="16">
        <f t="shared" si="36"/>
        <v>45689</v>
      </c>
      <c r="O508" t="s">
        <v>263</v>
      </c>
      <c r="P508" t="str">
        <f t="shared" si="37"/>
        <v>February 2025</v>
      </c>
      <c r="Q508" t="s">
        <v>966</v>
      </c>
      <c r="R508" s="8">
        <v>14343.98</v>
      </c>
      <c r="S508" s="8">
        <f t="shared" si="38"/>
        <v>1012623.74</v>
      </c>
      <c r="T508" s="6">
        <f t="shared" si="39"/>
        <v>-1</v>
      </c>
    </row>
    <row r="509" spans="1:20" x14ac:dyDescent="0.3">
      <c r="A509" t="s">
        <v>1588</v>
      </c>
      <c r="B509" s="13" t="s">
        <v>350</v>
      </c>
      <c r="C509" s="16">
        <f t="shared" si="35"/>
        <v>45931</v>
      </c>
      <c r="D509" t="s">
        <v>1011</v>
      </c>
      <c r="E509" t="s">
        <v>987</v>
      </c>
      <c r="F509" t="s">
        <v>963</v>
      </c>
      <c r="G509" t="s">
        <v>1045</v>
      </c>
      <c r="H509" t="s">
        <v>1023</v>
      </c>
      <c r="I509">
        <v>359</v>
      </c>
      <c r="J509" s="3">
        <v>382.36</v>
      </c>
      <c r="K509" s="3">
        <v>137267.24</v>
      </c>
      <c r="L509">
        <v>177</v>
      </c>
      <c r="M509" t="s">
        <v>23</v>
      </c>
      <c r="N509" s="16">
        <f t="shared" si="36"/>
        <v>45931</v>
      </c>
      <c r="O509" t="s">
        <v>23</v>
      </c>
      <c r="P509" t="str">
        <f t="shared" si="37"/>
        <v>October 2025</v>
      </c>
      <c r="Q509" t="s">
        <v>966</v>
      </c>
      <c r="R509" s="8">
        <v>9148.4699999999993</v>
      </c>
      <c r="S509" s="8">
        <f t="shared" si="38"/>
        <v>146415.71</v>
      </c>
      <c r="T509" s="6">
        <f t="shared" si="39"/>
        <v>0</v>
      </c>
    </row>
    <row r="510" spans="1:20" x14ac:dyDescent="0.3">
      <c r="A510" t="s">
        <v>1589</v>
      </c>
      <c r="B510" s="13" t="s">
        <v>340</v>
      </c>
      <c r="C510" s="16">
        <f t="shared" si="35"/>
        <v>45748</v>
      </c>
      <c r="D510" t="s">
        <v>1003</v>
      </c>
      <c r="E510" t="s">
        <v>962</v>
      </c>
      <c r="F510" t="s">
        <v>956</v>
      </c>
      <c r="G510" t="s">
        <v>1078</v>
      </c>
      <c r="H510" t="s">
        <v>1034</v>
      </c>
      <c r="I510">
        <v>813</v>
      </c>
      <c r="J510" s="3">
        <v>192.5</v>
      </c>
      <c r="K510" s="3">
        <v>156502.5</v>
      </c>
      <c r="L510">
        <v>602</v>
      </c>
      <c r="M510" t="s">
        <v>1147</v>
      </c>
      <c r="N510" s="16">
        <f t="shared" si="36"/>
        <v>45748</v>
      </c>
      <c r="O510" t="s">
        <v>1147</v>
      </c>
      <c r="P510" t="str">
        <f t="shared" si="37"/>
        <v>April 2025</v>
      </c>
      <c r="Q510" t="s">
        <v>966</v>
      </c>
      <c r="R510" s="8">
        <v>26385.38</v>
      </c>
      <c r="S510" s="8">
        <f t="shared" si="38"/>
        <v>182887.88</v>
      </c>
      <c r="T510" s="6">
        <f t="shared" si="39"/>
        <v>0</v>
      </c>
    </row>
    <row r="511" spans="1:20" x14ac:dyDescent="0.3">
      <c r="A511" t="s">
        <v>1590</v>
      </c>
      <c r="B511" s="13" t="s">
        <v>1092</v>
      </c>
      <c r="C511" s="16">
        <f t="shared" si="35"/>
        <v>45717</v>
      </c>
      <c r="D511" t="s">
        <v>955</v>
      </c>
      <c r="E511" t="s">
        <v>49</v>
      </c>
      <c r="F511" t="s">
        <v>980</v>
      </c>
      <c r="G511" t="s">
        <v>972</v>
      </c>
      <c r="H511" t="s">
        <v>1018</v>
      </c>
      <c r="I511">
        <v>166</v>
      </c>
      <c r="J511" s="3">
        <v>76.510000000000005</v>
      </c>
      <c r="K511" s="3">
        <v>12700.66</v>
      </c>
      <c r="L511">
        <v>356</v>
      </c>
      <c r="M511" t="s">
        <v>1184</v>
      </c>
      <c r="N511" s="16">
        <f t="shared" si="36"/>
        <v>45717</v>
      </c>
      <c r="O511" t="s">
        <v>298</v>
      </c>
      <c r="P511" t="str">
        <f t="shared" si="37"/>
        <v>March 2025</v>
      </c>
      <c r="Q511" t="s">
        <v>959</v>
      </c>
      <c r="R511" s="8">
        <v>15817.18</v>
      </c>
      <c r="S511" s="8">
        <f t="shared" si="38"/>
        <v>28517.84</v>
      </c>
      <c r="T511" s="6">
        <f t="shared" si="39"/>
        <v>2</v>
      </c>
    </row>
    <row r="512" spans="1:20" x14ac:dyDescent="0.3">
      <c r="A512" t="s">
        <v>1591</v>
      </c>
      <c r="B512" s="13" t="s">
        <v>120</v>
      </c>
      <c r="C512" s="16">
        <f t="shared" si="35"/>
        <v>45717</v>
      </c>
      <c r="D512" t="s">
        <v>955</v>
      </c>
      <c r="E512" t="s">
        <v>43</v>
      </c>
      <c r="F512" t="s">
        <v>956</v>
      </c>
      <c r="G512" t="s">
        <v>1026</v>
      </c>
      <c r="H512" t="s">
        <v>965</v>
      </c>
      <c r="I512">
        <v>2422</v>
      </c>
      <c r="J512" s="3">
        <v>411.59</v>
      </c>
      <c r="K512" s="3">
        <v>996870.98</v>
      </c>
      <c r="L512">
        <v>114</v>
      </c>
      <c r="M512" t="s">
        <v>1298</v>
      </c>
      <c r="N512" s="16">
        <f t="shared" si="36"/>
        <v>45717</v>
      </c>
      <c r="O512" t="s">
        <v>1298</v>
      </c>
      <c r="P512" t="str">
        <f t="shared" si="37"/>
        <v>March 2025</v>
      </c>
      <c r="Q512" t="s">
        <v>966</v>
      </c>
      <c r="R512" s="8">
        <v>6716</v>
      </c>
      <c r="S512" s="8">
        <f t="shared" si="38"/>
        <v>1003586.98</v>
      </c>
      <c r="T512" s="6">
        <f t="shared" si="39"/>
        <v>0</v>
      </c>
    </row>
    <row r="513" spans="1:20" x14ac:dyDescent="0.3">
      <c r="A513" t="s">
        <v>1592</v>
      </c>
      <c r="B513" s="13" t="s">
        <v>446</v>
      </c>
      <c r="C513" s="16">
        <f t="shared" si="35"/>
        <v>45809</v>
      </c>
      <c r="D513" t="s">
        <v>968</v>
      </c>
      <c r="E513" t="s">
        <v>43</v>
      </c>
      <c r="F513" t="s">
        <v>980</v>
      </c>
      <c r="G513" t="s">
        <v>1072</v>
      </c>
      <c r="H513" t="s">
        <v>1018</v>
      </c>
      <c r="I513">
        <v>935</v>
      </c>
      <c r="J513" s="3">
        <v>607.55999999999995</v>
      </c>
      <c r="K513" s="3">
        <v>568068.6</v>
      </c>
      <c r="L513">
        <v>411</v>
      </c>
      <c r="M513" t="s">
        <v>197</v>
      </c>
      <c r="N513" s="16">
        <f t="shared" si="36"/>
        <v>45809</v>
      </c>
      <c r="O513" t="s">
        <v>100</v>
      </c>
      <c r="P513" t="str">
        <f t="shared" si="37"/>
        <v>June 2025</v>
      </c>
      <c r="Q513" t="s">
        <v>959</v>
      </c>
      <c r="R513" s="8">
        <v>19803.13</v>
      </c>
      <c r="S513" s="8">
        <f t="shared" si="38"/>
        <v>587871.73</v>
      </c>
      <c r="T513" s="6">
        <f t="shared" si="39"/>
        <v>2</v>
      </c>
    </row>
    <row r="514" spans="1:20" x14ac:dyDescent="0.3">
      <c r="A514" t="s">
        <v>1593</v>
      </c>
      <c r="B514" s="13" t="s">
        <v>291</v>
      </c>
      <c r="C514" s="16">
        <f t="shared" si="35"/>
        <v>45658</v>
      </c>
      <c r="D514" t="s">
        <v>1003</v>
      </c>
      <c r="E514" t="s">
        <v>43</v>
      </c>
      <c r="F514" t="s">
        <v>971</v>
      </c>
      <c r="G514" t="s">
        <v>991</v>
      </c>
      <c r="H514" t="s">
        <v>977</v>
      </c>
      <c r="I514">
        <v>373</v>
      </c>
      <c r="J514" s="3">
        <v>816.14</v>
      </c>
      <c r="K514" s="3">
        <v>304420.21999999997</v>
      </c>
      <c r="L514">
        <v>105</v>
      </c>
      <c r="M514" t="s">
        <v>307</v>
      </c>
      <c r="N514" s="16">
        <f t="shared" si="36"/>
        <v>45658</v>
      </c>
      <c r="O514" t="s">
        <v>613</v>
      </c>
      <c r="P514" t="str">
        <f t="shared" si="37"/>
        <v>January 2025</v>
      </c>
      <c r="Q514" t="s">
        <v>959</v>
      </c>
      <c r="R514" s="8">
        <v>3829.34</v>
      </c>
      <c r="S514" s="8">
        <f t="shared" si="38"/>
        <v>308249.56</v>
      </c>
      <c r="T514" s="6">
        <f t="shared" si="39"/>
        <v>4</v>
      </c>
    </row>
    <row r="515" spans="1:20" x14ac:dyDescent="0.3">
      <c r="A515" t="s">
        <v>1594</v>
      </c>
      <c r="B515" s="13" t="s">
        <v>1451</v>
      </c>
      <c r="C515" s="16">
        <f t="shared" ref="C515:C578" si="40">DATE(YEAR(B515), MONTH(B515), 1)</f>
        <v>45778</v>
      </c>
      <c r="D515" t="s">
        <v>961</v>
      </c>
      <c r="E515" t="s">
        <v>990</v>
      </c>
      <c r="F515" t="s">
        <v>980</v>
      </c>
      <c r="G515" t="s">
        <v>1026</v>
      </c>
      <c r="H515" t="s">
        <v>1023</v>
      </c>
      <c r="I515">
        <v>819</v>
      </c>
      <c r="J515" s="3">
        <v>503.99</v>
      </c>
      <c r="K515" s="3">
        <v>412767.81</v>
      </c>
      <c r="L515">
        <v>27</v>
      </c>
      <c r="M515" t="s">
        <v>143</v>
      </c>
      <c r="N515" s="16">
        <f t="shared" ref="N515:N578" si="41">DATE(YEAR(M515), MONTH(M515),1)</f>
        <v>45778</v>
      </c>
      <c r="O515" t="s">
        <v>143</v>
      </c>
      <c r="P515" t="str">
        <f t="shared" ref="P515:P578" si="42">TEXT(O515, "mmmm yyyy")</f>
        <v>May 2025</v>
      </c>
      <c r="Q515" t="s">
        <v>966</v>
      </c>
      <c r="R515" s="8">
        <v>1039.83</v>
      </c>
      <c r="S515" s="8">
        <f t="shared" ref="S515:S578" si="43">K515 +R515</f>
        <v>413807.64</v>
      </c>
      <c r="T515" s="6">
        <f t="shared" si="39"/>
        <v>0</v>
      </c>
    </row>
    <row r="516" spans="1:20" x14ac:dyDescent="0.3">
      <c r="A516" t="s">
        <v>1595</v>
      </c>
      <c r="B516" s="13" t="s">
        <v>730</v>
      </c>
      <c r="C516" s="16">
        <f t="shared" si="40"/>
        <v>45658</v>
      </c>
      <c r="D516" t="s">
        <v>975</v>
      </c>
      <c r="E516" t="s">
        <v>987</v>
      </c>
      <c r="F516" t="s">
        <v>963</v>
      </c>
      <c r="G516" t="s">
        <v>1051</v>
      </c>
      <c r="H516" t="s">
        <v>1034</v>
      </c>
      <c r="I516">
        <v>140</v>
      </c>
      <c r="J516" s="3">
        <v>179.79</v>
      </c>
      <c r="K516" s="3">
        <v>25170.6</v>
      </c>
      <c r="L516">
        <v>419</v>
      </c>
      <c r="M516" t="s">
        <v>46</v>
      </c>
      <c r="N516" s="16">
        <f t="shared" si="41"/>
        <v>45689</v>
      </c>
      <c r="O516" t="s">
        <v>46</v>
      </c>
      <c r="P516" t="str">
        <f t="shared" si="42"/>
        <v>February 2025</v>
      </c>
      <c r="Q516" t="s">
        <v>966</v>
      </c>
      <c r="R516" s="8">
        <v>19012.86</v>
      </c>
      <c r="S516" s="8">
        <f t="shared" si="43"/>
        <v>44183.46</v>
      </c>
      <c r="T516" s="6">
        <f t="shared" ref="T516:T579" si="44">O516 -M516</f>
        <v>0</v>
      </c>
    </row>
    <row r="517" spans="1:20" x14ac:dyDescent="0.3">
      <c r="A517" t="s">
        <v>1596</v>
      </c>
      <c r="B517" s="13" t="s">
        <v>543</v>
      </c>
      <c r="C517" s="16">
        <f t="shared" si="40"/>
        <v>45931</v>
      </c>
      <c r="D517" t="s">
        <v>968</v>
      </c>
      <c r="E517" t="s">
        <v>987</v>
      </c>
      <c r="F517" t="s">
        <v>980</v>
      </c>
      <c r="G517" t="s">
        <v>988</v>
      </c>
      <c r="H517" t="s">
        <v>1018</v>
      </c>
      <c r="I517">
        <v>1786</v>
      </c>
      <c r="J517" s="3">
        <v>165.78</v>
      </c>
      <c r="K517" s="3">
        <v>296083.08</v>
      </c>
      <c r="L517">
        <v>26</v>
      </c>
      <c r="M517" t="s">
        <v>114</v>
      </c>
      <c r="N517" s="16">
        <f t="shared" si="41"/>
        <v>45931</v>
      </c>
      <c r="O517" t="s">
        <v>114</v>
      </c>
      <c r="P517" t="str">
        <f t="shared" si="42"/>
        <v>October 2025</v>
      </c>
      <c r="Q517" t="s">
        <v>966</v>
      </c>
      <c r="R517" s="8">
        <v>1450.6</v>
      </c>
      <c r="S517" s="8">
        <f t="shared" si="43"/>
        <v>297533.68</v>
      </c>
      <c r="T517" s="6">
        <f t="shared" si="44"/>
        <v>0</v>
      </c>
    </row>
    <row r="518" spans="1:20" x14ac:dyDescent="0.3">
      <c r="A518" t="s">
        <v>1597</v>
      </c>
      <c r="B518" s="13" t="s">
        <v>1207</v>
      </c>
      <c r="C518" s="16">
        <f t="shared" si="40"/>
        <v>45901</v>
      </c>
      <c r="D518" t="s">
        <v>975</v>
      </c>
      <c r="E518" t="s">
        <v>962</v>
      </c>
      <c r="F518" t="s">
        <v>963</v>
      </c>
      <c r="G518" t="s">
        <v>994</v>
      </c>
      <c r="H518" t="s">
        <v>965</v>
      </c>
      <c r="I518">
        <v>2248</v>
      </c>
      <c r="J518" s="3">
        <v>748.98</v>
      </c>
      <c r="K518" s="3">
        <v>1683707.04</v>
      </c>
      <c r="L518">
        <v>311</v>
      </c>
      <c r="M518" t="s">
        <v>66</v>
      </c>
      <c r="N518" s="16">
        <f t="shared" si="41"/>
        <v>45901</v>
      </c>
      <c r="O518" t="s">
        <v>66</v>
      </c>
      <c r="P518" t="str">
        <f t="shared" si="42"/>
        <v>September 2025</v>
      </c>
      <c r="Q518" t="s">
        <v>966</v>
      </c>
      <c r="R518" s="8">
        <v>17464.310000000001</v>
      </c>
      <c r="S518" s="8">
        <f t="shared" si="43"/>
        <v>1701171.35</v>
      </c>
      <c r="T518" s="6">
        <f t="shared" si="44"/>
        <v>0</v>
      </c>
    </row>
    <row r="519" spans="1:20" x14ac:dyDescent="0.3">
      <c r="A519" t="s">
        <v>1598</v>
      </c>
      <c r="B519" s="13" t="s">
        <v>35</v>
      </c>
      <c r="C519" s="16">
        <f t="shared" si="40"/>
        <v>45809</v>
      </c>
      <c r="D519" t="s">
        <v>961</v>
      </c>
      <c r="E519" t="s">
        <v>987</v>
      </c>
      <c r="F519" t="s">
        <v>980</v>
      </c>
      <c r="G519" t="s">
        <v>964</v>
      </c>
      <c r="H519" t="s">
        <v>1018</v>
      </c>
      <c r="I519">
        <v>2289</v>
      </c>
      <c r="J519" s="3">
        <v>836.26</v>
      </c>
      <c r="K519" s="3">
        <v>1914199.14</v>
      </c>
      <c r="L519">
        <v>365</v>
      </c>
      <c r="M519" t="s">
        <v>132</v>
      </c>
      <c r="N519" s="16">
        <f t="shared" si="41"/>
        <v>45809</v>
      </c>
      <c r="O519" t="s">
        <v>416</v>
      </c>
      <c r="P519" t="str">
        <f t="shared" si="42"/>
        <v>June 2025</v>
      </c>
      <c r="Q519" t="s">
        <v>959</v>
      </c>
      <c r="R519" s="8">
        <v>20883.61</v>
      </c>
      <c r="S519" s="8">
        <f t="shared" si="43"/>
        <v>1935082.75</v>
      </c>
      <c r="T519" s="6">
        <f t="shared" si="44"/>
        <v>1</v>
      </c>
    </row>
    <row r="520" spans="1:20" x14ac:dyDescent="0.3">
      <c r="A520" t="s">
        <v>1599</v>
      </c>
      <c r="B520" s="13" t="s">
        <v>704</v>
      </c>
      <c r="C520" s="16">
        <f t="shared" si="40"/>
        <v>45748</v>
      </c>
      <c r="D520" t="s">
        <v>1011</v>
      </c>
      <c r="E520" t="s">
        <v>49</v>
      </c>
      <c r="F520" t="s">
        <v>963</v>
      </c>
      <c r="G520" t="s">
        <v>1040</v>
      </c>
      <c r="H520" t="str">
        <f xml:space="preserve"> "Not Found"</f>
        <v>Not Found</v>
      </c>
      <c r="I520">
        <v>1394</v>
      </c>
      <c r="J520" s="3">
        <v>169.74</v>
      </c>
      <c r="K520" s="3">
        <v>236617.56</v>
      </c>
      <c r="L520">
        <v>59</v>
      </c>
      <c r="M520" t="s">
        <v>486</v>
      </c>
      <c r="N520" s="16">
        <f t="shared" si="41"/>
        <v>45748</v>
      </c>
      <c r="O520" t="s">
        <v>486</v>
      </c>
      <c r="P520" t="str">
        <f t="shared" si="42"/>
        <v>April 2025</v>
      </c>
      <c r="Q520" t="s">
        <v>966</v>
      </c>
      <c r="R520" s="8">
        <v>2623.38</v>
      </c>
      <c r="S520" s="8">
        <f t="shared" si="43"/>
        <v>239240.94</v>
      </c>
      <c r="T520" s="6">
        <f t="shared" si="44"/>
        <v>0</v>
      </c>
    </row>
    <row r="521" spans="1:20" x14ac:dyDescent="0.3">
      <c r="A521" t="s">
        <v>1600</v>
      </c>
      <c r="B521" s="13" t="s">
        <v>532</v>
      </c>
      <c r="C521" s="16">
        <f t="shared" si="40"/>
        <v>45839</v>
      </c>
      <c r="D521" t="s">
        <v>961</v>
      </c>
      <c r="E521" t="s">
        <v>987</v>
      </c>
      <c r="F521" t="s">
        <v>980</v>
      </c>
      <c r="G521" t="s">
        <v>1087</v>
      </c>
      <c r="H521" t="s">
        <v>1000</v>
      </c>
      <c r="I521">
        <v>923</v>
      </c>
      <c r="J521" s="3">
        <v>368.99</v>
      </c>
      <c r="K521" s="3">
        <v>340577.77</v>
      </c>
      <c r="L521">
        <v>459</v>
      </c>
      <c r="M521" t="s">
        <v>1005</v>
      </c>
      <c r="N521" s="16">
        <f t="shared" si="41"/>
        <v>45839</v>
      </c>
      <c r="O521" t="s">
        <v>98</v>
      </c>
      <c r="P521" t="str">
        <f t="shared" si="42"/>
        <v>July 2025</v>
      </c>
      <c r="Q521" t="s">
        <v>966</v>
      </c>
      <c r="R521" s="8">
        <v>25851.15</v>
      </c>
      <c r="S521" s="8">
        <f t="shared" si="43"/>
        <v>366428.92000000004</v>
      </c>
      <c r="T521" s="6">
        <f t="shared" si="44"/>
        <v>-1</v>
      </c>
    </row>
    <row r="522" spans="1:20" x14ac:dyDescent="0.3">
      <c r="A522" t="s">
        <v>1601</v>
      </c>
      <c r="B522" s="13" t="s">
        <v>336</v>
      </c>
      <c r="C522" s="16">
        <f t="shared" si="40"/>
        <v>45809</v>
      </c>
      <c r="D522" t="s">
        <v>1003</v>
      </c>
      <c r="E522" t="s">
        <v>49</v>
      </c>
      <c r="F522" t="s">
        <v>971</v>
      </c>
      <c r="G522" t="s">
        <v>991</v>
      </c>
      <c r="H522" t="s">
        <v>965</v>
      </c>
      <c r="I522">
        <v>1396</v>
      </c>
      <c r="J522" s="3">
        <v>154.9</v>
      </c>
      <c r="K522" s="3">
        <v>216240.4</v>
      </c>
      <c r="L522">
        <v>352</v>
      </c>
      <c r="M522" t="s">
        <v>1368</v>
      </c>
      <c r="N522" s="16">
        <f t="shared" si="41"/>
        <v>45809</v>
      </c>
      <c r="O522" t="s">
        <v>1368</v>
      </c>
      <c r="P522" t="str">
        <f t="shared" si="42"/>
        <v>June 2025</v>
      </c>
      <c r="Q522" t="s">
        <v>966</v>
      </c>
      <c r="R522" s="8">
        <v>12455.08</v>
      </c>
      <c r="S522" s="8">
        <f t="shared" si="43"/>
        <v>228695.47999999998</v>
      </c>
      <c r="T522" s="6">
        <f t="shared" si="44"/>
        <v>0</v>
      </c>
    </row>
    <row r="523" spans="1:20" x14ac:dyDescent="0.3">
      <c r="A523" t="s">
        <v>1602</v>
      </c>
      <c r="B523" s="13" t="s">
        <v>697</v>
      </c>
      <c r="C523" s="16">
        <f t="shared" si="40"/>
        <v>45689</v>
      </c>
      <c r="D523" t="s">
        <v>1011</v>
      </c>
      <c r="E523" t="s">
        <v>987</v>
      </c>
      <c r="F523" t="s">
        <v>956</v>
      </c>
      <c r="G523" t="s">
        <v>1040</v>
      </c>
      <c r="H523" t="s">
        <v>1023</v>
      </c>
      <c r="I523">
        <v>579</v>
      </c>
      <c r="J523" s="3">
        <v>676.26</v>
      </c>
      <c r="K523" s="3">
        <v>391554.54</v>
      </c>
      <c r="L523">
        <v>640</v>
      </c>
      <c r="M523" t="s">
        <v>1226</v>
      </c>
      <c r="N523" s="16">
        <f t="shared" si="41"/>
        <v>45689</v>
      </c>
      <c r="O523" t="s">
        <v>1226</v>
      </c>
      <c r="P523" t="str">
        <f t="shared" si="42"/>
        <v>February 2025</v>
      </c>
      <c r="Q523" t="s">
        <v>966</v>
      </c>
      <c r="R523" s="8">
        <v>27919.47</v>
      </c>
      <c r="S523" s="8">
        <f t="shared" si="43"/>
        <v>419474.01</v>
      </c>
      <c r="T523" s="6">
        <f t="shared" si="44"/>
        <v>0</v>
      </c>
    </row>
    <row r="524" spans="1:20" x14ac:dyDescent="0.3">
      <c r="A524" t="s">
        <v>1603</v>
      </c>
      <c r="B524" s="13" t="s">
        <v>289</v>
      </c>
      <c r="C524" s="16">
        <f t="shared" si="40"/>
        <v>45870</v>
      </c>
      <c r="D524" t="s">
        <v>975</v>
      </c>
      <c r="E524" t="s">
        <v>962</v>
      </c>
      <c r="F524" t="s">
        <v>963</v>
      </c>
      <c r="G524" t="s">
        <v>1087</v>
      </c>
      <c r="H524" t="s">
        <v>977</v>
      </c>
      <c r="I524">
        <v>2500</v>
      </c>
      <c r="J524" s="3">
        <v>702.79</v>
      </c>
      <c r="K524" s="3">
        <v>1756975</v>
      </c>
      <c r="L524">
        <v>674</v>
      </c>
      <c r="M524" t="s">
        <v>1266</v>
      </c>
      <c r="N524" s="16">
        <f t="shared" si="41"/>
        <v>45870</v>
      </c>
      <c r="O524" t="s">
        <v>1266</v>
      </c>
      <c r="P524" t="str">
        <f t="shared" si="42"/>
        <v>August 2025</v>
      </c>
      <c r="Q524" t="s">
        <v>966</v>
      </c>
      <c r="R524" s="8">
        <v>32968.6</v>
      </c>
      <c r="S524" s="8">
        <f t="shared" si="43"/>
        <v>1789943.6</v>
      </c>
      <c r="T524" s="6">
        <f t="shared" si="44"/>
        <v>0</v>
      </c>
    </row>
    <row r="525" spans="1:20" x14ac:dyDescent="0.3">
      <c r="A525" t="s">
        <v>1604</v>
      </c>
      <c r="B525" s="13" t="s">
        <v>1490</v>
      </c>
      <c r="C525" s="16">
        <f t="shared" si="40"/>
        <v>45717</v>
      </c>
      <c r="D525" t="s">
        <v>984</v>
      </c>
      <c r="E525" t="s">
        <v>43</v>
      </c>
      <c r="F525" t="s">
        <v>956</v>
      </c>
      <c r="G525" t="s">
        <v>1098</v>
      </c>
      <c r="H525" t="s">
        <v>958</v>
      </c>
      <c r="I525">
        <v>1378</v>
      </c>
      <c r="J525" s="3">
        <v>56.7</v>
      </c>
      <c r="K525" s="3">
        <v>78132.600000000006</v>
      </c>
      <c r="L525">
        <v>29</v>
      </c>
      <c r="M525" t="s">
        <v>627</v>
      </c>
      <c r="N525" s="16">
        <f t="shared" si="41"/>
        <v>45717</v>
      </c>
      <c r="O525" t="s">
        <v>103</v>
      </c>
      <c r="P525" t="str">
        <f t="shared" si="42"/>
        <v>March 2025</v>
      </c>
      <c r="Q525" t="s">
        <v>959</v>
      </c>
      <c r="R525" s="8">
        <v>1180.58</v>
      </c>
      <c r="S525" s="8">
        <f t="shared" si="43"/>
        <v>79313.180000000008</v>
      </c>
      <c r="T525" s="6">
        <f t="shared" si="44"/>
        <v>1</v>
      </c>
    </row>
    <row r="526" spans="1:20" x14ac:dyDescent="0.3">
      <c r="A526" t="s">
        <v>1605</v>
      </c>
      <c r="B526" s="13" t="s">
        <v>428</v>
      </c>
      <c r="C526" s="16">
        <f t="shared" si="40"/>
        <v>45931</v>
      </c>
      <c r="D526" t="s">
        <v>984</v>
      </c>
      <c r="E526" t="s">
        <v>990</v>
      </c>
      <c r="F526" t="s">
        <v>956</v>
      </c>
      <c r="G526" t="s">
        <v>981</v>
      </c>
      <c r="H526" t="s">
        <v>965</v>
      </c>
      <c r="I526">
        <v>1924</v>
      </c>
      <c r="J526" s="3">
        <v>675.36</v>
      </c>
      <c r="K526" s="3">
        <v>1299392.6399999999</v>
      </c>
      <c r="L526">
        <v>527</v>
      </c>
      <c r="M526" t="s">
        <v>338</v>
      </c>
      <c r="N526" s="16">
        <f t="shared" si="41"/>
        <v>45931</v>
      </c>
      <c r="O526" t="s">
        <v>311</v>
      </c>
      <c r="P526" t="str">
        <f t="shared" si="42"/>
        <v>October 2025</v>
      </c>
      <c r="Q526" t="s">
        <v>959</v>
      </c>
      <c r="R526" s="8">
        <v>30334.3</v>
      </c>
      <c r="S526" s="8">
        <f t="shared" si="43"/>
        <v>1329726.94</v>
      </c>
      <c r="T526" s="6">
        <f t="shared" si="44"/>
        <v>2</v>
      </c>
    </row>
    <row r="527" spans="1:20" x14ac:dyDescent="0.3">
      <c r="A527" t="s">
        <v>1606</v>
      </c>
      <c r="B527" s="13" t="s">
        <v>132</v>
      </c>
      <c r="C527" s="16">
        <f t="shared" si="40"/>
        <v>45809</v>
      </c>
      <c r="D527" t="s">
        <v>1003</v>
      </c>
      <c r="E527" t="s">
        <v>990</v>
      </c>
      <c r="F527" t="s">
        <v>963</v>
      </c>
      <c r="G527" t="s">
        <v>1004</v>
      </c>
      <c r="H527" t="s">
        <v>1034</v>
      </c>
      <c r="I527">
        <v>555</v>
      </c>
      <c r="J527" s="3">
        <v>795.38</v>
      </c>
      <c r="K527" s="3">
        <v>441435.9</v>
      </c>
      <c r="L527">
        <v>513</v>
      </c>
      <c r="M527" t="s">
        <v>79</v>
      </c>
      <c r="N527" s="16">
        <f t="shared" si="41"/>
        <v>45809</v>
      </c>
      <c r="O527" t="s">
        <v>416</v>
      </c>
      <c r="P527" t="str">
        <f t="shared" si="42"/>
        <v>June 2025</v>
      </c>
      <c r="Q527" t="s">
        <v>966</v>
      </c>
      <c r="R527" s="8">
        <v>20694.79</v>
      </c>
      <c r="S527" s="8">
        <f t="shared" si="43"/>
        <v>462130.69</v>
      </c>
      <c r="T527" s="6">
        <f t="shared" si="44"/>
        <v>-1</v>
      </c>
    </row>
    <row r="528" spans="1:20" x14ac:dyDescent="0.3">
      <c r="A528" t="s">
        <v>1607</v>
      </c>
      <c r="B528" s="13" t="s">
        <v>74</v>
      </c>
      <c r="C528" s="16">
        <f t="shared" si="40"/>
        <v>45689</v>
      </c>
      <c r="D528" t="s">
        <v>1003</v>
      </c>
      <c r="E528" t="s">
        <v>962</v>
      </c>
      <c r="F528" t="s">
        <v>956</v>
      </c>
      <c r="G528" t="s">
        <v>1004</v>
      </c>
      <c r="H528" t="s">
        <v>977</v>
      </c>
      <c r="I528">
        <v>743</v>
      </c>
      <c r="J528" s="3">
        <v>469.43</v>
      </c>
      <c r="K528" s="3">
        <v>348786.49</v>
      </c>
      <c r="L528">
        <v>123</v>
      </c>
      <c r="M528" t="s">
        <v>182</v>
      </c>
      <c r="N528" s="16">
        <f t="shared" si="41"/>
        <v>45689</v>
      </c>
      <c r="O528" t="s">
        <v>230</v>
      </c>
      <c r="P528" t="str">
        <f t="shared" si="42"/>
        <v>February 2025</v>
      </c>
      <c r="Q528" t="s">
        <v>959</v>
      </c>
      <c r="R528" s="8">
        <v>4841.41</v>
      </c>
      <c r="S528" s="8">
        <f t="shared" si="43"/>
        <v>353627.89999999997</v>
      </c>
      <c r="T528" s="6">
        <f t="shared" si="44"/>
        <v>4</v>
      </c>
    </row>
    <row r="529" spans="1:20" x14ac:dyDescent="0.3">
      <c r="A529" t="s">
        <v>1608</v>
      </c>
      <c r="B529" s="13" t="s">
        <v>448</v>
      </c>
      <c r="C529" s="16">
        <f t="shared" si="40"/>
        <v>45748</v>
      </c>
      <c r="D529" t="s">
        <v>984</v>
      </c>
      <c r="E529" t="s">
        <v>990</v>
      </c>
      <c r="F529" t="s">
        <v>963</v>
      </c>
      <c r="G529" t="s">
        <v>981</v>
      </c>
      <c r="H529" t="s">
        <v>992</v>
      </c>
      <c r="I529">
        <v>1519</v>
      </c>
      <c r="J529" s="3">
        <v>839.24</v>
      </c>
      <c r="K529" s="3">
        <v>1274805.56</v>
      </c>
      <c r="L529">
        <v>672</v>
      </c>
      <c r="M529" t="s">
        <v>208</v>
      </c>
      <c r="N529" s="16">
        <f t="shared" si="41"/>
        <v>45748</v>
      </c>
      <c r="O529" t="s">
        <v>683</v>
      </c>
      <c r="P529" t="str">
        <f t="shared" si="42"/>
        <v>April 2025</v>
      </c>
      <c r="Q529" t="s">
        <v>959</v>
      </c>
      <c r="R529" s="8">
        <v>25955.03</v>
      </c>
      <c r="S529" s="8">
        <f t="shared" si="43"/>
        <v>1300760.5900000001</v>
      </c>
      <c r="T529" s="6">
        <f t="shared" si="44"/>
        <v>2</v>
      </c>
    </row>
    <row r="530" spans="1:20" x14ac:dyDescent="0.3">
      <c r="A530" t="s">
        <v>1609</v>
      </c>
      <c r="B530" s="13" t="s">
        <v>829</v>
      </c>
      <c r="C530" s="16">
        <f t="shared" si="40"/>
        <v>45962</v>
      </c>
      <c r="D530" t="s">
        <v>961</v>
      </c>
      <c r="E530" t="s">
        <v>49</v>
      </c>
      <c r="F530" t="s">
        <v>956</v>
      </c>
      <c r="G530" t="s">
        <v>1132</v>
      </c>
      <c r="H530" t="s">
        <v>1034</v>
      </c>
      <c r="I530">
        <v>73</v>
      </c>
      <c r="J530" s="3">
        <v>416.2</v>
      </c>
      <c r="K530" s="3">
        <v>30382.6</v>
      </c>
      <c r="L530">
        <v>717</v>
      </c>
      <c r="M530" t="s">
        <v>109</v>
      </c>
      <c r="N530" s="16">
        <f t="shared" si="41"/>
        <v>45962</v>
      </c>
      <c r="O530" t="s">
        <v>109</v>
      </c>
      <c r="P530" t="str">
        <f t="shared" si="42"/>
        <v>November 2025</v>
      </c>
      <c r="Q530" t="s">
        <v>966</v>
      </c>
      <c r="R530" s="8">
        <v>42834.559999999998</v>
      </c>
      <c r="S530" s="8">
        <f t="shared" si="43"/>
        <v>73217.16</v>
      </c>
      <c r="T530" s="6">
        <f t="shared" si="44"/>
        <v>0</v>
      </c>
    </row>
    <row r="531" spans="1:20" x14ac:dyDescent="0.3">
      <c r="A531" t="s">
        <v>1610</v>
      </c>
      <c r="B531" s="13" t="s">
        <v>219</v>
      </c>
      <c r="C531" s="16">
        <f t="shared" si="40"/>
        <v>45778</v>
      </c>
      <c r="D531" t="s">
        <v>1021</v>
      </c>
      <c r="E531" t="s">
        <v>33</v>
      </c>
      <c r="F531" t="s">
        <v>971</v>
      </c>
      <c r="G531" t="s">
        <v>1132</v>
      </c>
      <c r="H531" t="s">
        <v>965</v>
      </c>
      <c r="I531">
        <v>2207</v>
      </c>
      <c r="J531" s="3">
        <v>745.2</v>
      </c>
      <c r="K531" s="3">
        <v>1644656.4</v>
      </c>
      <c r="L531">
        <v>616</v>
      </c>
      <c r="M531" t="s">
        <v>876</v>
      </c>
      <c r="N531" s="16">
        <f t="shared" si="41"/>
        <v>45778</v>
      </c>
      <c r="O531" t="s">
        <v>1097</v>
      </c>
      <c r="P531" t="str">
        <f t="shared" si="42"/>
        <v>May 2025</v>
      </c>
      <c r="Q531" t="s">
        <v>966</v>
      </c>
      <c r="R531" s="8">
        <v>0</v>
      </c>
      <c r="S531" s="8">
        <f t="shared" si="43"/>
        <v>1644656.4</v>
      </c>
      <c r="T531" s="6">
        <f t="shared" si="44"/>
        <v>-1</v>
      </c>
    </row>
    <row r="532" spans="1:20" x14ac:dyDescent="0.3">
      <c r="A532" t="s">
        <v>1611</v>
      </c>
      <c r="B532" s="13" t="s">
        <v>122</v>
      </c>
      <c r="C532" s="16">
        <f t="shared" si="40"/>
        <v>45931</v>
      </c>
      <c r="D532" t="s">
        <v>955</v>
      </c>
      <c r="E532" t="s">
        <v>990</v>
      </c>
      <c r="F532" t="s">
        <v>956</v>
      </c>
      <c r="G532" t="s">
        <v>1078</v>
      </c>
      <c r="H532" t="s">
        <v>965</v>
      </c>
      <c r="I532">
        <v>1624</v>
      </c>
      <c r="J532" s="3">
        <v>360.86</v>
      </c>
      <c r="K532" s="3">
        <v>586036.64</v>
      </c>
      <c r="L532">
        <v>435</v>
      </c>
      <c r="M532" t="s">
        <v>400</v>
      </c>
      <c r="N532" s="16">
        <f t="shared" si="41"/>
        <v>45931</v>
      </c>
      <c r="O532" t="s">
        <v>400</v>
      </c>
      <c r="P532" t="str">
        <f t="shared" si="42"/>
        <v>October 2025</v>
      </c>
      <c r="Q532" t="s">
        <v>966</v>
      </c>
      <c r="R532" s="8">
        <v>18914.89</v>
      </c>
      <c r="S532" s="8">
        <f t="shared" si="43"/>
        <v>604951.53</v>
      </c>
      <c r="T532" s="6">
        <f t="shared" si="44"/>
        <v>0</v>
      </c>
    </row>
    <row r="533" spans="1:20" x14ac:dyDescent="0.3">
      <c r="A533" t="s">
        <v>1612</v>
      </c>
      <c r="B533" s="13" t="s">
        <v>398</v>
      </c>
      <c r="C533" s="16">
        <f t="shared" si="40"/>
        <v>45748</v>
      </c>
      <c r="D533" t="s">
        <v>984</v>
      </c>
      <c r="E533" t="s">
        <v>33</v>
      </c>
      <c r="F533" t="s">
        <v>956</v>
      </c>
      <c r="G533" t="s">
        <v>994</v>
      </c>
      <c r="H533" t="s">
        <v>973</v>
      </c>
      <c r="I533">
        <v>1075</v>
      </c>
      <c r="J533" s="3">
        <v>560.72</v>
      </c>
      <c r="K533" s="3">
        <v>602774</v>
      </c>
      <c r="L533">
        <v>532</v>
      </c>
      <c r="M533" t="s">
        <v>412</v>
      </c>
      <c r="N533" s="16">
        <f t="shared" si="41"/>
        <v>45748</v>
      </c>
      <c r="O533" t="s">
        <v>116</v>
      </c>
      <c r="P533" t="str">
        <f t="shared" si="42"/>
        <v>April 2025</v>
      </c>
      <c r="Q533" t="s">
        <v>959</v>
      </c>
      <c r="R533" s="8">
        <v>30211.759999999998</v>
      </c>
      <c r="S533" s="8">
        <f t="shared" si="43"/>
        <v>632985.76</v>
      </c>
      <c r="T533" s="6">
        <f t="shared" si="44"/>
        <v>2</v>
      </c>
    </row>
    <row r="534" spans="1:20" x14ac:dyDescent="0.3">
      <c r="A534" t="s">
        <v>1613</v>
      </c>
      <c r="B534" s="13" t="s">
        <v>536</v>
      </c>
      <c r="C534" s="16">
        <f t="shared" si="40"/>
        <v>45962</v>
      </c>
      <c r="D534" t="s">
        <v>955</v>
      </c>
      <c r="E534" t="s">
        <v>962</v>
      </c>
      <c r="F534" t="s">
        <v>963</v>
      </c>
      <c r="G534" t="s">
        <v>972</v>
      </c>
      <c r="H534" t="s">
        <v>1023</v>
      </c>
      <c r="I534">
        <v>328</v>
      </c>
      <c r="J534" s="3">
        <v>603.41999999999996</v>
      </c>
      <c r="K534" s="3">
        <v>197921.76</v>
      </c>
      <c r="L534">
        <v>398</v>
      </c>
      <c r="M534" t="s">
        <v>270</v>
      </c>
      <c r="N534" s="16">
        <f t="shared" si="41"/>
        <v>45962</v>
      </c>
      <c r="O534" t="s">
        <v>305</v>
      </c>
      <c r="P534" t="str">
        <f t="shared" si="42"/>
        <v>November 2025</v>
      </c>
      <c r="Q534" t="s">
        <v>966</v>
      </c>
      <c r="R534" s="8">
        <v>23668.19</v>
      </c>
      <c r="S534" s="8">
        <f t="shared" si="43"/>
        <v>221589.95</v>
      </c>
      <c r="T534" s="6">
        <f t="shared" si="44"/>
        <v>-1</v>
      </c>
    </row>
    <row r="535" spans="1:20" x14ac:dyDescent="0.3">
      <c r="A535" t="s">
        <v>1614</v>
      </c>
      <c r="B535" s="13" t="s">
        <v>277</v>
      </c>
      <c r="C535" s="16">
        <f t="shared" si="40"/>
        <v>45839</v>
      </c>
      <c r="D535" t="s">
        <v>961</v>
      </c>
      <c r="E535" t="s">
        <v>33</v>
      </c>
      <c r="F535" t="s">
        <v>971</v>
      </c>
      <c r="G535" t="s">
        <v>994</v>
      </c>
      <c r="H535" t="s">
        <v>958</v>
      </c>
      <c r="I535">
        <v>2385</v>
      </c>
      <c r="J535" s="3">
        <v>47.98</v>
      </c>
      <c r="K535" s="3">
        <v>114432.3</v>
      </c>
      <c r="L535">
        <v>495</v>
      </c>
      <c r="M535" t="s">
        <v>430</v>
      </c>
      <c r="N535" s="16">
        <f t="shared" si="41"/>
        <v>45839</v>
      </c>
      <c r="O535" t="s">
        <v>480</v>
      </c>
      <c r="P535" t="str">
        <f t="shared" si="42"/>
        <v>August 2025</v>
      </c>
      <c r="Q535" t="s">
        <v>959</v>
      </c>
      <c r="R535" s="8">
        <v>25318.34</v>
      </c>
      <c r="S535" s="8">
        <f t="shared" si="43"/>
        <v>139750.64000000001</v>
      </c>
      <c r="T535" s="6">
        <f t="shared" si="44"/>
        <v>3</v>
      </c>
    </row>
    <row r="536" spans="1:20" x14ac:dyDescent="0.3">
      <c r="A536" t="s">
        <v>1615</v>
      </c>
      <c r="B536" s="13" t="s">
        <v>387</v>
      </c>
      <c r="C536" s="16">
        <f t="shared" si="40"/>
        <v>45778</v>
      </c>
      <c r="D536" t="s">
        <v>984</v>
      </c>
      <c r="E536" t="s">
        <v>49</v>
      </c>
      <c r="F536" t="s">
        <v>980</v>
      </c>
      <c r="G536" t="s">
        <v>1072</v>
      </c>
      <c r="H536" t="s">
        <v>973</v>
      </c>
      <c r="I536">
        <v>484</v>
      </c>
      <c r="J536" s="3">
        <v>740.95</v>
      </c>
      <c r="K536" s="3">
        <v>358619.8</v>
      </c>
      <c r="L536">
        <v>271</v>
      </c>
      <c r="M536" t="s">
        <v>1210</v>
      </c>
      <c r="N536" s="16">
        <f t="shared" si="41"/>
        <v>45778</v>
      </c>
      <c r="O536" t="s">
        <v>1210</v>
      </c>
      <c r="P536" t="str">
        <f t="shared" si="42"/>
        <v>May 2025</v>
      </c>
      <c r="Q536" t="s">
        <v>966</v>
      </c>
      <c r="R536" s="8">
        <v>13299.94</v>
      </c>
      <c r="S536" s="8">
        <f t="shared" si="43"/>
        <v>371919.74</v>
      </c>
      <c r="T536" s="6">
        <f t="shared" si="44"/>
        <v>0</v>
      </c>
    </row>
    <row r="537" spans="1:20" x14ac:dyDescent="0.3">
      <c r="A537" t="s">
        <v>1616</v>
      </c>
      <c r="B537" s="13" t="s">
        <v>970</v>
      </c>
      <c r="C537" s="16">
        <f t="shared" si="40"/>
        <v>45658</v>
      </c>
      <c r="D537" t="s">
        <v>1011</v>
      </c>
      <c r="E537" t="s">
        <v>962</v>
      </c>
      <c r="F537" t="s">
        <v>956</v>
      </c>
      <c r="G537" t="s">
        <v>988</v>
      </c>
      <c r="H537" t="s">
        <v>965</v>
      </c>
      <c r="I537">
        <v>1226</v>
      </c>
      <c r="J537" s="3">
        <v>279.77</v>
      </c>
      <c r="K537" s="3">
        <v>342998.02</v>
      </c>
      <c r="L537">
        <v>265</v>
      </c>
      <c r="M537" t="s">
        <v>149</v>
      </c>
      <c r="N537" s="16">
        <f t="shared" si="41"/>
        <v>45658</v>
      </c>
      <c r="O537" t="s">
        <v>613</v>
      </c>
      <c r="P537" t="str">
        <f t="shared" si="42"/>
        <v>January 2025</v>
      </c>
      <c r="Q537" t="s">
        <v>959</v>
      </c>
      <c r="R537" s="8">
        <v>15831.74</v>
      </c>
      <c r="S537" s="8">
        <f t="shared" si="43"/>
        <v>358829.76</v>
      </c>
      <c r="T537" s="6">
        <f t="shared" si="44"/>
        <v>1</v>
      </c>
    </row>
    <row r="538" spans="1:20" x14ac:dyDescent="0.3">
      <c r="A538" t="s">
        <v>1617</v>
      </c>
      <c r="B538" s="13" t="s">
        <v>345</v>
      </c>
      <c r="C538" s="16">
        <f t="shared" si="40"/>
        <v>45658</v>
      </c>
      <c r="D538" t="s">
        <v>968</v>
      </c>
      <c r="E538" t="s">
        <v>49</v>
      </c>
      <c r="F538" t="s">
        <v>963</v>
      </c>
      <c r="G538" t="s">
        <v>1012</v>
      </c>
      <c r="H538" t="s">
        <v>973</v>
      </c>
      <c r="I538">
        <v>1398</v>
      </c>
      <c r="J538" s="3">
        <v>702.34</v>
      </c>
      <c r="K538" s="3">
        <v>981871.32</v>
      </c>
      <c r="L538">
        <v>281</v>
      </c>
      <c r="M538" t="s">
        <v>717</v>
      </c>
      <c r="N538" s="16">
        <f t="shared" si="41"/>
        <v>45658</v>
      </c>
      <c r="O538" t="s">
        <v>717</v>
      </c>
      <c r="P538" t="str">
        <f t="shared" si="42"/>
        <v>January 2025</v>
      </c>
      <c r="Q538" t="s">
        <v>966</v>
      </c>
      <c r="R538" s="8">
        <v>9983.33</v>
      </c>
      <c r="S538" s="8">
        <f t="shared" si="43"/>
        <v>991854.64999999991</v>
      </c>
      <c r="T538" s="6">
        <f t="shared" si="44"/>
        <v>0</v>
      </c>
    </row>
    <row r="539" spans="1:20" x14ac:dyDescent="0.3">
      <c r="A539" t="s">
        <v>1618</v>
      </c>
      <c r="B539" s="13" t="s">
        <v>174</v>
      </c>
      <c r="C539" s="16">
        <f t="shared" si="40"/>
        <v>45809</v>
      </c>
      <c r="D539" t="s">
        <v>1011</v>
      </c>
      <c r="E539" t="s">
        <v>33</v>
      </c>
      <c r="F539" t="s">
        <v>963</v>
      </c>
      <c r="G539" t="s">
        <v>1221</v>
      </c>
      <c r="H539" t="str">
        <f xml:space="preserve"> "Not Found"</f>
        <v>Not Found</v>
      </c>
      <c r="I539">
        <v>443</v>
      </c>
      <c r="J539" s="3">
        <v>63.51</v>
      </c>
      <c r="K539" s="3">
        <v>28134.93</v>
      </c>
      <c r="L539">
        <v>146</v>
      </c>
      <c r="M539" t="s">
        <v>244</v>
      </c>
      <c r="N539" s="16">
        <f t="shared" si="41"/>
        <v>45809</v>
      </c>
      <c r="O539" t="s">
        <v>1245</v>
      </c>
      <c r="P539" t="str">
        <f t="shared" si="42"/>
        <v>June 2025</v>
      </c>
      <c r="Q539" t="s">
        <v>959</v>
      </c>
      <c r="R539" s="8">
        <v>5536.24</v>
      </c>
      <c r="S539" s="8">
        <f t="shared" si="43"/>
        <v>33671.17</v>
      </c>
      <c r="T539" s="6">
        <f t="shared" si="44"/>
        <v>3</v>
      </c>
    </row>
    <row r="540" spans="1:20" x14ac:dyDescent="0.3">
      <c r="A540" t="s">
        <v>1619</v>
      </c>
      <c r="B540" s="13" t="s">
        <v>691</v>
      </c>
      <c r="C540" s="16">
        <f t="shared" si="40"/>
        <v>45658</v>
      </c>
      <c r="D540" t="s">
        <v>1021</v>
      </c>
      <c r="E540" t="s">
        <v>49</v>
      </c>
      <c r="F540" t="s">
        <v>971</v>
      </c>
      <c r="G540" t="s">
        <v>1087</v>
      </c>
      <c r="H540" t="s">
        <v>992</v>
      </c>
      <c r="I540">
        <v>2253</v>
      </c>
      <c r="J540" s="3">
        <v>680.93</v>
      </c>
      <c r="K540" s="3">
        <v>1534135.29</v>
      </c>
      <c r="L540">
        <v>668</v>
      </c>
      <c r="M540" t="s">
        <v>438</v>
      </c>
      <c r="N540" s="16">
        <f t="shared" si="41"/>
        <v>45658</v>
      </c>
      <c r="O540" t="s">
        <v>717</v>
      </c>
      <c r="P540" t="str">
        <f t="shared" si="42"/>
        <v>January 2025</v>
      </c>
      <c r="Q540" t="s">
        <v>959</v>
      </c>
      <c r="R540" s="8">
        <v>23813.77</v>
      </c>
      <c r="S540" s="8">
        <f t="shared" si="43"/>
        <v>1557949.06</v>
      </c>
      <c r="T540" s="6">
        <f t="shared" si="44"/>
        <v>2</v>
      </c>
    </row>
    <row r="541" spans="1:20" x14ac:dyDescent="0.3">
      <c r="A541" t="s">
        <v>1620</v>
      </c>
      <c r="B541" s="13" t="s">
        <v>172</v>
      </c>
      <c r="C541" s="16">
        <f t="shared" si="40"/>
        <v>45658</v>
      </c>
      <c r="D541" t="s">
        <v>975</v>
      </c>
      <c r="E541" t="s">
        <v>49</v>
      </c>
      <c r="F541" t="s">
        <v>956</v>
      </c>
      <c r="G541" t="s">
        <v>1051</v>
      </c>
      <c r="H541" t="s">
        <v>982</v>
      </c>
      <c r="I541">
        <v>1279</v>
      </c>
      <c r="J541" s="3">
        <v>671.2</v>
      </c>
      <c r="K541" s="3">
        <v>858464.8</v>
      </c>
      <c r="L541">
        <v>418</v>
      </c>
      <c r="M541" t="s">
        <v>730</v>
      </c>
      <c r="N541" s="16">
        <f t="shared" si="41"/>
        <v>45658</v>
      </c>
      <c r="O541" t="s">
        <v>459</v>
      </c>
      <c r="P541" t="str">
        <f t="shared" si="42"/>
        <v>January 2025</v>
      </c>
      <c r="Q541" t="s">
        <v>959</v>
      </c>
      <c r="R541" s="8">
        <v>22931.59</v>
      </c>
      <c r="S541" s="8">
        <f t="shared" si="43"/>
        <v>881396.39</v>
      </c>
      <c r="T541" s="6">
        <f t="shared" si="44"/>
        <v>1</v>
      </c>
    </row>
    <row r="542" spans="1:20" x14ac:dyDescent="0.3">
      <c r="A542" t="s">
        <v>1621</v>
      </c>
      <c r="B542" s="13" t="s">
        <v>143</v>
      </c>
      <c r="C542" s="16">
        <f t="shared" si="40"/>
        <v>45778</v>
      </c>
      <c r="D542" t="s">
        <v>975</v>
      </c>
      <c r="E542" t="s">
        <v>43</v>
      </c>
      <c r="F542" t="s">
        <v>980</v>
      </c>
      <c r="G542" t="s">
        <v>976</v>
      </c>
      <c r="H542" t="s">
        <v>1023</v>
      </c>
      <c r="I542">
        <v>2413</v>
      </c>
      <c r="J542" s="3">
        <v>770.28</v>
      </c>
      <c r="K542" s="3">
        <v>1858685.64</v>
      </c>
      <c r="L542">
        <v>543</v>
      </c>
      <c r="M542" t="s">
        <v>668</v>
      </c>
      <c r="N542" s="16">
        <f t="shared" si="41"/>
        <v>45778</v>
      </c>
      <c r="O542" t="s">
        <v>84</v>
      </c>
      <c r="P542" t="str">
        <f t="shared" si="42"/>
        <v>May 2025</v>
      </c>
      <c r="Q542" t="s">
        <v>959</v>
      </c>
      <c r="R542" s="8">
        <v>26997.86</v>
      </c>
      <c r="S542" s="8">
        <f t="shared" si="43"/>
        <v>1885683.5</v>
      </c>
      <c r="T542" s="6">
        <f t="shared" si="44"/>
        <v>1</v>
      </c>
    </row>
    <row r="543" spans="1:20" x14ac:dyDescent="0.3">
      <c r="A543" t="s">
        <v>1622</v>
      </c>
      <c r="B543" s="13" t="s">
        <v>448</v>
      </c>
      <c r="C543" s="16">
        <f t="shared" si="40"/>
        <v>45748</v>
      </c>
      <c r="D543" t="s">
        <v>955</v>
      </c>
      <c r="E543" t="s">
        <v>987</v>
      </c>
      <c r="F543" t="s">
        <v>980</v>
      </c>
      <c r="G543" t="s">
        <v>1042</v>
      </c>
      <c r="H543" t="s">
        <v>992</v>
      </c>
      <c r="I543">
        <v>195</v>
      </c>
      <c r="J543" s="3">
        <v>642.04</v>
      </c>
      <c r="K543" s="3">
        <v>125197.8</v>
      </c>
      <c r="L543">
        <v>351</v>
      </c>
      <c r="M543" t="s">
        <v>208</v>
      </c>
      <c r="N543" s="16">
        <f t="shared" si="41"/>
        <v>45748</v>
      </c>
      <c r="O543" t="s">
        <v>340</v>
      </c>
      <c r="P543" t="str">
        <f t="shared" si="42"/>
        <v>April 2025</v>
      </c>
      <c r="Q543" t="s">
        <v>959</v>
      </c>
      <c r="R543" s="8">
        <v>18657.68</v>
      </c>
      <c r="S543" s="8">
        <f t="shared" si="43"/>
        <v>143855.48000000001</v>
      </c>
      <c r="T543" s="6">
        <f t="shared" si="44"/>
        <v>3</v>
      </c>
    </row>
    <row r="544" spans="1:20" x14ac:dyDescent="0.3">
      <c r="A544" t="s">
        <v>1623</v>
      </c>
      <c r="B544" s="13" t="s">
        <v>1317</v>
      </c>
      <c r="C544" s="16">
        <f t="shared" si="40"/>
        <v>45962</v>
      </c>
      <c r="D544" t="s">
        <v>1021</v>
      </c>
      <c r="E544" t="s">
        <v>33</v>
      </c>
      <c r="F544" t="s">
        <v>980</v>
      </c>
      <c r="G544" t="s">
        <v>1026</v>
      </c>
      <c r="H544" t="s">
        <v>973</v>
      </c>
      <c r="I544">
        <v>938</v>
      </c>
      <c r="J544" s="3">
        <v>61.84</v>
      </c>
      <c r="K544" s="3">
        <v>58005.919999999998</v>
      </c>
      <c r="L544">
        <v>638</v>
      </c>
      <c r="M544" t="s">
        <v>318</v>
      </c>
      <c r="N544" s="16">
        <f t="shared" si="41"/>
        <v>45992</v>
      </c>
      <c r="O544" t="s">
        <v>318</v>
      </c>
      <c r="P544" t="str">
        <f t="shared" si="42"/>
        <v>December 2025</v>
      </c>
      <c r="Q544" t="s">
        <v>966</v>
      </c>
      <c r="R544" s="8">
        <v>25204.52</v>
      </c>
      <c r="S544" s="8">
        <f t="shared" si="43"/>
        <v>83210.44</v>
      </c>
      <c r="T544" s="6">
        <f t="shared" si="44"/>
        <v>0</v>
      </c>
    </row>
    <row r="545" spans="1:20" x14ac:dyDescent="0.3">
      <c r="A545" t="s">
        <v>1624</v>
      </c>
      <c r="B545" s="13" t="s">
        <v>598</v>
      </c>
      <c r="C545" s="16">
        <f t="shared" si="40"/>
        <v>45748</v>
      </c>
      <c r="D545" t="s">
        <v>1021</v>
      </c>
      <c r="E545" t="s">
        <v>49</v>
      </c>
      <c r="F545" t="s">
        <v>956</v>
      </c>
      <c r="G545" t="s">
        <v>1072</v>
      </c>
      <c r="H545" t="s">
        <v>973</v>
      </c>
      <c r="I545">
        <v>514</v>
      </c>
      <c r="J545" s="3">
        <v>241.83</v>
      </c>
      <c r="K545" s="3">
        <v>124300.62</v>
      </c>
      <c r="L545">
        <v>418</v>
      </c>
      <c r="M545" t="s">
        <v>704</v>
      </c>
      <c r="N545" s="16">
        <f t="shared" si="41"/>
        <v>45748</v>
      </c>
      <c r="O545" t="s">
        <v>704</v>
      </c>
      <c r="P545" t="str">
        <f t="shared" si="42"/>
        <v>April 2025</v>
      </c>
      <c r="Q545" t="s">
        <v>966</v>
      </c>
      <c r="R545" s="8">
        <v>16575.3</v>
      </c>
      <c r="S545" s="8">
        <f t="shared" si="43"/>
        <v>140875.91999999998</v>
      </c>
      <c r="T545" s="6">
        <f t="shared" si="44"/>
        <v>0</v>
      </c>
    </row>
    <row r="546" spans="1:20" x14ac:dyDescent="0.3">
      <c r="A546" t="s">
        <v>1625</v>
      </c>
      <c r="B546" s="13" t="s">
        <v>124</v>
      </c>
      <c r="C546" s="16">
        <f t="shared" si="40"/>
        <v>45901</v>
      </c>
      <c r="D546" t="s">
        <v>975</v>
      </c>
      <c r="E546" t="s">
        <v>990</v>
      </c>
      <c r="F546" t="s">
        <v>956</v>
      </c>
      <c r="G546" t="s">
        <v>1004</v>
      </c>
      <c r="H546" t="s">
        <v>958</v>
      </c>
      <c r="I546">
        <v>321</v>
      </c>
      <c r="J546" s="3">
        <v>119.5</v>
      </c>
      <c r="K546" s="3">
        <v>38359.5</v>
      </c>
      <c r="L546">
        <v>167</v>
      </c>
      <c r="M546" t="s">
        <v>422</v>
      </c>
      <c r="N546" s="16">
        <f t="shared" si="41"/>
        <v>45901</v>
      </c>
      <c r="O546" t="s">
        <v>422</v>
      </c>
      <c r="P546" t="str">
        <f t="shared" si="42"/>
        <v>September 2025</v>
      </c>
      <c r="Q546" t="s">
        <v>966</v>
      </c>
      <c r="R546" s="8">
        <v>10180.549999999999</v>
      </c>
      <c r="S546" s="8">
        <f t="shared" si="43"/>
        <v>48540.05</v>
      </c>
      <c r="T546" s="6">
        <f t="shared" si="44"/>
        <v>0</v>
      </c>
    </row>
    <row r="547" spans="1:20" x14ac:dyDescent="0.3">
      <c r="A547" t="s">
        <v>1626</v>
      </c>
      <c r="B547" s="13" t="s">
        <v>572</v>
      </c>
      <c r="C547" s="16">
        <f t="shared" si="40"/>
        <v>45870</v>
      </c>
      <c r="D547" t="s">
        <v>968</v>
      </c>
      <c r="E547" t="s">
        <v>962</v>
      </c>
      <c r="F547" t="s">
        <v>956</v>
      </c>
      <c r="G547" t="s">
        <v>1015</v>
      </c>
      <c r="H547" t="s">
        <v>1000</v>
      </c>
      <c r="I547">
        <v>1293</v>
      </c>
      <c r="J547" s="3">
        <v>748.36</v>
      </c>
      <c r="K547" s="3">
        <v>967629.48</v>
      </c>
      <c r="L547">
        <v>90</v>
      </c>
      <c r="M547" t="s">
        <v>1059</v>
      </c>
      <c r="N547" s="16">
        <f t="shared" si="41"/>
        <v>45870</v>
      </c>
      <c r="O547" t="s">
        <v>203</v>
      </c>
      <c r="P547" t="str">
        <f t="shared" si="42"/>
        <v>August 2025</v>
      </c>
      <c r="Q547" t="s">
        <v>959</v>
      </c>
      <c r="R547" s="8">
        <v>4082.03</v>
      </c>
      <c r="S547" s="8">
        <f t="shared" si="43"/>
        <v>971711.51</v>
      </c>
      <c r="T547" s="6">
        <f t="shared" si="44"/>
        <v>4</v>
      </c>
    </row>
    <row r="548" spans="1:20" x14ac:dyDescent="0.3">
      <c r="A548" t="s">
        <v>1627</v>
      </c>
      <c r="B548" s="13" t="s">
        <v>1288</v>
      </c>
      <c r="C548" s="16">
        <f t="shared" si="40"/>
        <v>45717</v>
      </c>
      <c r="D548" t="s">
        <v>955</v>
      </c>
      <c r="E548" t="s">
        <v>990</v>
      </c>
      <c r="F548" t="s">
        <v>980</v>
      </c>
      <c r="G548" t="s">
        <v>972</v>
      </c>
      <c r="H548" t="s">
        <v>992</v>
      </c>
      <c r="I548">
        <v>1639</v>
      </c>
      <c r="J548" s="3">
        <v>879.59</v>
      </c>
      <c r="K548" s="3">
        <v>1441648.01</v>
      </c>
      <c r="L548">
        <v>351</v>
      </c>
      <c r="M548" t="s">
        <v>1185</v>
      </c>
      <c r="N548" s="16">
        <f t="shared" si="41"/>
        <v>45717</v>
      </c>
      <c r="O548" t="s">
        <v>1490</v>
      </c>
      <c r="P548" t="str">
        <f t="shared" si="42"/>
        <v>March 2025</v>
      </c>
      <c r="Q548" t="s">
        <v>959</v>
      </c>
      <c r="R548" s="8">
        <v>12802.8</v>
      </c>
      <c r="S548" s="8">
        <f t="shared" si="43"/>
        <v>1454450.81</v>
      </c>
      <c r="T548" s="6">
        <f t="shared" si="44"/>
        <v>1</v>
      </c>
    </row>
    <row r="549" spans="1:20" x14ac:dyDescent="0.3">
      <c r="A549" t="s">
        <v>1628</v>
      </c>
      <c r="B549" s="13" t="s">
        <v>539</v>
      </c>
      <c r="C549" s="16">
        <f t="shared" si="40"/>
        <v>45748</v>
      </c>
      <c r="D549" t="s">
        <v>984</v>
      </c>
      <c r="E549" t="s">
        <v>990</v>
      </c>
      <c r="F549" t="s">
        <v>963</v>
      </c>
      <c r="G549" t="s">
        <v>1040</v>
      </c>
      <c r="H549" t="s">
        <v>958</v>
      </c>
      <c r="I549">
        <v>325</v>
      </c>
      <c r="J549" s="3">
        <v>51.13</v>
      </c>
      <c r="K549" s="3">
        <v>16617.25</v>
      </c>
      <c r="L549">
        <v>238</v>
      </c>
      <c r="M549" t="s">
        <v>745</v>
      </c>
      <c r="N549" s="16">
        <f t="shared" si="41"/>
        <v>45748</v>
      </c>
      <c r="O549" t="s">
        <v>745</v>
      </c>
      <c r="P549" t="str">
        <f t="shared" si="42"/>
        <v>April 2025</v>
      </c>
      <c r="Q549" t="s">
        <v>966</v>
      </c>
      <c r="R549" s="8">
        <v>9751.18</v>
      </c>
      <c r="S549" s="8">
        <f t="shared" si="43"/>
        <v>26368.43</v>
      </c>
      <c r="T549" s="6">
        <f t="shared" si="44"/>
        <v>0</v>
      </c>
    </row>
    <row r="550" spans="1:20" x14ac:dyDescent="0.3">
      <c r="A550" t="s">
        <v>1629</v>
      </c>
      <c r="B550" s="13" t="s">
        <v>279</v>
      </c>
      <c r="C550" s="16">
        <f t="shared" si="40"/>
        <v>45870</v>
      </c>
      <c r="D550" t="s">
        <v>975</v>
      </c>
      <c r="E550" t="s">
        <v>962</v>
      </c>
      <c r="F550" t="s">
        <v>956</v>
      </c>
      <c r="G550" t="s">
        <v>1004</v>
      </c>
      <c r="H550" t="s">
        <v>958</v>
      </c>
      <c r="I550">
        <v>1724</v>
      </c>
      <c r="J550" s="3">
        <v>831.2</v>
      </c>
      <c r="K550" s="3">
        <v>1432988.8</v>
      </c>
      <c r="L550">
        <v>31</v>
      </c>
      <c r="M550" t="s">
        <v>228</v>
      </c>
      <c r="N550" s="16">
        <f t="shared" si="41"/>
        <v>45870</v>
      </c>
      <c r="O550" t="s">
        <v>92</v>
      </c>
      <c r="P550" t="str">
        <f t="shared" si="42"/>
        <v>August 2025</v>
      </c>
      <c r="Q550" t="s">
        <v>959</v>
      </c>
      <c r="R550" s="8">
        <v>1832.76</v>
      </c>
      <c r="S550" s="8">
        <f t="shared" si="43"/>
        <v>1434821.56</v>
      </c>
      <c r="T550" s="6">
        <f t="shared" si="44"/>
        <v>3</v>
      </c>
    </row>
    <row r="551" spans="1:20" x14ac:dyDescent="0.3">
      <c r="A551" t="s">
        <v>1630</v>
      </c>
      <c r="B551" s="13" t="s">
        <v>829</v>
      </c>
      <c r="C551" s="16">
        <f t="shared" si="40"/>
        <v>45962</v>
      </c>
      <c r="D551" t="s">
        <v>984</v>
      </c>
      <c r="E551" t="s">
        <v>990</v>
      </c>
      <c r="F551" t="s">
        <v>956</v>
      </c>
      <c r="G551" t="s">
        <v>1004</v>
      </c>
      <c r="H551" t="s">
        <v>992</v>
      </c>
      <c r="I551">
        <v>2290</v>
      </c>
      <c r="J551" s="3">
        <v>295.64999999999998</v>
      </c>
      <c r="K551" s="3">
        <v>677038.5</v>
      </c>
      <c r="L551">
        <v>102</v>
      </c>
      <c r="M551" t="s">
        <v>1114</v>
      </c>
      <c r="N551" s="16">
        <f t="shared" si="41"/>
        <v>45962</v>
      </c>
      <c r="O551" t="s">
        <v>1114</v>
      </c>
      <c r="P551" t="str">
        <f t="shared" si="42"/>
        <v>November 2025</v>
      </c>
      <c r="Q551" t="s">
        <v>966</v>
      </c>
      <c r="R551" s="8">
        <v>6004.17</v>
      </c>
      <c r="S551" s="8">
        <f t="shared" si="43"/>
        <v>683042.67</v>
      </c>
      <c r="T551" s="6">
        <f t="shared" si="44"/>
        <v>0</v>
      </c>
    </row>
    <row r="552" spans="1:20" x14ac:dyDescent="0.3">
      <c r="A552" t="s">
        <v>1631</v>
      </c>
      <c r="B552" s="13" t="s">
        <v>361</v>
      </c>
      <c r="C552" s="16">
        <f t="shared" si="40"/>
        <v>45992</v>
      </c>
      <c r="D552" t="s">
        <v>1003</v>
      </c>
      <c r="E552" t="s">
        <v>987</v>
      </c>
      <c r="F552" t="s">
        <v>971</v>
      </c>
      <c r="G552" t="s">
        <v>1004</v>
      </c>
      <c r="H552" t="s">
        <v>977</v>
      </c>
      <c r="I552">
        <v>139</v>
      </c>
      <c r="J552" s="3">
        <v>586.97</v>
      </c>
      <c r="K552" s="3">
        <v>81588.83</v>
      </c>
      <c r="L552">
        <v>108</v>
      </c>
      <c r="M552" t="s">
        <v>195</v>
      </c>
      <c r="N552" s="16">
        <f t="shared" si="41"/>
        <v>45992</v>
      </c>
      <c r="O552" t="s">
        <v>656</v>
      </c>
      <c r="P552" t="str">
        <f t="shared" si="42"/>
        <v>December 2025</v>
      </c>
      <c r="Q552" t="s">
        <v>959</v>
      </c>
      <c r="R552" s="8">
        <v>6549.98</v>
      </c>
      <c r="S552" s="8">
        <f t="shared" si="43"/>
        <v>88138.81</v>
      </c>
      <c r="T552" s="6">
        <f t="shared" si="44"/>
        <v>2</v>
      </c>
    </row>
    <row r="553" spans="1:20" x14ac:dyDescent="0.3">
      <c r="A553" t="s">
        <v>1632</v>
      </c>
      <c r="B553" s="13" t="s">
        <v>377</v>
      </c>
      <c r="C553" s="16">
        <f t="shared" si="40"/>
        <v>45870</v>
      </c>
      <c r="D553" t="s">
        <v>984</v>
      </c>
      <c r="E553" t="s">
        <v>43</v>
      </c>
      <c r="F553" t="s">
        <v>963</v>
      </c>
      <c r="G553" t="s">
        <v>1042</v>
      </c>
      <c r="H553" t="s">
        <v>977</v>
      </c>
      <c r="I553">
        <v>235</v>
      </c>
      <c r="J553" s="3">
        <v>352.18</v>
      </c>
      <c r="K553" s="3">
        <v>82762.3</v>
      </c>
      <c r="L553">
        <v>24</v>
      </c>
      <c r="M553" t="s">
        <v>1266</v>
      </c>
      <c r="N553" s="16">
        <f t="shared" si="41"/>
        <v>45870</v>
      </c>
      <c r="O553" t="s">
        <v>600</v>
      </c>
      <c r="P553" t="str">
        <f t="shared" si="42"/>
        <v>August 2025</v>
      </c>
      <c r="Q553" t="s">
        <v>959</v>
      </c>
      <c r="R553" s="8">
        <v>858.18</v>
      </c>
      <c r="S553" s="8">
        <f t="shared" si="43"/>
        <v>83620.479999999996</v>
      </c>
      <c r="T553" s="6">
        <f t="shared" si="44"/>
        <v>4</v>
      </c>
    </row>
    <row r="554" spans="1:20" x14ac:dyDescent="0.3">
      <c r="A554" t="s">
        <v>1633</v>
      </c>
      <c r="B554" s="13" t="s">
        <v>1207</v>
      </c>
      <c r="C554" s="16">
        <f t="shared" si="40"/>
        <v>45901</v>
      </c>
      <c r="D554" t="s">
        <v>968</v>
      </c>
      <c r="E554" t="s">
        <v>33</v>
      </c>
      <c r="F554" t="s">
        <v>956</v>
      </c>
      <c r="G554" t="s">
        <v>964</v>
      </c>
      <c r="H554" t="s">
        <v>1023</v>
      </c>
      <c r="I554">
        <v>94</v>
      </c>
      <c r="J554" s="3">
        <v>358.76</v>
      </c>
      <c r="K554" s="3">
        <v>33723.440000000002</v>
      </c>
      <c r="L554">
        <v>114</v>
      </c>
      <c r="M554" t="s">
        <v>66</v>
      </c>
      <c r="N554" s="16">
        <f t="shared" si="41"/>
        <v>45901</v>
      </c>
      <c r="O554" t="s">
        <v>66</v>
      </c>
      <c r="P554" t="str">
        <f t="shared" si="42"/>
        <v>September 2025</v>
      </c>
      <c r="Q554" t="s">
        <v>966</v>
      </c>
      <c r="R554" s="8">
        <v>6423.62</v>
      </c>
      <c r="S554" s="8">
        <f t="shared" si="43"/>
        <v>40147.060000000005</v>
      </c>
      <c r="T554" s="6">
        <f t="shared" si="44"/>
        <v>0</v>
      </c>
    </row>
    <row r="555" spans="1:20" x14ac:dyDescent="0.3">
      <c r="A555" t="s">
        <v>1634</v>
      </c>
      <c r="B555" s="13" t="s">
        <v>165</v>
      </c>
      <c r="C555" s="16">
        <f t="shared" si="40"/>
        <v>45778</v>
      </c>
      <c r="D555" t="s">
        <v>1021</v>
      </c>
      <c r="E555" t="s">
        <v>987</v>
      </c>
      <c r="F555" t="s">
        <v>963</v>
      </c>
      <c r="G555" t="s">
        <v>1132</v>
      </c>
      <c r="H555" t="s">
        <v>958</v>
      </c>
      <c r="I555">
        <v>1408</v>
      </c>
      <c r="J555" s="3">
        <v>367.67</v>
      </c>
      <c r="K555" s="3">
        <v>517679.35999999999</v>
      </c>
      <c r="L555">
        <v>33</v>
      </c>
      <c r="M555" t="s">
        <v>802</v>
      </c>
      <c r="N555" s="16">
        <f t="shared" si="41"/>
        <v>45778</v>
      </c>
      <c r="O555" t="s">
        <v>462</v>
      </c>
      <c r="P555" t="str">
        <f t="shared" si="42"/>
        <v>June 2025</v>
      </c>
      <c r="Q555" t="s">
        <v>959</v>
      </c>
      <c r="R555" s="8">
        <v>1546.49</v>
      </c>
      <c r="S555" s="8">
        <f t="shared" si="43"/>
        <v>519225.85</v>
      </c>
      <c r="T555" s="6">
        <f t="shared" si="44"/>
        <v>1</v>
      </c>
    </row>
    <row r="556" spans="1:20" x14ac:dyDescent="0.3">
      <c r="A556" t="s">
        <v>1635</v>
      </c>
      <c r="B556" s="13" t="s">
        <v>970</v>
      </c>
      <c r="C556" s="16">
        <f t="shared" si="40"/>
        <v>45658</v>
      </c>
      <c r="D556" t="s">
        <v>1011</v>
      </c>
      <c r="E556" t="s">
        <v>990</v>
      </c>
      <c r="F556" t="s">
        <v>980</v>
      </c>
      <c r="G556" t="s">
        <v>1036</v>
      </c>
      <c r="H556" t="s">
        <v>992</v>
      </c>
      <c r="I556">
        <v>959</v>
      </c>
      <c r="J556" s="3">
        <v>819.4</v>
      </c>
      <c r="K556" s="3">
        <v>785804.6</v>
      </c>
      <c r="L556">
        <v>665</v>
      </c>
      <c r="M556" t="s">
        <v>613</v>
      </c>
      <c r="N556" s="16">
        <f t="shared" si="41"/>
        <v>45658</v>
      </c>
      <c r="O556" t="s">
        <v>903</v>
      </c>
      <c r="P556" t="str">
        <f t="shared" si="42"/>
        <v>January 2025</v>
      </c>
      <c r="Q556" t="s">
        <v>959</v>
      </c>
      <c r="R556" s="8">
        <v>39218.26</v>
      </c>
      <c r="S556" s="8">
        <f t="shared" si="43"/>
        <v>825022.86</v>
      </c>
      <c r="T556" s="6">
        <f t="shared" si="44"/>
        <v>1</v>
      </c>
    </row>
    <row r="557" spans="1:20" x14ac:dyDescent="0.3">
      <c r="A557" t="s">
        <v>1636</v>
      </c>
      <c r="B557" s="13" t="s">
        <v>242</v>
      </c>
      <c r="C557" s="16">
        <f t="shared" si="40"/>
        <v>45870</v>
      </c>
      <c r="D557" t="s">
        <v>1011</v>
      </c>
      <c r="E557" t="s">
        <v>33</v>
      </c>
      <c r="F557" t="s">
        <v>956</v>
      </c>
      <c r="G557" t="s">
        <v>1078</v>
      </c>
      <c r="H557" t="s">
        <v>1034</v>
      </c>
      <c r="I557">
        <v>783</v>
      </c>
      <c r="J557" s="3">
        <v>646.66999999999996</v>
      </c>
      <c r="K557" s="3">
        <v>506342.61</v>
      </c>
      <c r="L557">
        <v>377</v>
      </c>
      <c r="M557" t="s">
        <v>193</v>
      </c>
      <c r="N557" s="16">
        <f t="shared" si="41"/>
        <v>45901</v>
      </c>
      <c r="O557" t="s">
        <v>873</v>
      </c>
      <c r="P557" t="str">
        <f t="shared" si="42"/>
        <v>September 2025</v>
      </c>
      <c r="Q557" t="s">
        <v>959</v>
      </c>
      <c r="R557" s="8">
        <v>23216.48</v>
      </c>
      <c r="S557" s="8">
        <f t="shared" si="43"/>
        <v>529559.09</v>
      </c>
      <c r="T557" s="6">
        <f t="shared" si="44"/>
        <v>4</v>
      </c>
    </row>
    <row r="558" spans="1:20" x14ac:dyDescent="0.3">
      <c r="A558" t="s">
        <v>1637</v>
      </c>
      <c r="B558" s="13" t="s">
        <v>307</v>
      </c>
      <c r="C558" s="16">
        <f t="shared" si="40"/>
        <v>45658</v>
      </c>
      <c r="D558" t="s">
        <v>1011</v>
      </c>
      <c r="E558" t="s">
        <v>987</v>
      </c>
      <c r="F558" t="s">
        <v>956</v>
      </c>
      <c r="G558" t="s">
        <v>1012</v>
      </c>
      <c r="H558" t="s">
        <v>977</v>
      </c>
      <c r="I558">
        <v>1306</v>
      </c>
      <c r="J558" s="3">
        <v>535.65</v>
      </c>
      <c r="K558" s="3">
        <v>699558.9</v>
      </c>
      <c r="L558">
        <v>320</v>
      </c>
      <c r="M558" t="s">
        <v>258</v>
      </c>
      <c r="N558" s="16">
        <f t="shared" si="41"/>
        <v>45658</v>
      </c>
      <c r="O558" t="s">
        <v>613</v>
      </c>
      <c r="P558" t="str">
        <f t="shared" si="42"/>
        <v>January 2025</v>
      </c>
      <c r="Q558" t="s">
        <v>959</v>
      </c>
      <c r="R558" s="8">
        <v>11763.19</v>
      </c>
      <c r="S558" s="8">
        <f t="shared" si="43"/>
        <v>711322.09</v>
      </c>
      <c r="T558" s="6">
        <f t="shared" si="44"/>
        <v>3</v>
      </c>
    </row>
    <row r="559" spans="1:20" x14ac:dyDescent="0.3">
      <c r="A559" t="s">
        <v>1638</v>
      </c>
      <c r="B559" s="13" t="s">
        <v>1099</v>
      </c>
      <c r="C559" s="16">
        <f t="shared" si="40"/>
        <v>45778</v>
      </c>
      <c r="D559" t="s">
        <v>1011</v>
      </c>
      <c r="E559" t="s">
        <v>990</v>
      </c>
      <c r="F559" t="s">
        <v>971</v>
      </c>
      <c r="G559" t="s">
        <v>991</v>
      </c>
      <c r="H559" t="s">
        <v>1023</v>
      </c>
      <c r="I559">
        <v>840</v>
      </c>
      <c r="J559" s="3">
        <v>811.56</v>
      </c>
      <c r="K559" s="3">
        <v>681710.4</v>
      </c>
      <c r="L559">
        <v>316</v>
      </c>
      <c r="M559" t="s">
        <v>732</v>
      </c>
      <c r="N559" s="16">
        <f t="shared" si="41"/>
        <v>45778</v>
      </c>
      <c r="O559" t="s">
        <v>918</v>
      </c>
      <c r="P559" t="str">
        <f t="shared" si="42"/>
        <v>May 2025</v>
      </c>
      <c r="Q559" t="s">
        <v>959</v>
      </c>
      <c r="R559" s="8">
        <v>14603.03</v>
      </c>
      <c r="S559" s="8">
        <f t="shared" si="43"/>
        <v>696313.43</v>
      </c>
      <c r="T559" s="6">
        <f t="shared" si="44"/>
        <v>2</v>
      </c>
    </row>
    <row r="560" spans="1:20" x14ac:dyDescent="0.3">
      <c r="A560" t="s">
        <v>1639</v>
      </c>
      <c r="B560" s="13" t="s">
        <v>300</v>
      </c>
      <c r="C560" s="16">
        <f t="shared" si="40"/>
        <v>45748</v>
      </c>
      <c r="D560" t="s">
        <v>961</v>
      </c>
      <c r="E560" t="s">
        <v>49</v>
      </c>
      <c r="F560" t="s">
        <v>980</v>
      </c>
      <c r="G560" t="s">
        <v>1132</v>
      </c>
      <c r="H560" t="s">
        <v>977</v>
      </c>
      <c r="I560">
        <v>1038</v>
      </c>
      <c r="J560" s="3">
        <v>736.64</v>
      </c>
      <c r="K560" s="3">
        <v>764632.32</v>
      </c>
      <c r="L560">
        <v>254</v>
      </c>
      <c r="M560" t="s">
        <v>116</v>
      </c>
      <c r="N560" s="16">
        <f t="shared" si="41"/>
        <v>45748</v>
      </c>
      <c r="O560" t="s">
        <v>539</v>
      </c>
      <c r="P560" t="str">
        <f t="shared" si="42"/>
        <v>April 2025</v>
      </c>
      <c r="Q560" t="s">
        <v>959</v>
      </c>
      <c r="R560" s="8">
        <v>14681.96</v>
      </c>
      <c r="S560" s="8">
        <f t="shared" si="43"/>
        <v>779314.27999999991</v>
      </c>
      <c r="T560" s="6">
        <f t="shared" si="44"/>
        <v>2</v>
      </c>
    </row>
    <row r="561" spans="1:20" x14ac:dyDescent="0.3">
      <c r="A561" t="s">
        <v>1640</v>
      </c>
      <c r="B561" s="13" t="s">
        <v>1005</v>
      </c>
      <c r="C561" s="16">
        <f t="shared" si="40"/>
        <v>45839</v>
      </c>
      <c r="D561" t="s">
        <v>961</v>
      </c>
      <c r="E561" t="s">
        <v>962</v>
      </c>
      <c r="F561" t="s">
        <v>971</v>
      </c>
      <c r="G561" t="s">
        <v>976</v>
      </c>
      <c r="H561" t="s">
        <v>992</v>
      </c>
      <c r="I561">
        <v>834</v>
      </c>
      <c r="J561" s="3">
        <v>679.32</v>
      </c>
      <c r="K561" s="3">
        <v>566552.88</v>
      </c>
      <c r="L561">
        <v>335</v>
      </c>
      <c r="M561" t="s">
        <v>1360</v>
      </c>
      <c r="N561" s="16">
        <f t="shared" si="41"/>
        <v>45839</v>
      </c>
      <c r="O561" t="s">
        <v>1360</v>
      </c>
      <c r="P561" t="str">
        <f t="shared" si="42"/>
        <v>July 2025</v>
      </c>
      <c r="Q561" t="s">
        <v>966</v>
      </c>
      <c r="R561" s="8">
        <v>12224.52</v>
      </c>
      <c r="S561" s="8">
        <f t="shared" si="43"/>
        <v>578777.4</v>
      </c>
      <c r="T561" s="6">
        <f t="shared" si="44"/>
        <v>0</v>
      </c>
    </row>
    <row r="562" spans="1:20" x14ac:dyDescent="0.3">
      <c r="A562" t="s">
        <v>1641</v>
      </c>
      <c r="B562" s="13" t="s">
        <v>1298</v>
      </c>
      <c r="C562" s="16">
        <f t="shared" si="40"/>
        <v>45717</v>
      </c>
      <c r="D562" t="s">
        <v>968</v>
      </c>
      <c r="E562" t="s">
        <v>962</v>
      </c>
      <c r="F562" t="s">
        <v>971</v>
      </c>
      <c r="G562" t="s">
        <v>957</v>
      </c>
      <c r="H562" t="s">
        <v>1034</v>
      </c>
      <c r="I562">
        <v>2372</v>
      </c>
      <c r="J562" s="3">
        <v>816.12</v>
      </c>
      <c r="K562" s="3">
        <v>1935836.64</v>
      </c>
      <c r="L562">
        <v>688</v>
      </c>
      <c r="M562" t="s">
        <v>478</v>
      </c>
      <c r="N562" s="16">
        <f t="shared" si="41"/>
        <v>45717</v>
      </c>
      <c r="O562" t="s">
        <v>433</v>
      </c>
      <c r="P562" t="str">
        <f t="shared" si="42"/>
        <v>March 2025</v>
      </c>
      <c r="Q562" t="s">
        <v>959</v>
      </c>
      <c r="R562" s="8">
        <v>37119.660000000003</v>
      </c>
      <c r="S562" s="8">
        <f t="shared" si="43"/>
        <v>1972956.2999999998</v>
      </c>
      <c r="T562" s="6">
        <f t="shared" si="44"/>
        <v>1</v>
      </c>
    </row>
    <row r="563" spans="1:20" x14ac:dyDescent="0.3">
      <c r="A563" t="s">
        <v>1642</v>
      </c>
      <c r="B563" s="13" t="s">
        <v>361</v>
      </c>
      <c r="C563" s="16">
        <f t="shared" si="40"/>
        <v>45992</v>
      </c>
      <c r="D563" t="s">
        <v>975</v>
      </c>
      <c r="E563" t="s">
        <v>33</v>
      </c>
      <c r="F563" t="s">
        <v>963</v>
      </c>
      <c r="G563" t="s">
        <v>1015</v>
      </c>
      <c r="H563" t="s">
        <v>1018</v>
      </c>
      <c r="I563">
        <v>2223</v>
      </c>
      <c r="J563" s="3">
        <v>538.30999999999995</v>
      </c>
      <c r="K563" s="3">
        <v>1196663.1299999999</v>
      </c>
      <c r="L563">
        <v>269</v>
      </c>
      <c r="M563" t="s">
        <v>195</v>
      </c>
      <c r="N563" s="16">
        <f t="shared" si="41"/>
        <v>45992</v>
      </c>
      <c r="O563" t="s">
        <v>195</v>
      </c>
      <c r="P563" t="str">
        <f t="shared" si="42"/>
        <v>December 2025</v>
      </c>
      <c r="Q563" t="s">
        <v>966</v>
      </c>
      <c r="R563" s="8">
        <v>16309.27</v>
      </c>
      <c r="S563" s="8">
        <f t="shared" si="43"/>
        <v>1212972.3999999999</v>
      </c>
      <c r="T563" s="6">
        <f t="shared" si="44"/>
        <v>0</v>
      </c>
    </row>
    <row r="564" spans="1:20" x14ac:dyDescent="0.3">
      <c r="A564" t="s">
        <v>1643</v>
      </c>
      <c r="B564" s="13" t="s">
        <v>1360</v>
      </c>
      <c r="C564" s="16">
        <f t="shared" si="40"/>
        <v>45839</v>
      </c>
      <c r="D564" t="s">
        <v>975</v>
      </c>
      <c r="E564" t="s">
        <v>990</v>
      </c>
      <c r="F564" t="s">
        <v>971</v>
      </c>
      <c r="G564" t="s">
        <v>957</v>
      </c>
      <c r="H564" t="s">
        <v>982</v>
      </c>
      <c r="I564">
        <v>1453</v>
      </c>
      <c r="J564" s="3">
        <v>363.86</v>
      </c>
      <c r="K564" s="3">
        <v>528688.57999999996</v>
      </c>
      <c r="L564">
        <v>77</v>
      </c>
      <c r="M564" t="s">
        <v>107</v>
      </c>
      <c r="N564" s="16">
        <f t="shared" si="41"/>
        <v>45839</v>
      </c>
      <c r="O564" t="s">
        <v>107</v>
      </c>
      <c r="P564" t="str">
        <f t="shared" si="42"/>
        <v>July 2025</v>
      </c>
      <c r="Q564" t="s">
        <v>966</v>
      </c>
      <c r="R564" s="8">
        <v>4160.2299999999996</v>
      </c>
      <c r="S564" s="8">
        <f t="shared" si="43"/>
        <v>532848.80999999994</v>
      </c>
      <c r="T564" s="6">
        <f t="shared" si="44"/>
        <v>0</v>
      </c>
    </row>
    <row r="565" spans="1:20" x14ac:dyDescent="0.3">
      <c r="A565" t="s">
        <v>1644</v>
      </c>
      <c r="B565" s="13" t="s">
        <v>61</v>
      </c>
      <c r="C565" s="16">
        <f t="shared" si="40"/>
        <v>45901</v>
      </c>
      <c r="D565" t="s">
        <v>961</v>
      </c>
      <c r="E565" t="s">
        <v>43</v>
      </c>
      <c r="F565" t="s">
        <v>980</v>
      </c>
      <c r="G565" t="s">
        <v>985</v>
      </c>
      <c r="H565" t="s">
        <v>1034</v>
      </c>
      <c r="I565">
        <v>1751</v>
      </c>
      <c r="J565" s="3">
        <v>262.07</v>
      </c>
      <c r="K565" s="3">
        <v>458884.57</v>
      </c>
      <c r="L565">
        <v>345</v>
      </c>
      <c r="M565" t="s">
        <v>721</v>
      </c>
      <c r="N565" s="16">
        <f t="shared" si="41"/>
        <v>45901</v>
      </c>
      <c r="O565" t="s">
        <v>721</v>
      </c>
      <c r="P565" t="str">
        <f t="shared" si="42"/>
        <v>September 2025</v>
      </c>
      <c r="Q565" t="s">
        <v>966</v>
      </c>
      <c r="R565" s="8">
        <v>18597.89</v>
      </c>
      <c r="S565" s="8">
        <f t="shared" si="43"/>
        <v>477482.46</v>
      </c>
      <c r="T565" s="6">
        <f t="shared" si="44"/>
        <v>0</v>
      </c>
    </row>
    <row r="566" spans="1:20" x14ac:dyDescent="0.3">
      <c r="A566" t="s">
        <v>1645</v>
      </c>
      <c r="B566" s="13" t="s">
        <v>1254</v>
      </c>
      <c r="C566" s="16">
        <f t="shared" si="40"/>
        <v>45901</v>
      </c>
      <c r="D566" t="s">
        <v>1011</v>
      </c>
      <c r="E566" t="s">
        <v>990</v>
      </c>
      <c r="F566" t="s">
        <v>963</v>
      </c>
      <c r="G566" t="s">
        <v>1045</v>
      </c>
      <c r="H566" t="s">
        <v>965</v>
      </c>
      <c r="I566">
        <v>2059</v>
      </c>
      <c r="J566" s="3">
        <v>235.19</v>
      </c>
      <c r="K566" s="3">
        <v>484256.21</v>
      </c>
      <c r="L566">
        <v>311</v>
      </c>
      <c r="M566" t="s">
        <v>708</v>
      </c>
      <c r="N566" s="16">
        <f t="shared" si="41"/>
        <v>45901</v>
      </c>
      <c r="O566" t="s">
        <v>708</v>
      </c>
      <c r="P566" t="str">
        <f t="shared" si="42"/>
        <v>September 2025</v>
      </c>
      <c r="Q566" t="s">
        <v>966</v>
      </c>
      <c r="R566" s="8">
        <v>17281.509999999998</v>
      </c>
      <c r="S566" s="8">
        <f t="shared" si="43"/>
        <v>501537.72000000003</v>
      </c>
      <c r="T566" s="6">
        <f t="shared" si="44"/>
        <v>0</v>
      </c>
    </row>
    <row r="567" spans="1:20" x14ac:dyDescent="0.3">
      <c r="A567" t="s">
        <v>1646</v>
      </c>
      <c r="B567" s="13" t="s">
        <v>51</v>
      </c>
      <c r="C567" s="16">
        <f t="shared" si="40"/>
        <v>45717</v>
      </c>
      <c r="D567" t="s">
        <v>984</v>
      </c>
      <c r="E567" t="s">
        <v>987</v>
      </c>
      <c r="F567" t="s">
        <v>963</v>
      </c>
      <c r="G567" t="s">
        <v>998</v>
      </c>
      <c r="H567" t="s">
        <v>973</v>
      </c>
      <c r="I567">
        <v>1994</v>
      </c>
      <c r="J567" s="3">
        <v>708.83</v>
      </c>
      <c r="K567" s="3">
        <v>1413407.02</v>
      </c>
      <c r="L567">
        <v>134</v>
      </c>
      <c r="M567" t="s">
        <v>1092</v>
      </c>
      <c r="N567" s="16">
        <f t="shared" si="41"/>
        <v>45717</v>
      </c>
      <c r="O567" t="s">
        <v>1092</v>
      </c>
      <c r="P567" t="str">
        <f t="shared" si="42"/>
        <v>March 2025</v>
      </c>
      <c r="Q567" t="s">
        <v>966</v>
      </c>
      <c r="R567" s="8">
        <v>8277.2000000000007</v>
      </c>
      <c r="S567" s="8">
        <f t="shared" si="43"/>
        <v>1421684.22</v>
      </c>
      <c r="T567" s="6">
        <f t="shared" si="44"/>
        <v>0</v>
      </c>
    </row>
    <row r="568" spans="1:20" x14ac:dyDescent="0.3">
      <c r="A568" t="s">
        <v>1647</v>
      </c>
      <c r="B568" s="13" t="s">
        <v>169</v>
      </c>
      <c r="C568" s="16">
        <f t="shared" si="40"/>
        <v>45962</v>
      </c>
      <c r="D568" t="s">
        <v>968</v>
      </c>
      <c r="E568" t="s">
        <v>990</v>
      </c>
      <c r="F568" t="s">
        <v>980</v>
      </c>
      <c r="G568" t="s">
        <v>1051</v>
      </c>
      <c r="H568" t="s">
        <v>958</v>
      </c>
      <c r="I568">
        <v>1653</v>
      </c>
      <c r="J568" s="3">
        <v>844.6</v>
      </c>
      <c r="K568" s="3">
        <v>1396123.8</v>
      </c>
      <c r="L568">
        <v>349</v>
      </c>
      <c r="M568" t="s">
        <v>392</v>
      </c>
      <c r="N568" s="16">
        <f t="shared" si="41"/>
        <v>45962</v>
      </c>
      <c r="O568" t="s">
        <v>318</v>
      </c>
      <c r="P568" t="str">
        <f t="shared" si="42"/>
        <v>December 2025</v>
      </c>
      <c r="Q568" t="s">
        <v>959</v>
      </c>
      <c r="R568" s="8">
        <v>15681.32</v>
      </c>
      <c r="S568" s="8">
        <f t="shared" si="43"/>
        <v>1411805.12</v>
      </c>
      <c r="T568" s="6">
        <f t="shared" si="44"/>
        <v>3</v>
      </c>
    </row>
    <row r="569" spans="1:20" x14ac:dyDescent="0.3">
      <c r="A569" t="s">
        <v>1648</v>
      </c>
      <c r="B569" s="13" t="s">
        <v>1368</v>
      </c>
      <c r="C569" s="16">
        <f t="shared" si="40"/>
        <v>45809</v>
      </c>
      <c r="D569" t="s">
        <v>1011</v>
      </c>
      <c r="E569" t="s">
        <v>987</v>
      </c>
      <c r="F569" t="s">
        <v>980</v>
      </c>
      <c r="G569" t="s">
        <v>994</v>
      </c>
      <c r="H569" t="str">
        <f xml:space="preserve"> "Not Found"</f>
        <v>Not Found</v>
      </c>
      <c r="I569">
        <v>1600</v>
      </c>
      <c r="J569" s="3">
        <v>482.51</v>
      </c>
      <c r="K569" s="3">
        <v>772016</v>
      </c>
      <c r="L569">
        <v>389</v>
      </c>
      <c r="M569" t="s">
        <v>868</v>
      </c>
      <c r="N569" s="16">
        <f t="shared" si="41"/>
        <v>45809</v>
      </c>
      <c r="O569" t="s">
        <v>35</v>
      </c>
      <c r="P569" t="str">
        <f t="shared" si="42"/>
        <v>June 2025</v>
      </c>
      <c r="Q569" t="s">
        <v>959</v>
      </c>
      <c r="R569" s="8">
        <v>17832.7</v>
      </c>
      <c r="S569" s="8">
        <f t="shared" si="43"/>
        <v>789848.7</v>
      </c>
      <c r="T569" s="6">
        <f t="shared" si="44"/>
        <v>4</v>
      </c>
    </row>
    <row r="570" spans="1:20" x14ac:dyDescent="0.3">
      <c r="A570" t="s">
        <v>1649</v>
      </c>
      <c r="B570" s="13" t="s">
        <v>1069</v>
      </c>
      <c r="C570" s="16">
        <f t="shared" si="40"/>
        <v>45778</v>
      </c>
      <c r="D570" t="s">
        <v>961</v>
      </c>
      <c r="E570" t="s">
        <v>987</v>
      </c>
      <c r="F570" t="s">
        <v>956</v>
      </c>
      <c r="G570" t="s">
        <v>1038</v>
      </c>
      <c r="H570" t="s">
        <v>965</v>
      </c>
      <c r="I570">
        <v>1197</v>
      </c>
      <c r="J570" s="3">
        <v>496.95</v>
      </c>
      <c r="K570" s="3">
        <v>594849.15</v>
      </c>
      <c r="L570">
        <v>205</v>
      </c>
      <c r="M570" t="s">
        <v>1125</v>
      </c>
      <c r="N570" s="16">
        <f t="shared" si="41"/>
        <v>45778</v>
      </c>
      <c r="O570" t="s">
        <v>143</v>
      </c>
      <c r="P570" t="str">
        <f t="shared" si="42"/>
        <v>May 2025</v>
      </c>
      <c r="Q570" t="s">
        <v>959</v>
      </c>
      <c r="R570" s="8">
        <v>12560.03</v>
      </c>
      <c r="S570" s="8">
        <f t="shared" si="43"/>
        <v>607409.18000000005</v>
      </c>
      <c r="T570" s="6">
        <f t="shared" si="44"/>
        <v>4</v>
      </c>
    </row>
    <row r="571" spans="1:20" x14ac:dyDescent="0.3">
      <c r="A571" t="s">
        <v>1650</v>
      </c>
      <c r="B571" s="13" t="s">
        <v>371</v>
      </c>
      <c r="C571" s="16">
        <f t="shared" si="40"/>
        <v>45778</v>
      </c>
      <c r="D571" t="s">
        <v>955</v>
      </c>
      <c r="E571" t="s">
        <v>43</v>
      </c>
      <c r="F571" t="s">
        <v>980</v>
      </c>
      <c r="G571" t="s">
        <v>1087</v>
      </c>
      <c r="H571" t="s">
        <v>958</v>
      </c>
      <c r="I571">
        <v>2493</v>
      </c>
      <c r="J571" s="3">
        <v>617.67999999999995</v>
      </c>
      <c r="K571" s="3">
        <v>1539876.24</v>
      </c>
      <c r="L571">
        <v>412</v>
      </c>
      <c r="M571" t="s">
        <v>219</v>
      </c>
      <c r="N571" s="16">
        <f t="shared" si="41"/>
        <v>45778</v>
      </c>
      <c r="O571" t="s">
        <v>1567</v>
      </c>
      <c r="P571" t="str">
        <f t="shared" si="42"/>
        <v>May 2025</v>
      </c>
      <c r="Q571" t="s">
        <v>966</v>
      </c>
      <c r="R571" s="8">
        <v>23701.91</v>
      </c>
      <c r="S571" s="8">
        <f t="shared" si="43"/>
        <v>1563578.15</v>
      </c>
      <c r="T571" s="6">
        <f t="shared" si="44"/>
        <v>-1</v>
      </c>
    </row>
    <row r="572" spans="1:20" x14ac:dyDescent="0.3">
      <c r="A572" t="s">
        <v>1651</v>
      </c>
      <c r="B572" s="13" t="s">
        <v>154</v>
      </c>
      <c r="C572" s="16">
        <f t="shared" si="40"/>
        <v>45901</v>
      </c>
      <c r="D572" t="s">
        <v>1021</v>
      </c>
      <c r="E572" t="s">
        <v>43</v>
      </c>
      <c r="F572" t="s">
        <v>956</v>
      </c>
      <c r="G572" t="s">
        <v>1038</v>
      </c>
      <c r="H572" t="s">
        <v>977</v>
      </c>
      <c r="I572">
        <v>1268</v>
      </c>
      <c r="J572" s="3">
        <v>620.6</v>
      </c>
      <c r="K572" s="3">
        <v>786920.8</v>
      </c>
      <c r="L572">
        <v>482</v>
      </c>
      <c r="M572" t="s">
        <v>622</v>
      </c>
      <c r="N572" s="16">
        <f t="shared" si="41"/>
        <v>45931</v>
      </c>
      <c r="O572" t="s">
        <v>648</v>
      </c>
      <c r="P572" t="str">
        <f t="shared" si="42"/>
        <v>September 2025</v>
      </c>
      <c r="Q572" t="s">
        <v>966</v>
      </c>
      <c r="R572" s="8">
        <v>22385.200000000001</v>
      </c>
      <c r="S572" s="8">
        <f t="shared" si="43"/>
        <v>809306</v>
      </c>
      <c r="T572" s="6">
        <f t="shared" si="44"/>
        <v>-1</v>
      </c>
    </row>
    <row r="573" spans="1:20" x14ac:dyDescent="0.3">
      <c r="A573" t="s">
        <v>1652</v>
      </c>
      <c r="B573" s="13" t="s">
        <v>1127</v>
      </c>
      <c r="C573" s="16">
        <f t="shared" si="40"/>
        <v>45839</v>
      </c>
      <c r="D573" t="s">
        <v>975</v>
      </c>
      <c r="E573" t="s">
        <v>43</v>
      </c>
      <c r="F573" t="s">
        <v>980</v>
      </c>
      <c r="G573" t="s">
        <v>1004</v>
      </c>
      <c r="H573" t="s">
        <v>958</v>
      </c>
      <c r="I573">
        <v>1050</v>
      </c>
      <c r="J573" s="3">
        <v>237.2</v>
      </c>
      <c r="K573" s="3">
        <v>249060</v>
      </c>
      <c r="L573">
        <v>292</v>
      </c>
      <c r="M573" t="s">
        <v>71</v>
      </c>
      <c r="N573" s="16">
        <f t="shared" si="41"/>
        <v>45839</v>
      </c>
      <c r="O573" t="s">
        <v>71</v>
      </c>
      <c r="P573" t="str">
        <f t="shared" si="42"/>
        <v>July 2025</v>
      </c>
      <c r="Q573" t="s">
        <v>966</v>
      </c>
      <c r="R573" s="8">
        <v>16765.71</v>
      </c>
      <c r="S573" s="8">
        <f t="shared" si="43"/>
        <v>265825.71000000002</v>
      </c>
      <c r="T573" s="6">
        <f t="shared" si="44"/>
        <v>0</v>
      </c>
    </row>
    <row r="574" spans="1:20" x14ac:dyDescent="0.3">
      <c r="A574" t="s">
        <v>1653</v>
      </c>
      <c r="B574" s="13" t="s">
        <v>1288</v>
      </c>
      <c r="C574" s="16">
        <f t="shared" si="40"/>
        <v>45717</v>
      </c>
      <c r="D574" t="s">
        <v>1021</v>
      </c>
      <c r="E574" t="s">
        <v>49</v>
      </c>
      <c r="F574" t="s">
        <v>963</v>
      </c>
      <c r="G574" t="s">
        <v>1072</v>
      </c>
      <c r="H574" t="s">
        <v>958</v>
      </c>
      <c r="I574">
        <v>323</v>
      </c>
      <c r="J574" s="3">
        <v>538.89</v>
      </c>
      <c r="K574" s="3">
        <v>174061.47</v>
      </c>
      <c r="L574">
        <v>691</v>
      </c>
      <c r="M574" t="s">
        <v>1185</v>
      </c>
      <c r="N574" s="16">
        <f t="shared" si="41"/>
        <v>45717</v>
      </c>
      <c r="O574" t="s">
        <v>1490</v>
      </c>
      <c r="P574" t="str">
        <f t="shared" si="42"/>
        <v>March 2025</v>
      </c>
      <c r="Q574" t="s">
        <v>959</v>
      </c>
      <c r="R574" s="8">
        <v>36168.35</v>
      </c>
      <c r="S574" s="8">
        <f t="shared" si="43"/>
        <v>210229.82</v>
      </c>
      <c r="T574" s="6">
        <f t="shared" si="44"/>
        <v>1</v>
      </c>
    </row>
    <row r="575" spans="1:20" x14ac:dyDescent="0.3">
      <c r="A575" t="s">
        <v>1654</v>
      </c>
      <c r="B575" s="13" t="s">
        <v>291</v>
      </c>
      <c r="C575" s="16">
        <f t="shared" si="40"/>
        <v>45658</v>
      </c>
      <c r="D575" t="s">
        <v>961</v>
      </c>
      <c r="E575" t="s">
        <v>962</v>
      </c>
      <c r="F575" t="s">
        <v>963</v>
      </c>
      <c r="G575" t="s">
        <v>1004</v>
      </c>
      <c r="H575" t="s">
        <v>1018</v>
      </c>
      <c r="I575">
        <v>1097</v>
      </c>
      <c r="J575" s="3">
        <v>480.6</v>
      </c>
      <c r="K575" s="3">
        <v>527218.19999999995</v>
      </c>
      <c r="L575">
        <v>152</v>
      </c>
      <c r="M575" t="s">
        <v>307</v>
      </c>
      <c r="N575" s="16">
        <f t="shared" si="41"/>
        <v>45658</v>
      </c>
      <c r="O575" t="s">
        <v>307</v>
      </c>
      <c r="P575" t="str">
        <f t="shared" si="42"/>
        <v>January 2025</v>
      </c>
      <c r="Q575" t="s">
        <v>966</v>
      </c>
      <c r="R575" s="8">
        <v>8053.8</v>
      </c>
      <c r="S575" s="8">
        <f t="shared" si="43"/>
        <v>535272</v>
      </c>
      <c r="T575" s="6">
        <f t="shared" si="44"/>
        <v>0</v>
      </c>
    </row>
    <row r="576" spans="1:20" x14ac:dyDescent="0.3">
      <c r="A576" t="s">
        <v>1655</v>
      </c>
      <c r="B576" s="13" t="s">
        <v>236</v>
      </c>
      <c r="C576" s="16">
        <f t="shared" si="40"/>
        <v>45658</v>
      </c>
      <c r="D576" t="s">
        <v>1003</v>
      </c>
      <c r="E576" t="s">
        <v>43</v>
      </c>
      <c r="F576" t="s">
        <v>956</v>
      </c>
      <c r="G576" t="s">
        <v>1004</v>
      </c>
      <c r="H576" t="s">
        <v>992</v>
      </c>
      <c r="I576">
        <v>1115</v>
      </c>
      <c r="J576" s="3">
        <v>711.34</v>
      </c>
      <c r="K576" s="3">
        <v>793144.1</v>
      </c>
      <c r="L576">
        <v>528</v>
      </c>
      <c r="M576" t="s">
        <v>1453</v>
      </c>
      <c r="N576" s="16">
        <f t="shared" si="41"/>
        <v>45658</v>
      </c>
      <c r="O576" t="s">
        <v>1453</v>
      </c>
      <c r="P576" t="str">
        <f t="shared" si="42"/>
        <v>January 2025</v>
      </c>
      <c r="Q576" t="s">
        <v>966</v>
      </c>
      <c r="R576" s="8">
        <v>19125.59</v>
      </c>
      <c r="S576" s="8">
        <f t="shared" si="43"/>
        <v>812269.69</v>
      </c>
      <c r="T576" s="6">
        <f t="shared" si="44"/>
        <v>0</v>
      </c>
    </row>
    <row r="577" spans="1:20" x14ac:dyDescent="0.3">
      <c r="A577" t="s">
        <v>1656</v>
      </c>
      <c r="B577" s="13" t="s">
        <v>717</v>
      </c>
      <c r="C577" s="16">
        <f t="shared" si="40"/>
        <v>45658</v>
      </c>
      <c r="D577" t="s">
        <v>968</v>
      </c>
      <c r="E577" t="s">
        <v>962</v>
      </c>
      <c r="F577" t="s">
        <v>980</v>
      </c>
      <c r="G577" t="s">
        <v>981</v>
      </c>
      <c r="H577" t="s">
        <v>958</v>
      </c>
      <c r="I577">
        <v>1373</v>
      </c>
      <c r="J577" s="3">
        <v>755.4</v>
      </c>
      <c r="K577" s="3">
        <v>1037164.2</v>
      </c>
      <c r="L577">
        <v>545</v>
      </c>
      <c r="M577" t="s">
        <v>291</v>
      </c>
      <c r="N577" s="16">
        <f t="shared" si="41"/>
        <v>45658</v>
      </c>
      <c r="O577" t="s">
        <v>291</v>
      </c>
      <c r="P577" t="str">
        <f t="shared" si="42"/>
        <v>January 2025</v>
      </c>
      <c r="Q577" t="s">
        <v>966</v>
      </c>
      <c r="R577" s="8">
        <v>31781.17</v>
      </c>
      <c r="S577" s="8">
        <f t="shared" si="43"/>
        <v>1068945.3699999999</v>
      </c>
      <c r="T577" s="6">
        <f t="shared" si="44"/>
        <v>0</v>
      </c>
    </row>
    <row r="578" spans="1:20" x14ac:dyDescent="0.3">
      <c r="A578" t="s">
        <v>1657</v>
      </c>
      <c r="B578" s="13" t="s">
        <v>604</v>
      </c>
      <c r="C578" s="16">
        <f t="shared" si="40"/>
        <v>45748</v>
      </c>
      <c r="D578" t="s">
        <v>984</v>
      </c>
      <c r="E578" t="s">
        <v>990</v>
      </c>
      <c r="F578" t="s">
        <v>980</v>
      </c>
      <c r="G578" t="s">
        <v>1152</v>
      </c>
      <c r="H578" t="s">
        <v>958</v>
      </c>
      <c r="I578">
        <v>189</v>
      </c>
      <c r="J578" s="3">
        <v>386.34</v>
      </c>
      <c r="K578" s="3">
        <v>73018.259999999995</v>
      </c>
      <c r="L578">
        <v>577</v>
      </c>
      <c r="M578" t="s">
        <v>406</v>
      </c>
      <c r="N578" s="16">
        <f t="shared" si="41"/>
        <v>45748</v>
      </c>
      <c r="O578" t="s">
        <v>1107</v>
      </c>
      <c r="P578" t="str">
        <f t="shared" si="42"/>
        <v>April 2025</v>
      </c>
      <c r="Q578" t="s">
        <v>966</v>
      </c>
      <c r="R578" s="8">
        <v>24338.23</v>
      </c>
      <c r="S578" s="8">
        <f t="shared" si="43"/>
        <v>97356.489999999991</v>
      </c>
      <c r="T578" s="6">
        <f t="shared" si="44"/>
        <v>-1</v>
      </c>
    </row>
    <row r="579" spans="1:20" x14ac:dyDescent="0.3">
      <c r="A579" t="s">
        <v>1658</v>
      </c>
      <c r="B579" s="13" t="s">
        <v>158</v>
      </c>
      <c r="C579" s="16">
        <f t="shared" ref="C579:C642" si="45">DATE(YEAR(B579), MONTH(B579), 1)</f>
        <v>45992</v>
      </c>
      <c r="D579" t="s">
        <v>955</v>
      </c>
      <c r="E579" t="s">
        <v>987</v>
      </c>
      <c r="F579" t="s">
        <v>971</v>
      </c>
      <c r="G579" t="s">
        <v>1012</v>
      </c>
      <c r="H579" t="s">
        <v>977</v>
      </c>
      <c r="I579">
        <v>1520</v>
      </c>
      <c r="J579" s="3">
        <v>174.99</v>
      </c>
      <c r="K579" s="3">
        <v>265984.8</v>
      </c>
      <c r="L579">
        <v>567</v>
      </c>
      <c r="M579" t="s">
        <v>88</v>
      </c>
      <c r="N579" s="16">
        <f t="shared" ref="N579:N642" si="46">DATE(YEAR(M579), MONTH(M579),1)</f>
        <v>45992</v>
      </c>
      <c r="O579" t="s">
        <v>88</v>
      </c>
      <c r="P579" t="str">
        <f t="shared" ref="P579:P642" si="47">TEXT(O579, "mmmm yyyy")</f>
        <v>December 2025</v>
      </c>
      <c r="Q579" t="s">
        <v>966</v>
      </c>
      <c r="R579" s="8">
        <v>23533.33</v>
      </c>
      <c r="S579" s="8">
        <f t="shared" ref="S579:S642" si="48">K579 +R579</f>
        <v>289518.13</v>
      </c>
      <c r="T579" s="6">
        <f t="shared" si="44"/>
        <v>0</v>
      </c>
    </row>
    <row r="580" spans="1:20" x14ac:dyDescent="0.3">
      <c r="A580" t="s">
        <v>1659</v>
      </c>
      <c r="B580" s="13" t="s">
        <v>1545</v>
      </c>
      <c r="C580" s="16">
        <f t="shared" si="45"/>
        <v>45658</v>
      </c>
      <c r="D580" t="s">
        <v>984</v>
      </c>
      <c r="E580" t="s">
        <v>33</v>
      </c>
      <c r="F580" t="s">
        <v>980</v>
      </c>
      <c r="G580" t="s">
        <v>972</v>
      </c>
      <c r="H580" t="s">
        <v>1034</v>
      </c>
      <c r="I580">
        <v>2067</v>
      </c>
      <c r="J580" s="3">
        <v>384.16</v>
      </c>
      <c r="K580" s="3">
        <v>794058.72</v>
      </c>
      <c r="L580">
        <v>404</v>
      </c>
      <c r="M580" t="s">
        <v>172</v>
      </c>
      <c r="N580" s="16">
        <f t="shared" si="46"/>
        <v>45658</v>
      </c>
      <c r="O580" t="s">
        <v>1546</v>
      </c>
      <c r="P580" t="str">
        <f t="shared" si="47"/>
        <v>January 2025</v>
      </c>
      <c r="Q580" t="s">
        <v>966</v>
      </c>
      <c r="R580" s="8">
        <v>18945.04</v>
      </c>
      <c r="S580" s="8">
        <f t="shared" si="48"/>
        <v>813003.76</v>
      </c>
      <c r="T580" s="6">
        <f t="shared" ref="T580:T643" si="49">O580 -M580</f>
        <v>-1</v>
      </c>
    </row>
    <row r="581" spans="1:20" x14ac:dyDescent="0.3">
      <c r="A581" t="s">
        <v>1660</v>
      </c>
      <c r="B581" s="13" t="s">
        <v>532</v>
      </c>
      <c r="C581" s="16">
        <f t="shared" si="45"/>
        <v>45839</v>
      </c>
      <c r="D581" t="s">
        <v>961</v>
      </c>
      <c r="E581" t="s">
        <v>987</v>
      </c>
      <c r="F581" t="s">
        <v>963</v>
      </c>
      <c r="G581" t="s">
        <v>985</v>
      </c>
      <c r="H581" t="s">
        <v>1000</v>
      </c>
      <c r="I581">
        <v>1294</v>
      </c>
      <c r="J581" s="3">
        <v>436.46</v>
      </c>
      <c r="K581" s="3">
        <v>564779.24</v>
      </c>
      <c r="L581">
        <v>430</v>
      </c>
      <c r="M581" t="s">
        <v>1005</v>
      </c>
      <c r="N581" s="16">
        <f t="shared" si="46"/>
        <v>45839</v>
      </c>
      <c r="O581" t="s">
        <v>326</v>
      </c>
      <c r="P581" t="str">
        <f t="shared" si="47"/>
        <v>July 2025</v>
      </c>
      <c r="Q581" t="s">
        <v>959</v>
      </c>
      <c r="R581" s="8">
        <v>21816.1</v>
      </c>
      <c r="S581" s="8">
        <f t="shared" si="48"/>
        <v>586595.34</v>
      </c>
      <c r="T581" s="6">
        <f t="shared" si="49"/>
        <v>3</v>
      </c>
    </row>
    <row r="582" spans="1:20" x14ac:dyDescent="0.3">
      <c r="A582" t="s">
        <v>1661</v>
      </c>
      <c r="B582" s="13" t="s">
        <v>653</v>
      </c>
      <c r="C582" s="16">
        <f t="shared" si="45"/>
        <v>45658</v>
      </c>
      <c r="D582" t="s">
        <v>1003</v>
      </c>
      <c r="E582" t="s">
        <v>49</v>
      </c>
      <c r="F582" t="s">
        <v>956</v>
      </c>
      <c r="G582" t="s">
        <v>1012</v>
      </c>
      <c r="H582" t="s">
        <v>977</v>
      </c>
      <c r="I582">
        <v>1377</v>
      </c>
      <c r="J582" s="3">
        <v>596.15</v>
      </c>
      <c r="K582" s="3">
        <v>820898.55</v>
      </c>
      <c r="L582">
        <v>18</v>
      </c>
      <c r="M582" t="s">
        <v>236</v>
      </c>
      <c r="N582" s="16">
        <f t="shared" si="46"/>
        <v>45658</v>
      </c>
      <c r="O582" t="s">
        <v>691</v>
      </c>
      <c r="P582" t="str">
        <f t="shared" si="47"/>
        <v>January 2025</v>
      </c>
      <c r="Q582" t="s">
        <v>959</v>
      </c>
      <c r="R582" s="8">
        <v>759.87</v>
      </c>
      <c r="S582" s="8">
        <f t="shared" si="48"/>
        <v>821658.42</v>
      </c>
      <c r="T582" s="6">
        <f t="shared" si="49"/>
        <v>3</v>
      </c>
    </row>
    <row r="583" spans="1:20" x14ac:dyDescent="0.3">
      <c r="A583" t="s">
        <v>1662</v>
      </c>
      <c r="B583" s="13" t="s">
        <v>141</v>
      </c>
      <c r="C583" s="16">
        <f t="shared" si="45"/>
        <v>45717</v>
      </c>
      <c r="D583" t="s">
        <v>961</v>
      </c>
      <c r="E583" t="s">
        <v>990</v>
      </c>
      <c r="F583" t="s">
        <v>980</v>
      </c>
      <c r="G583" t="s">
        <v>1152</v>
      </c>
      <c r="H583" t="s">
        <v>965</v>
      </c>
      <c r="I583">
        <v>2262</v>
      </c>
      <c r="J583" s="3">
        <v>770.67</v>
      </c>
      <c r="K583" s="3">
        <v>1743255.54</v>
      </c>
      <c r="L583">
        <v>665</v>
      </c>
      <c r="M583" t="s">
        <v>51</v>
      </c>
      <c r="N583" s="16">
        <f t="shared" si="46"/>
        <v>45717</v>
      </c>
      <c r="O583" t="s">
        <v>233</v>
      </c>
      <c r="P583" t="str">
        <f t="shared" si="47"/>
        <v>March 2025</v>
      </c>
      <c r="Q583" t="s">
        <v>966</v>
      </c>
      <c r="R583" s="8">
        <v>23777.5</v>
      </c>
      <c r="S583" s="8">
        <f t="shared" si="48"/>
        <v>1767033.04</v>
      </c>
      <c r="T583" s="6">
        <f t="shared" si="49"/>
        <v>-1</v>
      </c>
    </row>
    <row r="584" spans="1:20" x14ac:dyDescent="0.3">
      <c r="A584" t="s">
        <v>1663</v>
      </c>
      <c r="B584" s="13" t="s">
        <v>223</v>
      </c>
      <c r="C584" s="16">
        <f t="shared" si="45"/>
        <v>45748</v>
      </c>
      <c r="D584" t="s">
        <v>968</v>
      </c>
      <c r="E584" t="s">
        <v>33</v>
      </c>
      <c r="F584" t="s">
        <v>956</v>
      </c>
      <c r="G584" t="s">
        <v>988</v>
      </c>
      <c r="H584" t="s">
        <v>1034</v>
      </c>
      <c r="I584">
        <v>902</v>
      </c>
      <c r="J584" s="3">
        <v>528.45000000000005</v>
      </c>
      <c r="K584" s="3">
        <v>476661.9</v>
      </c>
      <c r="L584">
        <v>606</v>
      </c>
      <c r="M584" t="s">
        <v>320</v>
      </c>
      <c r="N584" s="16">
        <f t="shared" si="46"/>
        <v>45748</v>
      </c>
      <c r="O584" t="s">
        <v>320</v>
      </c>
      <c r="P584" t="str">
        <f t="shared" si="47"/>
        <v>April 2025</v>
      </c>
      <c r="Q584" t="s">
        <v>966</v>
      </c>
      <c r="R584" s="8">
        <v>25811.21</v>
      </c>
      <c r="S584" s="8">
        <f t="shared" si="48"/>
        <v>502473.11000000004</v>
      </c>
      <c r="T584" s="6">
        <f t="shared" si="49"/>
        <v>0</v>
      </c>
    </row>
    <row r="585" spans="1:20" x14ac:dyDescent="0.3">
      <c r="A585" t="s">
        <v>1664</v>
      </c>
      <c r="B585" s="13" t="s">
        <v>1286</v>
      </c>
      <c r="C585" s="16">
        <f t="shared" si="45"/>
        <v>45809</v>
      </c>
      <c r="D585" t="s">
        <v>1011</v>
      </c>
      <c r="E585" t="s">
        <v>987</v>
      </c>
      <c r="F585" t="s">
        <v>980</v>
      </c>
      <c r="G585" t="s">
        <v>1036</v>
      </c>
      <c r="H585" t="s">
        <v>982</v>
      </c>
      <c r="I585">
        <v>1605</v>
      </c>
      <c r="J585" s="3">
        <v>48.3</v>
      </c>
      <c r="K585" s="3">
        <v>77521.5</v>
      </c>
      <c r="L585">
        <v>605</v>
      </c>
      <c r="M585" t="s">
        <v>506</v>
      </c>
      <c r="N585" s="16">
        <f t="shared" si="46"/>
        <v>45809</v>
      </c>
      <c r="O585" t="s">
        <v>367</v>
      </c>
      <c r="P585" t="str">
        <f t="shared" si="47"/>
        <v>June 2025</v>
      </c>
      <c r="Q585" t="s">
        <v>959</v>
      </c>
      <c r="R585" s="8">
        <v>32469.31</v>
      </c>
      <c r="S585" s="8">
        <f t="shared" si="48"/>
        <v>109990.81</v>
      </c>
      <c r="T585" s="6">
        <f t="shared" si="49"/>
        <v>4</v>
      </c>
    </row>
    <row r="586" spans="1:20" x14ac:dyDescent="0.3">
      <c r="A586" t="s">
        <v>1665</v>
      </c>
      <c r="B586" s="13" t="s">
        <v>35</v>
      </c>
      <c r="C586" s="16">
        <f t="shared" si="45"/>
        <v>45809</v>
      </c>
      <c r="D586" t="s">
        <v>1003</v>
      </c>
      <c r="E586" t="s">
        <v>49</v>
      </c>
      <c r="F586" t="s">
        <v>971</v>
      </c>
      <c r="G586" t="s">
        <v>1012</v>
      </c>
      <c r="H586" t="s">
        <v>1023</v>
      </c>
      <c r="I586">
        <v>177</v>
      </c>
      <c r="J586" s="3">
        <v>124.2</v>
      </c>
      <c r="K586" s="3">
        <v>21983.4</v>
      </c>
      <c r="L586">
        <v>571</v>
      </c>
      <c r="M586" t="s">
        <v>132</v>
      </c>
      <c r="N586" s="16">
        <f t="shared" si="46"/>
        <v>45809</v>
      </c>
      <c r="O586" t="s">
        <v>79</v>
      </c>
      <c r="P586" t="str">
        <f t="shared" si="47"/>
        <v>June 2025</v>
      </c>
      <c r="Q586" t="s">
        <v>959</v>
      </c>
      <c r="R586" s="8">
        <v>26577.4</v>
      </c>
      <c r="S586" s="8">
        <f t="shared" si="48"/>
        <v>48560.800000000003</v>
      </c>
      <c r="T586" s="6">
        <f t="shared" si="49"/>
        <v>2</v>
      </c>
    </row>
    <row r="587" spans="1:20" x14ac:dyDescent="0.3">
      <c r="A587" t="s">
        <v>1666</v>
      </c>
      <c r="B587" s="13" t="s">
        <v>416</v>
      </c>
      <c r="C587" s="16">
        <f t="shared" si="45"/>
        <v>45809</v>
      </c>
      <c r="D587" t="s">
        <v>968</v>
      </c>
      <c r="E587" t="s">
        <v>962</v>
      </c>
      <c r="F587" t="s">
        <v>971</v>
      </c>
      <c r="G587" t="s">
        <v>1004</v>
      </c>
      <c r="H587" t="s">
        <v>982</v>
      </c>
      <c r="I587">
        <v>541</v>
      </c>
      <c r="J587" s="3">
        <v>791.96</v>
      </c>
      <c r="K587" s="3">
        <v>428450.36</v>
      </c>
      <c r="L587">
        <v>482</v>
      </c>
      <c r="M587" t="s">
        <v>814</v>
      </c>
      <c r="N587" s="16">
        <f t="shared" si="46"/>
        <v>45809</v>
      </c>
      <c r="O587" t="s">
        <v>180</v>
      </c>
      <c r="P587" t="str">
        <f t="shared" si="47"/>
        <v>June 2025</v>
      </c>
      <c r="Q587" t="s">
        <v>959</v>
      </c>
      <c r="R587" s="8">
        <v>20704.650000000001</v>
      </c>
      <c r="S587" s="8">
        <f t="shared" si="48"/>
        <v>449155.01</v>
      </c>
      <c r="T587" s="6">
        <f t="shared" si="49"/>
        <v>3</v>
      </c>
    </row>
    <row r="588" spans="1:20" x14ac:dyDescent="0.3">
      <c r="A588" t="s">
        <v>1667</v>
      </c>
      <c r="B588" s="13" t="s">
        <v>462</v>
      </c>
      <c r="C588" s="16">
        <f t="shared" si="45"/>
        <v>45809</v>
      </c>
      <c r="D588" t="s">
        <v>961</v>
      </c>
      <c r="E588" t="s">
        <v>990</v>
      </c>
      <c r="F588" t="s">
        <v>980</v>
      </c>
      <c r="G588" t="s">
        <v>964</v>
      </c>
      <c r="H588" t="s">
        <v>992</v>
      </c>
      <c r="I588">
        <v>1287</v>
      </c>
      <c r="J588" s="3">
        <v>235.66</v>
      </c>
      <c r="K588" s="3">
        <v>303294.42</v>
      </c>
      <c r="L588">
        <v>195</v>
      </c>
      <c r="M588" t="s">
        <v>336</v>
      </c>
      <c r="N588" s="16">
        <f t="shared" si="46"/>
        <v>45809</v>
      </c>
      <c r="O588" t="s">
        <v>1368</v>
      </c>
      <c r="P588" t="str">
        <f t="shared" si="47"/>
        <v>June 2025</v>
      </c>
      <c r="Q588" t="s">
        <v>959</v>
      </c>
      <c r="R588" s="8">
        <v>11282.42</v>
      </c>
      <c r="S588" s="8">
        <f t="shared" si="48"/>
        <v>314576.83999999997</v>
      </c>
      <c r="T588" s="6">
        <f t="shared" si="49"/>
        <v>2</v>
      </c>
    </row>
    <row r="589" spans="1:20" x14ac:dyDescent="0.3">
      <c r="A589" t="s">
        <v>1668</v>
      </c>
      <c r="B589" s="13" t="s">
        <v>873</v>
      </c>
      <c r="C589" s="16">
        <f t="shared" si="45"/>
        <v>45901</v>
      </c>
      <c r="D589" t="s">
        <v>1011</v>
      </c>
      <c r="E589" t="s">
        <v>987</v>
      </c>
      <c r="F589" t="s">
        <v>956</v>
      </c>
      <c r="G589" t="s">
        <v>1057</v>
      </c>
      <c r="H589" t="s">
        <v>1034</v>
      </c>
      <c r="I589">
        <v>1375</v>
      </c>
      <c r="J589" s="3">
        <v>249.38</v>
      </c>
      <c r="K589" s="3">
        <v>342897.5</v>
      </c>
      <c r="L589">
        <v>270</v>
      </c>
      <c r="M589" t="s">
        <v>156</v>
      </c>
      <c r="N589" s="16">
        <f t="shared" si="46"/>
        <v>45901</v>
      </c>
      <c r="O589" t="s">
        <v>156</v>
      </c>
      <c r="P589" t="str">
        <f t="shared" si="47"/>
        <v>September 2025</v>
      </c>
      <c r="Q589" t="s">
        <v>966</v>
      </c>
      <c r="R589" s="8">
        <v>12456.61</v>
      </c>
      <c r="S589" s="8">
        <f t="shared" si="48"/>
        <v>355354.11</v>
      </c>
      <c r="T589" s="6">
        <f t="shared" si="49"/>
        <v>0</v>
      </c>
    </row>
    <row r="590" spans="1:20" x14ac:dyDescent="0.3">
      <c r="A590" t="s">
        <v>1669</v>
      </c>
      <c r="B590" s="13" t="s">
        <v>1174</v>
      </c>
      <c r="C590" s="16">
        <f t="shared" si="45"/>
        <v>45962</v>
      </c>
      <c r="D590" t="s">
        <v>968</v>
      </c>
      <c r="E590" t="s">
        <v>990</v>
      </c>
      <c r="F590" t="s">
        <v>971</v>
      </c>
      <c r="G590" t="s">
        <v>1057</v>
      </c>
      <c r="H590" t="s">
        <v>982</v>
      </c>
      <c r="I590">
        <v>1605</v>
      </c>
      <c r="J590" s="3">
        <v>673.71</v>
      </c>
      <c r="K590" s="3">
        <v>1081304.55</v>
      </c>
      <c r="L590">
        <v>54</v>
      </c>
      <c r="M590" t="s">
        <v>714</v>
      </c>
      <c r="N590" s="16">
        <f t="shared" si="46"/>
        <v>45962</v>
      </c>
      <c r="O590" t="s">
        <v>714</v>
      </c>
      <c r="P590" t="str">
        <f t="shared" si="47"/>
        <v>November 2025</v>
      </c>
      <c r="Q590" t="s">
        <v>966</v>
      </c>
      <c r="R590" s="8">
        <v>0</v>
      </c>
      <c r="S590" s="8">
        <f t="shared" si="48"/>
        <v>1081304.55</v>
      </c>
      <c r="T590" s="6">
        <f t="shared" si="49"/>
        <v>0</v>
      </c>
    </row>
    <row r="591" spans="1:20" x14ac:dyDescent="0.3">
      <c r="A591" t="s">
        <v>1670</v>
      </c>
      <c r="B591" s="13" t="s">
        <v>163</v>
      </c>
      <c r="C591" s="16">
        <f t="shared" si="45"/>
        <v>45992</v>
      </c>
      <c r="D591" t="s">
        <v>1011</v>
      </c>
      <c r="E591" t="s">
        <v>49</v>
      </c>
      <c r="F591" t="s">
        <v>963</v>
      </c>
      <c r="G591" t="s">
        <v>1221</v>
      </c>
      <c r="H591" t="s">
        <v>1034</v>
      </c>
      <c r="I591">
        <v>528</v>
      </c>
      <c r="J591" s="3">
        <v>732.57</v>
      </c>
      <c r="K591" s="3">
        <v>386796.96</v>
      </c>
      <c r="L591">
        <v>636</v>
      </c>
      <c r="M591" t="s">
        <v>575</v>
      </c>
      <c r="N591" s="16">
        <f t="shared" si="46"/>
        <v>45992</v>
      </c>
      <c r="O591" t="s">
        <v>575</v>
      </c>
      <c r="P591" t="str">
        <f t="shared" si="47"/>
        <v>December 2025</v>
      </c>
      <c r="Q591" t="s">
        <v>966</v>
      </c>
      <c r="R591" s="8">
        <v>34041.56</v>
      </c>
      <c r="S591" s="8">
        <f t="shared" si="48"/>
        <v>420838.52</v>
      </c>
      <c r="T591" s="6">
        <f t="shared" si="49"/>
        <v>0</v>
      </c>
    </row>
    <row r="592" spans="1:20" x14ac:dyDescent="0.3">
      <c r="A592" t="s">
        <v>1671</v>
      </c>
      <c r="B592" s="13" t="s">
        <v>534</v>
      </c>
      <c r="C592" s="16">
        <f t="shared" si="45"/>
        <v>45839</v>
      </c>
      <c r="D592" t="s">
        <v>984</v>
      </c>
      <c r="E592" t="s">
        <v>49</v>
      </c>
      <c r="F592" t="s">
        <v>980</v>
      </c>
      <c r="G592" t="s">
        <v>1036</v>
      </c>
      <c r="H592" t="s">
        <v>958</v>
      </c>
      <c r="I592">
        <v>1964</v>
      </c>
      <c r="J592" s="3">
        <v>335.21</v>
      </c>
      <c r="K592" s="3">
        <v>658352.43999999994</v>
      </c>
      <c r="L592">
        <v>222</v>
      </c>
      <c r="M592" t="s">
        <v>908</v>
      </c>
      <c r="N592" s="16">
        <f t="shared" si="46"/>
        <v>45839</v>
      </c>
      <c r="O592" t="s">
        <v>908</v>
      </c>
      <c r="P592" t="str">
        <f t="shared" si="47"/>
        <v>July 2025</v>
      </c>
      <c r="Q592" t="s">
        <v>966</v>
      </c>
      <c r="R592" s="8">
        <v>11299.19</v>
      </c>
      <c r="S592" s="8">
        <f t="shared" si="48"/>
        <v>669651.62999999989</v>
      </c>
      <c r="T592" s="6">
        <f t="shared" si="49"/>
        <v>0</v>
      </c>
    </row>
    <row r="593" spans="1:20" x14ac:dyDescent="0.3">
      <c r="A593" t="s">
        <v>1672</v>
      </c>
      <c r="B593" s="13" t="s">
        <v>921</v>
      </c>
      <c r="C593" s="16">
        <f t="shared" si="45"/>
        <v>45901</v>
      </c>
      <c r="D593" t="s">
        <v>968</v>
      </c>
      <c r="E593" t="s">
        <v>43</v>
      </c>
      <c r="F593" t="s">
        <v>980</v>
      </c>
      <c r="G593" t="s">
        <v>1078</v>
      </c>
      <c r="H593" t="s">
        <v>977</v>
      </c>
      <c r="I593">
        <v>1769</v>
      </c>
      <c r="J593" s="3">
        <v>259.33</v>
      </c>
      <c r="K593" s="3">
        <v>458754.77</v>
      </c>
      <c r="L593">
        <v>584</v>
      </c>
      <c r="M593" t="s">
        <v>708</v>
      </c>
      <c r="N593" s="16">
        <f t="shared" si="46"/>
        <v>45901</v>
      </c>
      <c r="O593" t="s">
        <v>48</v>
      </c>
      <c r="P593" t="str">
        <f t="shared" si="47"/>
        <v>September 2025</v>
      </c>
      <c r="Q593" t="s">
        <v>959</v>
      </c>
      <c r="R593" s="8">
        <v>30836.28</v>
      </c>
      <c r="S593" s="8">
        <f t="shared" si="48"/>
        <v>489591.05000000005</v>
      </c>
      <c r="T593" s="6">
        <f t="shared" si="49"/>
        <v>1</v>
      </c>
    </row>
    <row r="594" spans="1:20" x14ac:dyDescent="0.3">
      <c r="A594" t="s">
        <v>1673</v>
      </c>
      <c r="B594" s="13" t="s">
        <v>161</v>
      </c>
      <c r="C594" s="16">
        <f t="shared" si="45"/>
        <v>45778</v>
      </c>
      <c r="D594" t="s">
        <v>1003</v>
      </c>
      <c r="E594" t="s">
        <v>33</v>
      </c>
      <c r="F594" t="s">
        <v>980</v>
      </c>
      <c r="G594" t="s">
        <v>996</v>
      </c>
      <c r="H594" t="s">
        <v>1018</v>
      </c>
      <c r="I594">
        <v>2434</v>
      </c>
      <c r="J594" s="3">
        <v>434.62</v>
      </c>
      <c r="K594" s="3">
        <v>1057865.08</v>
      </c>
      <c r="L594">
        <v>514</v>
      </c>
      <c r="M594" t="s">
        <v>84</v>
      </c>
      <c r="N594" s="16">
        <f t="shared" si="46"/>
        <v>45778</v>
      </c>
      <c r="O594" t="s">
        <v>84</v>
      </c>
      <c r="P594" t="str">
        <f t="shared" si="47"/>
        <v>May 2025</v>
      </c>
      <c r="Q594" t="s">
        <v>966</v>
      </c>
      <c r="R594" s="8">
        <v>21502.02</v>
      </c>
      <c r="S594" s="8">
        <f t="shared" si="48"/>
        <v>1079367.1000000001</v>
      </c>
      <c r="T594" s="6">
        <f t="shared" si="49"/>
        <v>0</v>
      </c>
    </row>
    <row r="595" spans="1:20" x14ac:dyDescent="0.3">
      <c r="A595" t="s">
        <v>1674</v>
      </c>
      <c r="B595" s="13" t="s">
        <v>256</v>
      </c>
      <c r="C595" s="16">
        <f t="shared" si="45"/>
        <v>45839</v>
      </c>
      <c r="D595" t="s">
        <v>1003</v>
      </c>
      <c r="E595" t="s">
        <v>33</v>
      </c>
      <c r="F595" t="s">
        <v>980</v>
      </c>
      <c r="G595" t="s">
        <v>1057</v>
      </c>
      <c r="H595" t="s">
        <v>1018</v>
      </c>
      <c r="I595">
        <v>2471</v>
      </c>
      <c r="J595" s="3">
        <v>221.86</v>
      </c>
      <c r="K595" s="3">
        <v>548216.06000000006</v>
      </c>
      <c r="L595">
        <v>664</v>
      </c>
      <c r="M595" t="s">
        <v>277</v>
      </c>
      <c r="N595" s="16">
        <f t="shared" si="46"/>
        <v>45839</v>
      </c>
      <c r="O595" t="s">
        <v>492</v>
      </c>
      <c r="P595" t="str">
        <f t="shared" si="47"/>
        <v>August 2025</v>
      </c>
      <c r="Q595" t="s">
        <v>959</v>
      </c>
      <c r="R595" s="8">
        <v>26569.74</v>
      </c>
      <c r="S595" s="8">
        <f t="shared" si="48"/>
        <v>574785.80000000005</v>
      </c>
      <c r="T595" s="6">
        <f t="shared" si="49"/>
        <v>3</v>
      </c>
    </row>
    <row r="596" spans="1:20" x14ac:dyDescent="0.3">
      <c r="A596" t="s">
        <v>1675</v>
      </c>
      <c r="B596" s="13" t="s">
        <v>1032</v>
      </c>
      <c r="C596" s="16">
        <f t="shared" si="45"/>
        <v>45689</v>
      </c>
      <c r="D596" t="s">
        <v>1021</v>
      </c>
      <c r="E596" t="s">
        <v>987</v>
      </c>
      <c r="F596" t="s">
        <v>963</v>
      </c>
      <c r="G596" t="s">
        <v>964</v>
      </c>
      <c r="H596" t="s">
        <v>1000</v>
      </c>
      <c r="I596">
        <v>2420</v>
      </c>
      <c r="J596" s="3">
        <v>631.52</v>
      </c>
      <c r="K596" s="3">
        <v>1528278.4</v>
      </c>
      <c r="L596">
        <v>269</v>
      </c>
      <c r="M596" t="s">
        <v>199</v>
      </c>
      <c r="N596" s="16">
        <f t="shared" si="46"/>
        <v>45689</v>
      </c>
      <c r="O596" t="s">
        <v>1233</v>
      </c>
      <c r="P596" t="str">
        <f t="shared" si="47"/>
        <v>March 2025</v>
      </c>
      <c r="Q596" t="s">
        <v>959</v>
      </c>
      <c r="R596" s="8">
        <v>11866.6</v>
      </c>
      <c r="S596" s="8">
        <f t="shared" si="48"/>
        <v>1540145</v>
      </c>
      <c r="T596" s="6">
        <f t="shared" si="49"/>
        <v>1</v>
      </c>
    </row>
    <row r="597" spans="1:20" x14ac:dyDescent="0.3">
      <c r="A597" t="s">
        <v>1676</v>
      </c>
      <c r="B597" s="13" t="s">
        <v>604</v>
      </c>
      <c r="C597" s="16">
        <f t="shared" si="45"/>
        <v>45748</v>
      </c>
      <c r="D597" t="s">
        <v>1011</v>
      </c>
      <c r="E597" t="s">
        <v>987</v>
      </c>
      <c r="F597" t="s">
        <v>971</v>
      </c>
      <c r="G597" t="s">
        <v>976</v>
      </c>
      <c r="H597" t="s">
        <v>1034</v>
      </c>
      <c r="I597">
        <v>689</v>
      </c>
      <c r="J597" s="3">
        <v>659.54</v>
      </c>
      <c r="K597" s="3">
        <v>454423.06</v>
      </c>
      <c r="L597">
        <v>252</v>
      </c>
      <c r="M597" t="s">
        <v>1107</v>
      </c>
      <c r="N597" s="16">
        <f t="shared" si="46"/>
        <v>45748</v>
      </c>
      <c r="O597" t="s">
        <v>819</v>
      </c>
      <c r="P597" t="str">
        <f t="shared" si="47"/>
        <v>April 2025</v>
      </c>
      <c r="Q597" t="s">
        <v>959</v>
      </c>
      <c r="R597" s="8">
        <v>10649.1</v>
      </c>
      <c r="S597" s="8">
        <f t="shared" si="48"/>
        <v>465072.16</v>
      </c>
      <c r="T597" s="6">
        <f t="shared" si="49"/>
        <v>4</v>
      </c>
    </row>
    <row r="598" spans="1:20" x14ac:dyDescent="0.3">
      <c r="A598" t="s">
        <v>1677</v>
      </c>
      <c r="B598" s="13" t="s">
        <v>66</v>
      </c>
      <c r="C598" s="16">
        <f t="shared" si="45"/>
        <v>45901</v>
      </c>
      <c r="D598" t="s">
        <v>968</v>
      </c>
      <c r="E598" t="s">
        <v>33</v>
      </c>
      <c r="F598" t="s">
        <v>971</v>
      </c>
      <c r="G598" t="s">
        <v>957</v>
      </c>
      <c r="H598" t="s">
        <v>965</v>
      </c>
      <c r="I598">
        <v>221</v>
      </c>
      <c r="J598" s="3">
        <v>557.89</v>
      </c>
      <c r="K598" s="3">
        <v>123293.69</v>
      </c>
      <c r="L598">
        <v>491</v>
      </c>
      <c r="M598" t="s">
        <v>352</v>
      </c>
      <c r="N598" s="16">
        <f t="shared" si="46"/>
        <v>45901</v>
      </c>
      <c r="O598" t="s">
        <v>759</v>
      </c>
      <c r="P598" t="str">
        <f t="shared" si="47"/>
        <v>September 2025</v>
      </c>
      <c r="Q598" t="s">
        <v>959</v>
      </c>
      <c r="R598" s="8">
        <v>20981.27</v>
      </c>
      <c r="S598" s="8">
        <f t="shared" si="48"/>
        <v>144274.96</v>
      </c>
      <c r="T598" s="6">
        <f t="shared" si="49"/>
        <v>1</v>
      </c>
    </row>
    <row r="599" spans="1:20" x14ac:dyDescent="0.3">
      <c r="A599" t="s">
        <v>1678</v>
      </c>
      <c r="B599" s="13" t="s">
        <v>814</v>
      </c>
      <c r="C599" s="16">
        <f t="shared" si="45"/>
        <v>45809</v>
      </c>
      <c r="D599" t="s">
        <v>1021</v>
      </c>
      <c r="E599" t="s">
        <v>43</v>
      </c>
      <c r="F599" t="s">
        <v>980</v>
      </c>
      <c r="G599" t="s">
        <v>1004</v>
      </c>
      <c r="H599" t="s">
        <v>1034</v>
      </c>
      <c r="I599">
        <v>576</v>
      </c>
      <c r="J599" s="3">
        <v>646.22</v>
      </c>
      <c r="K599" s="3">
        <v>372222.71999999997</v>
      </c>
      <c r="L599">
        <v>195</v>
      </c>
      <c r="M599" t="s">
        <v>396</v>
      </c>
      <c r="N599" s="16">
        <f t="shared" si="46"/>
        <v>45809</v>
      </c>
      <c r="O599" t="s">
        <v>252</v>
      </c>
      <c r="P599" t="str">
        <f t="shared" si="47"/>
        <v>June 2025</v>
      </c>
      <c r="Q599" t="s">
        <v>959</v>
      </c>
      <c r="R599" s="8">
        <v>9370.35</v>
      </c>
      <c r="S599" s="8">
        <f t="shared" si="48"/>
        <v>381593.06999999995</v>
      </c>
      <c r="T599" s="6">
        <f t="shared" si="49"/>
        <v>1</v>
      </c>
    </row>
    <row r="600" spans="1:20" x14ac:dyDescent="0.3">
      <c r="A600" t="s">
        <v>1679</v>
      </c>
      <c r="B600" s="13" t="s">
        <v>970</v>
      </c>
      <c r="C600" s="16">
        <f t="shared" si="45"/>
        <v>45658</v>
      </c>
      <c r="D600" t="s">
        <v>968</v>
      </c>
      <c r="E600" t="s">
        <v>962</v>
      </c>
      <c r="F600" t="s">
        <v>971</v>
      </c>
      <c r="G600" t="s">
        <v>1078</v>
      </c>
      <c r="H600" t="s">
        <v>958</v>
      </c>
      <c r="I600">
        <v>690</v>
      </c>
      <c r="J600" s="3">
        <v>722.22</v>
      </c>
      <c r="K600" s="3">
        <v>498331.8</v>
      </c>
      <c r="L600">
        <v>236</v>
      </c>
      <c r="M600" t="s">
        <v>149</v>
      </c>
      <c r="N600" s="16">
        <f t="shared" si="46"/>
        <v>45658</v>
      </c>
      <c r="O600" t="s">
        <v>916</v>
      </c>
      <c r="P600" t="str">
        <f t="shared" si="47"/>
        <v>January 2025</v>
      </c>
      <c r="Q600" t="s">
        <v>959</v>
      </c>
      <c r="R600" s="8">
        <v>12982.88</v>
      </c>
      <c r="S600" s="8">
        <f t="shared" si="48"/>
        <v>511314.68</v>
      </c>
      <c r="T600" s="6">
        <f t="shared" si="49"/>
        <v>3</v>
      </c>
    </row>
    <row r="601" spans="1:20" x14ac:dyDescent="0.3">
      <c r="A601" t="s">
        <v>1680</v>
      </c>
      <c r="B601" s="13" t="s">
        <v>798</v>
      </c>
      <c r="C601" s="16">
        <f t="shared" si="45"/>
        <v>45931</v>
      </c>
      <c r="D601" t="s">
        <v>961</v>
      </c>
      <c r="E601" t="s">
        <v>49</v>
      </c>
      <c r="F601" t="s">
        <v>963</v>
      </c>
      <c r="G601" t="s">
        <v>1072</v>
      </c>
      <c r="H601" t="s">
        <v>992</v>
      </c>
      <c r="I601">
        <v>1552</v>
      </c>
      <c r="J601" s="3">
        <v>78.28</v>
      </c>
      <c r="K601" s="3">
        <v>121490.56</v>
      </c>
      <c r="L601">
        <v>508</v>
      </c>
      <c r="M601" t="s">
        <v>122</v>
      </c>
      <c r="N601" s="16">
        <f t="shared" si="46"/>
        <v>45931</v>
      </c>
      <c r="O601" t="s">
        <v>400</v>
      </c>
      <c r="P601" t="str">
        <f t="shared" si="47"/>
        <v>October 2025</v>
      </c>
      <c r="Q601" t="s">
        <v>959</v>
      </c>
      <c r="R601" s="8">
        <v>24145.61</v>
      </c>
      <c r="S601" s="8">
        <f t="shared" si="48"/>
        <v>145636.16999999998</v>
      </c>
      <c r="T601" s="6">
        <f t="shared" si="49"/>
        <v>2</v>
      </c>
    </row>
    <row r="602" spans="1:20" x14ac:dyDescent="0.3">
      <c r="A602" t="s">
        <v>1681</v>
      </c>
      <c r="B602" s="13" t="s">
        <v>586</v>
      </c>
      <c r="C602" s="16">
        <f t="shared" si="45"/>
        <v>45748</v>
      </c>
      <c r="D602" t="s">
        <v>968</v>
      </c>
      <c r="E602" t="s">
        <v>43</v>
      </c>
      <c r="F602" t="s">
        <v>956</v>
      </c>
      <c r="G602" t="s">
        <v>1015</v>
      </c>
      <c r="H602" t="s">
        <v>1000</v>
      </c>
      <c r="I602">
        <v>92</v>
      </c>
      <c r="J602" s="3">
        <v>202.55</v>
      </c>
      <c r="K602" s="3">
        <v>18634.599999999999</v>
      </c>
      <c r="L602">
        <v>609</v>
      </c>
      <c r="M602" t="s">
        <v>552</v>
      </c>
      <c r="N602" s="16">
        <f t="shared" si="46"/>
        <v>45748</v>
      </c>
      <c r="O602" t="s">
        <v>208</v>
      </c>
      <c r="P602" t="str">
        <f t="shared" si="47"/>
        <v>April 2025</v>
      </c>
      <c r="Q602" t="s">
        <v>966</v>
      </c>
      <c r="R602" s="8">
        <v>22027.5</v>
      </c>
      <c r="S602" s="8">
        <f t="shared" si="48"/>
        <v>40662.1</v>
      </c>
      <c r="T602" s="6">
        <f t="shared" si="49"/>
        <v>-1</v>
      </c>
    </row>
    <row r="603" spans="1:20" x14ac:dyDescent="0.3">
      <c r="A603" t="s">
        <v>1682</v>
      </c>
      <c r="B603" s="13" t="s">
        <v>679</v>
      </c>
      <c r="C603" s="16">
        <f t="shared" si="45"/>
        <v>45992</v>
      </c>
      <c r="D603" t="s">
        <v>955</v>
      </c>
      <c r="E603" t="s">
        <v>987</v>
      </c>
      <c r="F603" t="s">
        <v>971</v>
      </c>
      <c r="G603" t="s">
        <v>1132</v>
      </c>
      <c r="H603" t="s">
        <v>1023</v>
      </c>
      <c r="I603">
        <v>690</v>
      </c>
      <c r="J603" s="3">
        <v>116.39</v>
      </c>
      <c r="K603" s="3">
        <v>80309.100000000006</v>
      </c>
      <c r="L603">
        <v>339</v>
      </c>
      <c r="M603" t="s">
        <v>1133</v>
      </c>
      <c r="N603" s="16">
        <f t="shared" si="46"/>
        <v>46023</v>
      </c>
      <c r="O603" t="s">
        <v>1134</v>
      </c>
      <c r="P603" t="str">
        <f t="shared" si="47"/>
        <v>January 2026</v>
      </c>
      <c r="Q603" t="s">
        <v>959</v>
      </c>
      <c r="R603" s="8">
        <v>18978.939999999999</v>
      </c>
      <c r="S603" s="8">
        <f t="shared" si="48"/>
        <v>99288.040000000008</v>
      </c>
      <c r="T603" s="6">
        <f t="shared" si="49"/>
        <v>2</v>
      </c>
    </row>
    <row r="604" spans="1:20" x14ac:dyDescent="0.3">
      <c r="A604" t="s">
        <v>1683</v>
      </c>
      <c r="B604" s="13" t="s">
        <v>258</v>
      </c>
      <c r="C604" s="16">
        <f t="shared" si="45"/>
        <v>45658</v>
      </c>
      <c r="D604" t="s">
        <v>961</v>
      </c>
      <c r="E604" t="s">
        <v>962</v>
      </c>
      <c r="F604" t="s">
        <v>956</v>
      </c>
      <c r="G604" t="s">
        <v>1015</v>
      </c>
      <c r="H604" t="s">
        <v>1023</v>
      </c>
      <c r="I604">
        <v>2428</v>
      </c>
      <c r="J604" s="3">
        <v>855.89</v>
      </c>
      <c r="K604" s="3">
        <v>2078100.92</v>
      </c>
      <c r="L604">
        <v>104</v>
      </c>
      <c r="M604" t="s">
        <v>970</v>
      </c>
      <c r="N604" s="16">
        <f t="shared" si="46"/>
        <v>45658</v>
      </c>
      <c r="O604" t="s">
        <v>970</v>
      </c>
      <c r="P604" t="str">
        <f t="shared" si="47"/>
        <v>January 2025</v>
      </c>
      <c r="Q604" t="s">
        <v>966</v>
      </c>
      <c r="R604" s="8">
        <v>5629.41</v>
      </c>
      <c r="S604" s="8">
        <f t="shared" si="48"/>
        <v>2083730.3299999998</v>
      </c>
      <c r="T604" s="6">
        <f t="shared" si="49"/>
        <v>0</v>
      </c>
    </row>
    <row r="605" spans="1:20" x14ac:dyDescent="0.3">
      <c r="A605" t="s">
        <v>1684</v>
      </c>
      <c r="B605" s="13" t="s">
        <v>46</v>
      </c>
      <c r="C605" s="16">
        <f t="shared" si="45"/>
        <v>45689</v>
      </c>
      <c r="D605" t="s">
        <v>968</v>
      </c>
      <c r="E605" t="s">
        <v>962</v>
      </c>
      <c r="F605" t="s">
        <v>971</v>
      </c>
      <c r="G605" t="s">
        <v>1040</v>
      </c>
      <c r="H605" t="s">
        <v>1023</v>
      </c>
      <c r="I605">
        <v>196</v>
      </c>
      <c r="J605" s="3">
        <v>352.55</v>
      </c>
      <c r="K605" s="3">
        <v>69099.8</v>
      </c>
      <c r="L605">
        <v>573</v>
      </c>
      <c r="M605" t="s">
        <v>105</v>
      </c>
      <c r="N605" s="16">
        <f t="shared" si="46"/>
        <v>45689</v>
      </c>
      <c r="O605" t="s">
        <v>206</v>
      </c>
      <c r="P605" t="str">
        <f t="shared" si="47"/>
        <v>February 2025</v>
      </c>
      <c r="Q605" t="s">
        <v>959</v>
      </c>
      <c r="R605" s="8">
        <v>30251.89</v>
      </c>
      <c r="S605" s="8">
        <f t="shared" si="48"/>
        <v>99351.69</v>
      </c>
      <c r="T605" s="6">
        <f t="shared" si="49"/>
        <v>2</v>
      </c>
    </row>
    <row r="606" spans="1:20" x14ac:dyDescent="0.3">
      <c r="A606" t="s">
        <v>1685</v>
      </c>
      <c r="B606" s="13" t="s">
        <v>273</v>
      </c>
      <c r="C606" s="16">
        <f t="shared" si="45"/>
        <v>45658</v>
      </c>
      <c r="D606" t="s">
        <v>961</v>
      </c>
      <c r="E606" t="s">
        <v>43</v>
      </c>
      <c r="F606" t="s">
        <v>956</v>
      </c>
      <c r="G606" t="s">
        <v>1051</v>
      </c>
      <c r="H606" t="s">
        <v>992</v>
      </c>
      <c r="I606">
        <v>1362</v>
      </c>
      <c r="J606" s="3">
        <v>823.71</v>
      </c>
      <c r="K606" s="3">
        <v>1121893.02</v>
      </c>
      <c r="L606">
        <v>313</v>
      </c>
      <c r="M606" t="s">
        <v>730</v>
      </c>
      <c r="N606" s="16">
        <f t="shared" si="46"/>
        <v>45658</v>
      </c>
      <c r="O606" t="s">
        <v>730</v>
      </c>
      <c r="P606" t="str">
        <f t="shared" si="47"/>
        <v>January 2025</v>
      </c>
      <c r="Q606" t="s">
        <v>966</v>
      </c>
      <c r="R606" s="8">
        <v>16497.86</v>
      </c>
      <c r="S606" s="8">
        <f t="shared" si="48"/>
        <v>1138390.8800000001</v>
      </c>
      <c r="T606" s="6">
        <f t="shared" si="49"/>
        <v>0</v>
      </c>
    </row>
    <row r="607" spans="1:20" x14ac:dyDescent="0.3">
      <c r="A607" t="s">
        <v>1686</v>
      </c>
      <c r="B607" s="13" t="s">
        <v>435</v>
      </c>
      <c r="C607" s="16">
        <f t="shared" si="45"/>
        <v>45809</v>
      </c>
      <c r="D607" t="s">
        <v>961</v>
      </c>
      <c r="E607" t="s">
        <v>987</v>
      </c>
      <c r="F607" t="s">
        <v>980</v>
      </c>
      <c r="G607" t="s">
        <v>1004</v>
      </c>
      <c r="H607" t="s">
        <v>1023</v>
      </c>
      <c r="I607">
        <v>1481</v>
      </c>
      <c r="J607" s="3">
        <v>108.31</v>
      </c>
      <c r="K607" s="3">
        <v>160407.10999999999</v>
      </c>
      <c r="L607">
        <v>555</v>
      </c>
      <c r="M607" t="s">
        <v>174</v>
      </c>
      <c r="N607" s="16">
        <f t="shared" si="46"/>
        <v>45809</v>
      </c>
      <c r="O607" t="s">
        <v>174</v>
      </c>
      <c r="P607" t="str">
        <f t="shared" si="47"/>
        <v>June 2025</v>
      </c>
      <c r="Q607" t="s">
        <v>966</v>
      </c>
      <c r="R607" s="8">
        <v>28770.09</v>
      </c>
      <c r="S607" s="8">
        <f t="shared" si="48"/>
        <v>189177.19999999998</v>
      </c>
      <c r="T607" s="6">
        <f t="shared" si="49"/>
        <v>0</v>
      </c>
    </row>
    <row r="608" spans="1:20" x14ac:dyDescent="0.3">
      <c r="A608" t="s">
        <v>1687</v>
      </c>
      <c r="B608" s="13" t="s">
        <v>176</v>
      </c>
      <c r="C608" s="16">
        <f t="shared" si="45"/>
        <v>45931</v>
      </c>
      <c r="D608" t="s">
        <v>975</v>
      </c>
      <c r="E608" t="s">
        <v>962</v>
      </c>
      <c r="F608" t="s">
        <v>971</v>
      </c>
      <c r="G608" t="s">
        <v>1042</v>
      </c>
      <c r="H608" t="s">
        <v>1000</v>
      </c>
      <c r="I608">
        <v>2366</v>
      </c>
      <c r="J608" s="3">
        <v>611.6</v>
      </c>
      <c r="K608" s="3">
        <v>1447045.6</v>
      </c>
      <c r="L608">
        <v>367</v>
      </c>
      <c r="M608" t="s">
        <v>928</v>
      </c>
      <c r="N608" s="16">
        <f t="shared" si="46"/>
        <v>45931</v>
      </c>
      <c r="O608" t="s">
        <v>215</v>
      </c>
      <c r="P608" t="str">
        <f t="shared" si="47"/>
        <v>October 2025</v>
      </c>
      <c r="Q608" t="s">
        <v>959</v>
      </c>
      <c r="R608" s="8">
        <v>21058.36</v>
      </c>
      <c r="S608" s="8">
        <f t="shared" si="48"/>
        <v>1468103.9600000002</v>
      </c>
      <c r="T608" s="6">
        <f t="shared" si="49"/>
        <v>1</v>
      </c>
    </row>
    <row r="609" spans="1:20" x14ac:dyDescent="0.3">
      <c r="A609" t="s">
        <v>1688</v>
      </c>
      <c r="B609" s="13" t="s">
        <v>699</v>
      </c>
      <c r="C609" s="16">
        <f t="shared" si="45"/>
        <v>45658</v>
      </c>
      <c r="D609" t="s">
        <v>1011</v>
      </c>
      <c r="E609" t="s">
        <v>987</v>
      </c>
      <c r="F609" t="s">
        <v>963</v>
      </c>
      <c r="G609" t="s">
        <v>998</v>
      </c>
      <c r="H609" t="s">
        <v>1034</v>
      </c>
      <c r="I609">
        <v>1297</v>
      </c>
      <c r="J609" s="3">
        <v>354.66</v>
      </c>
      <c r="K609" s="3">
        <v>459994.02</v>
      </c>
      <c r="L609">
        <v>680</v>
      </c>
      <c r="M609" t="s">
        <v>345</v>
      </c>
      <c r="N609" s="16">
        <f t="shared" si="46"/>
        <v>45658</v>
      </c>
      <c r="O609" t="s">
        <v>345</v>
      </c>
      <c r="P609" t="str">
        <f t="shared" si="47"/>
        <v>January 2025</v>
      </c>
      <c r="Q609" t="s">
        <v>966</v>
      </c>
      <c r="R609" s="8">
        <v>39835.14</v>
      </c>
      <c r="S609" s="8">
        <f t="shared" si="48"/>
        <v>499829.16000000003</v>
      </c>
      <c r="T609" s="6">
        <f t="shared" si="49"/>
        <v>0</v>
      </c>
    </row>
    <row r="610" spans="1:20" x14ac:dyDescent="0.3">
      <c r="A610" t="s">
        <v>1689</v>
      </c>
      <c r="B610" s="13" t="s">
        <v>158</v>
      </c>
      <c r="C610" s="16">
        <f t="shared" si="45"/>
        <v>45992</v>
      </c>
      <c r="D610" t="s">
        <v>1003</v>
      </c>
      <c r="E610" t="s">
        <v>990</v>
      </c>
      <c r="F610" t="s">
        <v>971</v>
      </c>
      <c r="G610" t="s">
        <v>1038</v>
      </c>
      <c r="H610" t="s">
        <v>1018</v>
      </c>
      <c r="I610">
        <v>2257</v>
      </c>
      <c r="J610" s="3">
        <v>883.23</v>
      </c>
      <c r="K610" s="3">
        <v>1993450.11</v>
      </c>
      <c r="L610">
        <v>522</v>
      </c>
      <c r="M610" t="s">
        <v>88</v>
      </c>
      <c r="N610" s="16">
        <f t="shared" si="46"/>
        <v>45992</v>
      </c>
      <c r="O610" t="s">
        <v>361</v>
      </c>
      <c r="P610" t="str">
        <f t="shared" si="47"/>
        <v>December 2025</v>
      </c>
      <c r="Q610" t="s">
        <v>959</v>
      </c>
      <c r="R610" s="8">
        <v>24304.59</v>
      </c>
      <c r="S610" s="8">
        <f t="shared" si="48"/>
        <v>2017754.7000000002</v>
      </c>
      <c r="T610" s="6">
        <f t="shared" si="49"/>
        <v>4</v>
      </c>
    </row>
    <row r="611" spans="1:20" x14ac:dyDescent="0.3">
      <c r="A611" t="s">
        <v>1690</v>
      </c>
      <c r="B611" s="13" t="s">
        <v>520</v>
      </c>
      <c r="C611" s="16">
        <f t="shared" si="45"/>
        <v>45839</v>
      </c>
      <c r="D611" t="s">
        <v>975</v>
      </c>
      <c r="E611" t="s">
        <v>962</v>
      </c>
      <c r="F611" t="s">
        <v>956</v>
      </c>
      <c r="G611" t="s">
        <v>1098</v>
      </c>
      <c r="H611" t="s">
        <v>992</v>
      </c>
      <c r="I611">
        <v>1647</v>
      </c>
      <c r="J611" s="3">
        <v>382.11</v>
      </c>
      <c r="K611" s="3">
        <v>629335.17000000004</v>
      </c>
      <c r="L611">
        <v>617</v>
      </c>
      <c r="M611" t="s">
        <v>852</v>
      </c>
      <c r="N611" s="16">
        <f t="shared" si="46"/>
        <v>45839</v>
      </c>
      <c r="O611" t="s">
        <v>453</v>
      </c>
      <c r="P611" t="str">
        <f t="shared" si="47"/>
        <v>August 2025</v>
      </c>
      <c r="Q611" t="s">
        <v>959</v>
      </c>
      <c r="R611" s="8">
        <v>24823.040000000001</v>
      </c>
      <c r="S611" s="8">
        <f t="shared" si="48"/>
        <v>654158.21000000008</v>
      </c>
      <c r="T611" s="6">
        <f t="shared" si="49"/>
        <v>3</v>
      </c>
    </row>
    <row r="612" spans="1:20" x14ac:dyDescent="0.3">
      <c r="A612" t="s">
        <v>1691</v>
      </c>
      <c r="B612" s="13" t="s">
        <v>745</v>
      </c>
      <c r="C612" s="16">
        <f t="shared" si="45"/>
        <v>45748</v>
      </c>
      <c r="D612" t="s">
        <v>1021</v>
      </c>
      <c r="E612" t="s">
        <v>33</v>
      </c>
      <c r="F612" t="s">
        <v>956</v>
      </c>
      <c r="G612" t="s">
        <v>985</v>
      </c>
      <c r="H612" t="s">
        <v>1018</v>
      </c>
      <c r="I612">
        <v>503</v>
      </c>
      <c r="J612" s="3">
        <v>421.52</v>
      </c>
      <c r="K612" s="3">
        <v>212024.56</v>
      </c>
      <c r="L612">
        <v>169</v>
      </c>
      <c r="M612" t="s">
        <v>223</v>
      </c>
      <c r="N612" s="16">
        <f t="shared" si="46"/>
        <v>45748</v>
      </c>
      <c r="O612" t="s">
        <v>223</v>
      </c>
      <c r="P612" t="str">
        <f t="shared" si="47"/>
        <v>April 2025</v>
      </c>
      <c r="Q612" t="s">
        <v>966</v>
      </c>
      <c r="R612" s="8">
        <v>8457.9599999999991</v>
      </c>
      <c r="S612" s="8">
        <f t="shared" si="48"/>
        <v>220482.52</v>
      </c>
      <c r="T612" s="6">
        <f t="shared" si="49"/>
        <v>0</v>
      </c>
    </row>
    <row r="613" spans="1:20" x14ac:dyDescent="0.3">
      <c r="A613" t="s">
        <v>1692</v>
      </c>
      <c r="B613" s="13" t="s">
        <v>90</v>
      </c>
      <c r="C613" s="16">
        <f t="shared" si="45"/>
        <v>45931</v>
      </c>
      <c r="D613" t="s">
        <v>968</v>
      </c>
      <c r="E613" t="s">
        <v>990</v>
      </c>
      <c r="F613" t="s">
        <v>980</v>
      </c>
      <c r="G613" t="s">
        <v>976</v>
      </c>
      <c r="H613" t="s">
        <v>973</v>
      </c>
      <c r="I613">
        <v>221</v>
      </c>
      <c r="J613" s="3">
        <v>190.9</v>
      </c>
      <c r="K613" s="3">
        <v>42188.9</v>
      </c>
      <c r="L613">
        <v>196</v>
      </c>
      <c r="M613" t="s">
        <v>68</v>
      </c>
      <c r="N613" s="16">
        <f t="shared" si="46"/>
        <v>45931</v>
      </c>
      <c r="O613" t="s">
        <v>68</v>
      </c>
      <c r="P613" t="str">
        <f t="shared" si="47"/>
        <v>October 2025</v>
      </c>
      <c r="Q613" t="s">
        <v>966</v>
      </c>
      <c r="R613" s="8">
        <v>8071.06</v>
      </c>
      <c r="S613" s="8">
        <f t="shared" si="48"/>
        <v>50259.96</v>
      </c>
      <c r="T613" s="6">
        <f t="shared" si="49"/>
        <v>0</v>
      </c>
    </row>
    <row r="614" spans="1:20" x14ac:dyDescent="0.3">
      <c r="A614" t="s">
        <v>1693</v>
      </c>
      <c r="B614" s="13" t="s">
        <v>149</v>
      </c>
      <c r="C614" s="16">
        <f t="shared" si="45"/>
        <v>45658</v>
      </c>
      <c r="D614" t="s">
        <v>1003</v>
      </c>
      <c r="E614" t="s">
        <v>962</v>
      </c>
      <c r="F614" t="s">
        <v>963</v>
      </c>
      <c r="G614" t="s">
        <v>1040</v>
      </c>
      <c r="H614" t="s">
        <v>977</v>
      </c>
      <c r="I614">
        <v>576</v>
      </c>
      <c r="J614" s="3">
        <v>577.54</v>
      </c>
      <c r="K614" s="3">
        <v>332663.03999999998</v>
      </c>
      <c r="L614">
        <v>700</v>
      </c>
      <c r="M614" t="s">
        <v>916</v>
      </c>
      <c r="N614" s="16">
        <f t="shared" si="46"/>
        <v>45658</v>
      </c>
      <c r="O614" t="s">
        <v>861</v>
      </c>
      <c r="P614" t="str">
        <f t="shared" si="47"/>
        <v>January 2025</v>
      </c>
      <c r="Q614" t="s">
        <v>959</v>
      </c>
      <c r="R614" s="8">
        <v>34208.379999999997</v>
      </c>
      <c r="S614" s="8">
        <f t="shared" si="48"/>
        <v>366871.42</v>
      </c>
      <c r="T614" s="6">
        <f t="shared" si="49"/>
        <v>2</v>
      </c>
    </row>
    <row r="615" spans="1:20" x14ac:dyDescent="0.3">
      <c r="A615" t="s">
        <v>1694</v>
      </c>
      <c r="B615" s="13" t="s">
        <v>739</v>
      </c>
      <c r="C615" s="16">
        <f t="shared" si="45"/>
        <v>45839</v>
      </c>
      <c r="D615" t="s">
        <v>961</v>
      </c>
      <c r="E615" t="s">
        <v>43</v>
      </c>
      <c r="F615" t="s">
        <v>963</v>
      </c>
      <c r="G615" t="s">
        <v>1068</v>
      </c>
      <c r="H615" t="s">
        <v>1000</v>
      </c>
      <c r="I615">
        <v>1513</v>
      </c>
      <c r="J615" s="3">
        <v>259.52999999999997</v>
      </c>
      <c r="K615" s="3">
        <v>392668.89</v>
      </c>
      <c r="L615">
        <v>534</v>
      </c>
      <c r="M615" t="s">
        <v>71</v>
      </c>
      <c r="N615" s="16">
        <f t="shared" si="46"/>
        <v>45839</v>
      </c>
      <c r="O615" t="s">
        <v>71</v>
      </c>
      <c r="P615" t="str">
        <f t="shared" si="47"/>
        <v>July 2025</v>
      </c>
      <c r="Q615" t="s">
        <v>966</v>
      </c>
      <c r="R615" s="8">
        <v>31728.57</v>
      </c>
      <c r="S615" s="8">
        <f t="shared" si="48"/>
        <v>424397.46</v>
      </c>
      <c r="T615" s="6">
        <f t="shared" si="49"/>
        <v>0</v>
      </c>
    </row>
    <row r="616" spans="1:20" x14ac:dyDescent="0.3">
      <c r="A616" t="s">
        <v>1695</v>
      </c>
      <c r="B616" s="13" t="s">
        <v>163</v>
      </c>
      <c r="C616" s="16">
        <f t="shared" si="45"/>
        <v>45992</v>
      </c>
      <c r="D616" t="s">
        <v>961</v>
      </c>
      <c r="E616" t="s">
        <v>962</v>
      </c>
      <c r="F616" t="s">
        <v>956</v>
      </c>
      <c r="G616" t="s">
        <v>1057</v>
      </c>
      <c r="H616" t="s">
        <v>958</v>
      </c>
      <c r="I616">
        <v>1656</v>
      </c>
      <c r="J616" s="3">
        <v>569.91999999999996</v>
      </c>
      <c r="K616" s="3">
        <v>943787.52000000002</v>
      </c>
      <c r="L616">
        <v>214</v>
      </c>
      <c r="M616" t="s">
        <v>130</v>
      </c>
      <c r="N616" s="16">
        <f t="shared" si="46"/>
        <v>45992</v>
      </c>
      <c r="O616" t="s">
        <v>932</v>
      </c>
      <c r="P616" t="str">
        <f t="shared" si="47"/>
        <v>December 2025</v>
      </c>
      <c r="Q616" t="s">
        <v>959</v>
      </c>
      <c r="R616" s="8">
        <v>11406.7</v>
      </c>
      <c r="S616" s="8">
        <f t="shared" si="48"/>
        <v>955194.22</v>
      </c>
      <c r="T616" s="6">
        <f t="shared" si="49"/>
        <v>3</v>
      </c>
    </row>
    <row r="617" spans="1:20" x14ac:dyDescent="0.3">
      <c r="A617" t="s">
        <v>1696</v>
      </c>
      <c r="B617" s="13" t="s">
        <v>1187</v>
      </c>
      <c r="C617" s="16">
        <f t="shared" si="45"/>
        <v>45778</v>
      </c>
      <c r="D617" t="s">
        <v>1011</v>
      </c>
      <c r="E617" t="s">
        <v>987</v>
      </c>
      <c r="F617" t="s">
        <v>963</v>
      </c>
      <c r="G617" t="s">
        <v>1087</v>
      </c>
      <c r="H617" t="s">
        <v>1018</v>
      </c>
      <c r="I617">
        <v>932</v>
      </c>
      <c r="J617" s="3">
        <v>264.18</v>
      </c>
      <c r="K617" s="3">
        <v>246215.76</v>
      </c>
      <c r="L617">
        <v>310</v>
      </c>
      <c r="M617" t="s">
        <v>650</v>
      </c>
      <c r="N617" s="16">
        <f t="shared" si="46"/>
        <v>45778</v>
      </c>
      <c r="O617" t="s">
        <v>650</v>
      </c>
      <c r="P617" t="str">
        <f t="shared" si="47"/>
        <v>May 2025</v>
      </c>
      <c r="Q617" t="s">
        <v>966</v>
      </c>
      <c r="R617" s="8">
        <v>13021.5</v>
      </c>
      <c r="S617" s="8">
        <f t="shared" si="48"/>
        <v>259237.26</v>
      </c>
      <c r="T617" s="6">
        <f t="shared" si="49"/>
        <v>0</v>
      </c>
    </row>
    <row r="618" spans="1:20" x14ac:dyDescent="0.3">
      <c r="A618" t="s">
        <v>1697</v>
      </c>
      <c r="B618" s="13" t="s">
        <v>316</v>
      </c>
      <c r="C618" s="16">
        <f t="shared" si="45"/>
        <v>45748</v>
      </c>
      <c r="D618" t="s">
        <v>968</v>
      </c>
      <c r="E618" t="s">
        <v>49</v>
      </c>
      <c r="F618" t="s">
        <v>956</v>
      </c>
      <c r="G618" t="s">
        <v>991</v>
      </c>
      <c r="H618" t="s">
        <v>982</v>
      </c>
      <c r="I618">
        <v>1743</v>
      </c>
      <c r="J618" s="3">
        <v>652.17999999999995</v>
      </c>
      <c r="K618" s="3">
        <v>1136749.74</v>
      </c>
      <c r="L618">
        <v>359</v>
      </c>
      <c r="M618" t="s">
        <v>745</v>
      </c>
      <c r="N618" s="16">
        <f t="shared" si="46"/>
        <v>45748</v>
      </c>
      <c r="O618" t="s">
        <v>223</v>
      </c>
      <c r="P618" t="str">
        <f t="shared" si="47"/>
        <v>April 2025</v>
      </c>
      <c r="Q618" t="s">
        <v>959</v>
      </c>
      <c r="R618" s="8">
        <v>20789.09</v>
      </c>
      <c r="S618" s="8">
        <f t="shared" si="48"/>
        <v>1157538.83</v>
      </c>
      <c r="T618" s="6">
        <f t="shared" si="49"/>
        <v>1</v>
      </c>
    </row>
    <row r="619" spans="1:20" x14ac:dyDescent="0.3">
      <c r="A619" t="s">
        <v>1698</v>
      </c>
      <c r="B619" s="13" t="s">
        <v>338</v>
      </c>
      <c r="C619" s="16">
        <f t="shared" si="45"/>
        <v>45931</v>
      </c>
      <c r="D619" t="s">
        <v>1003</v>
      </c>
      <c r="E619" t="s">
        <v>990</v>
      </c>
      <c r="F619" t="s">
        <v>971</v>
      </c>
      <c r="G619" t="s">
        <v>988</v>
      </c>
      <c r="H619" t="s">
        <v>982</v>
      </c>
      <c r="I619">
        <v>263</v>
      </c>
      <c r="J619" s="3">
        <v>81.62</v>
      </c>
      <c r="K619" s="3">
        <v>21466.06</v>
      </c>
      <c r="L619">
        <v>286</v>
      </c>
      <c r="M619" t="s">
        <v>825</v>
      </c>
      <c r="N619" s="16">
        <f t="shared" si="46"/>
        <v>45931</v>
      </c>
      <c r="O619" t="s">
        <v>311</v>
      </c>
      <c r="P619" t="str">
        <f t="shared" si="47"/>
        <v>October 2025</v>
      </c>
      <c r="Q619" t="s">
        <v>959</v>
      </c>
      <c r="R619" s="8">
        <v>10118.950000000001</v>
      </c>
      <c r="S619" s="8">
        <f t="shared" si="48"/>
        <v>31585.010000000002</v>
      </c>
      <c r="T619" s="6">
        <f t="shared" si="49"/>
        <v>1</v>
      </c>
    </row>
    <row r="620" spans="1:20" x14ac:dyDescent="0.3">
      <c r="A620" t="s">
        <v>1699</v>
      </c>
      <c r="B620" s="13" t="s">
        <v>817</v>
      </c>
      <c r="C620" s="16">
        <f t="shared" si="45"/>
        <v>45748</v>
      </c>
      <c r="D620" t="s">
        <v>968</v>
      </c>
      <c r="E620" t="s">
        <v>43</v>
      </c>
      <c r="F620" t="s">
        <v>963</v>
      </c>
      <c r="G620" t="s">
        <v>972</v>
      </c>
      <c r="H620" t="s">
        <v>965</v>
      </c>
      <c r="I620">
        <v>1961</v>
      </c>
      <c r="J620" s="3">
        <v>814.1</v>
      </c>
      <c r="K620" s="3">
        <v>1596450.1</v>
      </c>
      <c r="L620">
        <v>589</v>
      </c>
      <c r="M620" t="s">
        <v>1154</v>
      </c>
      <c r="N620" s="16">
        <f t="shared" si="46"/>
        <v>45748</v>
      </c>
      <c r="O620" t="s">
        <v>403</v>
      </c>
      <c r="P620" t="str">
        <f t="shared" si="47"/>
        <v>April 2025</v>
      </c>
      <c r="Q620" t="s">
        <v>959</v>
      </c>
      <c r="R620" s="8">
        <v>27676.22</v>
      </c>
      <c r="S620" s="8">
        <f t="shared" si="48"/>
        <v>1624126.32</v>
      </c>
      <c r="T620" s="6">
        <f t="shared" si="49"/>
        <v>4</v>
      </c>
    </row>
    <row r="621" spans="1:20" x14ac:dyDescent="0.3">
      <c r="A621" t="s">
        <v>1700</v>
      </c>
      <c r="B621" s="13" t="s">
        <v>184</v>
      </c>
      <c r="C621" s="16">
        <f t="shared" si="45"/>
        <v>45901</v>
      </c>
      <c r="D621" t="s">
        <v>955</v>
      </c>
      <c r="E621" t="s">
        <v>990</v>
      </c>
      <c r="F621" t="s">
        <v>971</v>
      </c>
      <c r="G621" t="s">
        <v>964</v>
      </c>
      <c r="H621" t="s">
        <v>992</v>
      </c>
      <c r="I621">
        <v>1026</v>
      </c>
      <c r="J621" s="3">
        <v>811.24</v>
      </c>
      <c r="K621" s="3">
        <v>832332.24</v>
      </c>
      <c r="L621">
        <v>334</v>
      </c>
      <c r="M621" t="s">
        <v>921</v>
      </c>
      <c r="N621" s="16">
        <f t="shared" si="46"/>
        <v>45901</v>
      </c>
      <c r="O621" t="s">
        <v>48</v>
      </c>
      <c r="P621" t="str">
        <f t="shared" si="47"/>
        <v>September 2025</v>
      </c>
      <c r="Q621" t="s">
        <v>959</v>
      </c>
      <c r="R621" s="8">
        <v>13511.54</v>
      </c>
      <c r="S621" s="8">
        <f t="shared" si="48"/>
        <v>845843.78</v>
      </c>
      <c r="T621" s="6">
        <f t="shared" si="49"/>
        <v>3</v>
      </c>
    </row>
    <row r="622" spans="1:20" x14ac:dyDescent="0.3">
      <c r="A622" t="s">
        <v>1701</v>
      </c>
      <c r="B622" s="13" t="s">
        <v>338</v>
      </c>
      <c r="C622" s="16">
        <f t="shared" si="45"/>
        <v>45931</v>
      </c>
      <c r="D622" t="s">
        <v>1011</v>
      </c>
      <c r="E622" t="s">
        <v>33</v>
      </c>
      <c r="F622" t="s">
        <v>980</v>
      </c>
      <c r="G622" t="s">
        <v>1132</v>
      </c>
      <c r="H622" t="s">
        <v>982</v>
      </c>
      <c r="I622">
        <v>2366</v>
      </c>
      <c r="J622" s="3">
        <v>854.81</v>
      </c>
      <c r="K622" s="3">
        <v>2022480.46</v>
      </c>
      <c r="L622">
        <v>611</v>
      </c>
      <c r="M622" t="s">
        <v>311</v>
      </c>
      <c r="N622" s="16">
        <f t="shared" si="46"/>
        <v>45931</v>
      </c>
      <c r="O622" t="s">
        <v>96</v>
      </c>
      <c r="P622" t="str">
        <f t="shared" si="47"/>
        <v>October 2025</v>
      </c>
      <c r="Q622" t="s">
        <v>959</v>
      </c>
      <c r="R622" s="8">
        <v>36960.26</v>
      </c>
      <c r="S622" s="8">
        <f t="shared" si="48"/>
        <v>2059440.72</v>
      </c>
      <c r="T622" s="6">
        <f t="shared" si="49"/>
        <v>1</v>
      </c>
    </row>
    <row r="623" spans="1:20" x14ac:dyDescent="0.3">
      <c r="A623" t="s">
        <v>1702</v>
      </c>
      <c r="B623" s="13" t="s">
        <v>398</v>
      </c>
      <c r="C623" s="16">
        <f t="shared" si="45"/>
        <v>45748</v>
      </c>
      <c r="D623" t="s">
        <v>1011</v>
      </c>
      <c r="E623" t="s">
        <v>962</v>
      </c>
      <c r="F623" t="s">
        <v>963</v>
      </c>
      <c r="G623" t="s">
        <v>1026</v>
      </c>
      <c r="H623" t="s">
        <v>965</v>
      </c>
      <c r="I623">
        <v>280</v>
      </c>
      <c r="J623" s="3">
        <v>783.69</v>
      </c>
      <c r="K623" s="3">
        <v>219433.2</v>
      </c>
      <c r="L623">
        <v>384</v>
      </c>
      <c r="M623" t="s">
        <v>412</v>
      </c>
      <c r="N623" s="16">
        <f t="shared" si="46"/>
        <v>45748</v>
      </c>
      <c r="O623" t="s">
        <v>412</v>
      </c>
      <c r="P623" t="str">
        <f t="shared" si="47"/>
        <v>April 2025</v>
      </c>
      <c r="Q623" t="s">
        <v>966</v>
      </c>
      <c r="R623" s="8">
        <v>18407.669999999998</v>
      </c>
      <c r="S623" s="8">
        <f t="shared" si="48"/>
        <v>237840.87</v>
      </c>
      <c r="T623" s="6">
        <f t="shared" si="49"/>
        <v>0</v>
      </c>
    </row>
    <row r="624" spans="1:20" x14ac:dyDescent="0.3">
      <c r="A624" t="s">
        <v>1703</v>
      </c>
      <c r="B624" s="13" t="s">
        <v>233</v>
      </c>
      <c r="C624" s="16">
        <f t="shared" si="45"/>
        <v>45717</v>
      </c>
      <c r="D624" t="s">
        <v>955</v>
      </c>
      <c r="E624" t="s">
        <v>33</v>
      </c>
      <c r="F624" t="s">
        <v>980</v>
      </c>
      <c r="G624" t="s">
        <v>1012</v>
      </c>
      <c r="H624" t="s">
        <v>1034</v>
      </c>
      <c r="I624">
        <v>619</v>
      </c>
      <c r="J624" s="3">
        <v>859.02</v>
      </c>
      <c r="K624" s="3">
        <v>531733.38</v>
      </c>
      <c r="L624">
        <v>717</v>
      </c>
      <c r="M624" t="s">
        <v>978</v>
      </c>
      <c r="N624" s="16">
        <f t="shared" si="46"/>
        <v>45717</v>
      </c>
      <c r="O624" t="s">
        <v>978</v>
      </c>
      <c r="P624" t="str">
        <f t="shared" si="47"/>
        <v>March 2025</v>
      </c>
      <c r="Q624" t="s">
        <v>966</v>
      </c>
      <c r="R624" s="8">
        <v>25597.9</v>
      </c>
      <c r="S624" s="8">
        <f t="shared" si="48"/>
        <v>557331.28</v>
      </c>
      <c r="T624" s="6">
        <f t="shared" si="49"/>
        <v>0</v>
      </c>
    </row>
    <row r="625" spans="1:20" x14ac:dyDescent="0.3">
      <c r="A625" t="s">
        <v>1704</v>
      </c>
      <c r="B625" s="13" t="s">
        <v>928</v>
      </c>
      <c r="C625" s="16">
        <f t="shared" si="45"/>
        <v>45931</v>
      </c>
      <c r="D625" t="s">
        <v>1003</v>
      </c>
      <c r="E625" t="s">
        <v>43</v>
      </c>
      <c r="F625" t="s">
        <v>971</v>
      </c>
      <c r="G625" t="s">
        <v>972</v>
      </c>
      <c r="H625" t="s">
        <v>1034</v>
      </c>
      <c r="I625">
        <v>1951</v>
      </c>
      <c r="J625" s="3">
        <v>645.53</v>
      </c>
      <c r="K625" s="3">
        <v>1259429.03</v>
      </c>
      <c r="L625">
        <v>305</v>
      </c>
      <c r="M625" t="s">
        <v>215</v>
      </c>
      <c r="N625" s="16">
        <f t="shared" si="46"/>
        <v>45931</v>
      </c>
      <c r="O625" t="s">
        <v>1198</v>
      </c>
      <c r="P625" t="str">
        <f t="shared" si="47"/>
        <v>October 2025</v>
      </c>
      <c r="Q625" t="s">
        <v>959</v>
      </c>
      <c r="R625" s="8">
        <v>15516.38</v>
      </c>
      <c r="S625" s="8">
        <f t="shared" si="48"/>
        <v>1274945.4099999999</v>
      </c>
      <c r="T625" s="6">
        <f t="shared" si="49"/>
        <v>3</v>
      </c>
    </row>
    <row r="626" spans="1:20" x14ac:dyDescent="0.3">
      <c r="A626" t="s">
        <v>1705</v>
      </c>
      <c r="B626" s="13" t="s">
        <v>586</v>
      </c>
      <c r="C626" s="16">
        <f t="shared" si="45"/>
        <v>45748</v>
      </c>
      <c r="D626" t="s">
        <v>1003</v>
      </c>
      <c r="E626" t="s">
        <v>962</v>
      </c>
      <c r="F626" t="s">
        <v>963</v>
      </c>
      <c r="G626" t="s">
        <v>1036</v>
      </c>
      <c r="H626" t="s">
        <v>992</v>
      </c>
      <c r="I626">
        <v>2417</v>
      </c>
      <c r="J626" s="3">
        <v>660.35</v>
      </c>
      <c r="K626" s="3">
        <v>1596065.95</v>
      </c>
      <c r="L626">
        <v>75</v>
      </c>
      <c r="M626" t="s">
        <v>208</v>
      </c>
      <c r="N626" s="16">
        <f t="shared" si="46"/>
        <v>45748</v>
      </c>
      <c r="O626" t="s">
        <v>586</v>
      </c>
      <c r="P626" t="str">
        <f t="shared" si="47"/>
        <v>April 2025</v>
      </c>
      <c r="Q626" t="s">
        <v>966</v>
      </c>
      <c r="R626" s="8">
        <v>3112.91</v>
      </c>
      <c r="S626" s="8">
        <f t="shared" si="48"/>
        <v>1599178.8599999999</v>
      </c>
      <c r="T626" s="6">
        <f t="shared" si="49"/>
        <v>-1</v>
      </c>
    </row>
    <row r="627" spans="1:20" x14ac:dyDescent="0.3">
      <c r="A627" t="s">
        <v>1706</v>
      </c>
      <c r="B627" s="13" t="s">
        <v>71</v>
      </c>
      <c r="C627" s="16">
        <f t="shared" si="45"/>
        <v>45839</v>
      </c>
      <c r="D627" t="s">
        <v>1011</v>
      </c>
      <c r="E627" t="s">
        <v>990</v>
      </c>
      <c r="F627" t="s">
        <v>956</v>
      </c>
      <c r="G627" t="s">
        <v>1132</v>
      </c>
      <c r="H627" t="s">
        <v>982</v>
      </c>
      <c r="I627">
        <v>1922</v>
      </c>
      <c r="J627" s="3">
        <v>651.94000000000005</v>
      </c>
      <c r="K627" s="3">
        <v>1253028.68</v>
      </c>
      <c r="L627">
        <v>224</v>
      </c>
      <c r="M627" t="s">
        <v>871</v>
      </c>
      <c r="N627" s="16">
        <f t="shared" si="46"/>
        <v>45839</v>
      </c>
      <c r="O627" t="s">
        <v>871</v>
      </c>
      <c r="P627" t="str">
        <f t="shared" si="47"/>
        <v>July 2025</v>
      </c>
      <c r="Q627" t="s">
        <v>966</v>
      </c>
      <c r="R627" s="8">
        <v>9434.42</v>
      </c>
      <c r="S627" s="8">
        <f t="shared" si="48"/>
        <v>1262463.0999999999</v>
      </c>
      <c r="T627" s="6">
        <f t="shared" si="49"/>
        <v>0</v>
      </c>
    </row>
    <row r="628" spans="1:20" x14ac:dyDescent="0.3">
      <c r="A628" t="s">
        <v>1707</v>
      </c>
      <c r="B628" s="13" t="s">
        <v>116</v>
      </c>
      <c r="C628" s="16">
        <f t="shared" si="45"/>
        <v>45748</v>
      </c>
      <c r="D628" t="s">
        <v>975</v>
      </c>
      <c r="E628" t="s">
        <v>990</v>
      </c>
      <c r="F628" t="s">
        <v>980</v>
      </c>
      <c r="G628" t="s">
        <v>996</v>
      </c>
      <c r="H628" t="s">
        <v>992</v>
      </c>
      <c r="I628">
        <v>2372</v>
      </c>
      <c r="J628" s="3">
        <v>398.27</v>
      </c>
      <c r="K628" s="3">
        <v>944696.44</v>
      </c>
      <c r="L628">
        <v>324</v>
      </c>
      <c r="M628" t="s">
        <v>316</v>
      </c>
      <c r="N628" s="16">
        <f t="shared" si="46"/>
        <v>45748</v>
      </c>
      <c r="O628" t="s">
        <v>316</v>
      </c>
      <c r="P628" t="str">
        <f t="shared" si="47"/>
        <v>April 2025</v>
      </c>
      <c r="Q628" t="s">
        <v>966</v>
      </c>
      <c r="R628" s="8">
        <v>17721.919999999998</v>
      </c>
      <c r="S628" s="8">
        <f t="shared" si="48"/>
        <v>962418.36</v>
      </c>
      <c r="T628" s="6">
        <f t="shared" si="49"/>
        <v>0</v>
      </c>
    </row>
    <row r="629" spans="1:20" x14ac:dyDescent="0.3">
      <c r="A629" t="s">
        <v>1708</v>
      </c>
      <c r="B629" s="13" t="s">
        <v>530</v>
      </c>
      <c r="C629" s="16">
        <f t="shared" si="45"/>
        <v>45778</v>
      </c>
      <c r="D629" t="s">
        <v>961</v>
      </c>
      <c r="E629" t="s">
        <v>43</v>
      </c>
      <c r="F629" t="s">
        <v>963</v>
      </c>
      <c r="G629" t="s">
        <v>994</v>
      </c>
      <c r="H629" t="s">
        <v>982</v>
      </c>
      <c r="I629">
        <v>2408</v>
      </c>
      <c r="J629" s="3">
        <v>550.94000000000005</v>
      </c>
      <c r="K629" s="3">
        <v>1326663.52</v>
      </c>
      <c r="L629">
        <v>26</v>
      </c>
      <c r="M629" t="s">
        <v>343</v>
      </c>
      <c r="N629" s="16">
        <f t="shared" si="46"/>
        <v>45778</v>
      </c>
      <c r="O629" t="s">
        <v>387</v>
      </c>
      <c r="P629" t="str">
        <f t="shared" si="47"/>
        <v>May 2025</v>
      </c>
      <c r="Q629" t="s">
        <v>959</v>
      </c>
      <c r="R629" s="8">
        <v>1134.17</v>
      </c>
      <c r="S629" s="8">
        <f t="shared" si="48"/>
        <v>1327797.69</v>
      </c>
      <c r="T629" s="6">
        <f t="shared" si="49"/>
        <v>1</v>
      </c>
    </row>
    <row r="630" spans="1:20" x14ac:dyDescent="0.3">
      <c r="A630" t="s">
        <v>1709</v>
      </c>
      <c r="B630" s="13" t="s">
        <v>396</v>
      </c>
      <c r="C630" s="16">
        <f t="shared" si="45"/>
        <v>45809</v>
      </c>
      <c r="D630" t="s">
        <v>1011</v>
      </c>
      <c r="E630" t="s">
        <v>962</v>
      </c>
      <c r="F630" t="s">
        <v>963</v>
      </c>
      <c r="G630" t="s">
        <v>1015</v>
      </c>
      <c r="H630" t="s">
        <v>1018</v>
      </c>
      <c r="I630">
        <v>52</v>
      </c>
      <c r="J630" s="3">
        <v>785.51</v>
      </c>
      <c r="K630" s="3">
        <v>40846.519999999997</v>
      </c>
      <c r="L630">
        <v>562</v>
      </c>
      <c r="M630" t="s">
        <v>180</v>
      </c>
      <c r="N630" s="16">
        <f t="shared" si="46"/>
        <v>45809</v>
      </c>
      <c r="O630" t="s">
        <v>252</v>
      </c>
      <c r="P630" t="str">
        <f t="shared" si="47"/>
        <v>June 2025</v>
      </c>
      <c r="Q630" t="s">
        <v>966</v>
      </c>
      <c r="R630" s="8">
        <v>32372.31</v>
      </c>
      <c r="S630" s="8">
        <f t="shared" si="48"/>
        <v>73218.83</v>
      </c>
      <c r="T630" s="6">
        <f t="shared" si="49"/>
        <v>-1</v>
      </c>
    </row>
    <row r="631" spans="1:20" x14ac:dyDescent="0.3">
      <c r="A631" t="s">
        <v>1710</v>
      </c>
      <c r="B631" s="13" t="s">
        <v>256</v>
      </c>
      <c r="C631" s="16">
        <f t="shared" si="45"/>
        <v>45839</v>
      </c>
      <c r="D631" t="s">
        <v>1003</v>
      </c>
      <c r="E631" t="s">
        <v>49</v>
      </c>
      <c r="F631" t="s">
        <v>971</v>
      </c>
      <c r="G631" t="s">
        <v>994</v>
      </c>
      <c r="H631" t="s">
        <v>1000</v>
      </c>
      <c r="I631">
        <v>467</v>
      </c>
      <c r="J631" s="3">
        <v>396.08</v>
      </c>
      <c r="K631" s="3">
        <v>184969.36</v>
      </c>
      <c r="L631">
        <v>434</v>
      </c>
      <c r="M631" t="s">
        <v>277</v>
      </c>
      <c r="N631" s="16">
        <f t="shared" si="46"/>
        <v>45839</v>
      </c>
      <c r="O631" t="s">
        <v>453</v>
      </c>
      <c r="P631" t="str">
        <f t="shared" si="47"/>
        <v>August 2025</v>
      </c>
      <c r="Q631" t="s">
        <v>959</v>
      </c>
      <c r="R631" s="8">
        <v>17642.75</v>
      </c>
      <c r="S631" s="8">
        <f t="shared" si="48"/>
        <v>202612.11</v>
      </c>
      <c r="T631" s="6">
        <f t="shared" si="49"/>
        <v>4</v>
      </c>
    </row>
    <row r="632" spans="1:20" x14ac:dyDescent="0.3">
      <c r="A632" t="s">
        <v>1711</v>
      </c>
      <c r="B632" s="13" t="s">
        <v>873</v>
      </c>
      <c r="C632" s="16">
        <f t="shared" si="45"/>
        <v>45901</v>
      </c>
      <c r="D632" t="s">
        <v>975</v>
      </c>
      <c r="E632" t="s">
        <v>49</v>
      </c>
      <c r="F632" t="s">
        <v>980</v>
      </c>
      <c r="G632" t="s">
        <v>1040</v>
      </c>
      <c r="H632" t="s">
        <v>982</v>
      </c>
      <c r="I632">
        <v>1803</v>
      </c>
      <c r="J632" s="3">
        <v>881.19</v>
      </c>
      <c r="K632" s="3">
        <v>1588785.57</v>
      </c>
      <c r="L632">
        <v>224</v>
      </c>
      <c r="M632" t="s">
        <v>156</v>
      </c>
      <c r="N632" s="16">
        <f t="shared" si="46"/>
        <v>45901</v>
      </c>
      <c r="O632" t="s">
        <v>156</v>
      </c>
      <c r="P632" t="str">
        <f t="shared" si="47"/>
        <v>September 2025</v>
      </c>
      <c r="Q632" t="s">
        <v>966</v>
      </c>
      <c r="R632" s="8">
        <v>12384.09</v>
      </c>
      <c r="S632" s="8">
        <f t="shared" si="48"/>
        <v>1601169.6600000001</v>
      </c>
      <c r="T632" s="6">
        <f t="shared" si="49"/>
        <v>0</v>
      </c>
    </row>
    <row r="633" spans="1:20" x14ac:dyDescent="0.3">
      <c r="A633" t="s">
        <v>1712</v>
      </c>
      <c r="B633" s="13" t="s">
        <v>595</v>
      </c>
      <c r="C633" s="16">
        <f t="shared" si="45"/>
        <v>45992</v>
      </c>
      <c r="D633" t="s">
        <v>984</v>
      </c>
      <c r="E633" t="s">
        <v>49</v>
      </c>
      <c r="F633" t="s">
        <v>963</v>
      </c>
      <c r="G633" t="s">
        <v>1026</v>
      </c>
      <c r="H633" t="s">
        <v>1023</v>
      </c>
      <c r="I633">
        <v>2277</v>
      </c>
      <c r="J633" s="3">
        <v>646.11</v>
      </c>
      <c r="K633" s="3">
        <v>1471192.47</v>
      </c>
      <c r="L633">
        <v>556</v>
      </c>
      <c r="M633" t="s">
        <v>503</v>
      </c>
      <c r="N633" s="16">
        <f t="shared" si="46"/>
        <v>45992</v>
      </c>
      <c r="O633" t="s">
        <v>380</v>
      </c>
      <c r="P633" t="str">
        <f t="shared" si="47"/>
        <v>December 2025</v>
      </c>
      <c r="Q633" t="s">
        <v>959</v>
      </c>
      <c r="R633" s="8">
        <v>24033.07</v>
      </c>
      <c r="S633" s="8">
        <f t="shared" si="48"/>
        <v>1495225.54</v>
      </c>
      <c r="T633" s="6">
        <f t="shared" si="49"/>
        <v>1</v>
      </c>
    </row>
    <row r="634" spans="1:20" x14ac:dyDescent="0.3">
      <c r="A634" t="s">
        <v>1713</v>
      </c>
      <c r="B634" s="13" t="s">
        <v>134</v>
      </c>
      <c r="C634" s="16">
        <f t="shared" si="45"/>
        <v>45962</v>
      </c>
      <c r="D634" t="s">
        <v>961</v>
      </c>
      <c r="E634" t="s">
        <v>43</v>
      </c>
      <c r="F634" t="s">
        <v>963</v>
      </c>
      <c r="G634" t="s">
        <v>1057</v>
      </c>
      <c r="H634" t="s">
        <v>1000</v>
      </c>
      <c r="I634">
        <v>1789</v>
      </c>
      <c r="J634" s="3">
        <v>799.07</v>
      </c>
      <c r="K634" s="3">
        <v>1429536.23</v>
      </c>
      <c r="L634">
        <v>84</v>
      </c>
      <c r="M634" t="s">
        <v>629</v>
      </c>
      <c r="N634" s="16">
        <f t="shared" si="46"/>
        <v>45962</v>
      </c>
      <c r="O634" t="s">
        <v>221</v>
      </c>
      <c r="P634" t="str">
        <f t="shared" si="47"/>
        <v>November 2025</v>
      </c>
      <c r="Q634" t="s">
        <v>959</v>
      </c>
      <c r="R634" s="8">
        <v>4654.47</v>
      </c>
      <c r="S634" s="8">
        <f t="shared" si="48"/>
        <v>1434190.7</v>
      </c>
      <c r="T634" s="6">
        <f t="shared" si="49"/>
        <v>1</v>
      </c>
    </row>
    <row r="635" spans="1:20" x14ac:dyDescent="0.3">
      <c r="A635" t="s">
        <v>1714</v>
      </c>
      <c r="B635" s="13" t="s">
        <v>35</v>
      </c>
      <c r="C635" s="16">
        <f t="shared" si="45"/>
        <v>45809</v>
      </c>
      <c r="D635" t="s">
        <v>984</v>
      </c>
      <c r="E635" t="s">
        <v>33</v>
      </c>
      <c r="F635" t="s">
        <v>956</v>
      </c>
      <c r="G635" t="s">
        <v>996</v>
      </c>
      <c r="H635" t="s">
        <v>1000</v>
      </c>
      <c r="I635">
        <v>2352</v>
      </c>
      <c r="J635" s="3">
        <v>178.89</v>
      </c>
      <c r="K635" s="3">
        <v>420749.28</v>
      </c>
      <c r="L635">
        <v>40</v>
      </c>
      <c r="M635" t="s">
        <v>100</v>
      </c>
      <c r="N635" s="16">
        <f t="shared" si="46"/>
        <v>45809</v>
      </c>
      <c r="O635" t="s">
        <v>100</v>
      </c>
      <c r="P635" t="str">
        <f t="shared" si="47"/>
        <v>June 2025</v>
      </c>
      <c r="Q635" t="s">
        <v>966</v>
      </c>
      <c r="R635" s="8">
        <v>2458.86</v>
      </c>
      <c r="S635" s="8">
        <f t="shared" si="48"/>
        <v>423208.14</v>
      </c>
      <c r="T635" s="6">
        <f t="shared" si="49"/>
        <v>0</v>
      </c>
    </row>
    <row r="636" spans="1:20" x14ac:dyDescent="0.3">
      <c r="A636" t="s">
        <v>1715</v>
      </c>
      <c r="B636" s="13" t="s">
        <v>1118</v>
      </c>
      <c r="C636" s="16">
        <f t="shared" si="45"/>
        <v>45658</v>
      </c>
      <c r="D636" t="s">
        <v>961</v>
      </c>
      <c r="E636" t="s">
        <v>990</v>
      </c>
      <c r="F636" t="s">
        <v>980</v>
      </c>
      <c r="G636" t="s">
        <v>998</v>
      </c>
      <c r="H636" t="s">
        <v>1034</v>
      </c>
      <c r="I636">
        <v>1089</v>
      </c>
      <c r="J636" s="3">
        <v>501.24</v>
      </c>
      <c r="K636" s="3">
        <v>545850.36</v>
      </c>
      <c r="L636">
        <v>701</v>
      </c>
      <c r="M636" t="s">
        <v>258</v>
      </c>
      <c r="N636" s="16">
        <f t="shared" si="46"/>
        <v>45658</v>
      </c>
      <c r="O636" t="s">
        <v>903</v>
      </c>
      <c r="P636" t="str">
        <f t="shared" si="47"/>
        <v>January 2025</v>
      </c>
      <c r="Q636" t="s">
        <v>959</v>
      </c>
      <c r="R636" s="8">
        <v>33784.379999999997</v>
      </c>
      <c r="S636" s="8">
        <f t="shared" si="48"/>
        <v>579634.74</v>
      </c>
      <c r="T636" s="6">
        <f t="shared" si="49"/>
        <v>4</v>
      </c>
    </row>
    <row r="637" spans="1:20" x14ac:dyDescent="0.3">
      <c r="A637" t="s">
        <v>1716</v>
      </c>
      <c r="B637" s="13" t="s">
        <v>798</v>
      </c>
      <c r="C637" s="16">
        <f t="shared" si="45"/>
        <v>45931</v>
      </c>
      <c r="D637" t="s">
        <v>1021</v>
      </c>
      <c r="E637" t="s">
        <v>990</v>
      </c>
      <c r="F637" t="s">
        <v>963</v>
      </c>
      <c r="G637" t="s">
        <v>1036</v>
      </c>
      <c r="H637" t="s">
        <v>1000</v>
      </c>
      <c r="I637">
        <v>71</v>
      </c>
      <c r="J637" s="3">
        <v>252.36</v>
      </c>
      <c r="K637" s="3">
        <v>17917.560000000001</v>
      </c>
      <c r="L637">
        <v>380</v>
      </c>
      <c r="M637" t="s">
        <v>122</v>
      </c>
      <c r="N637" s="16">
        <f t="shared" si="46"/>
        <v>45931</v>
      </c>
      <c r="O637" t="s">
        <v>122</v>
      </c>
      <c r="P637" t="str">
        <f t="shared" si="47"/>
        <v>October 2025</v>
      </c>
      <c r="Q637" t="s">
        <v>966</v>
      </c>
      <c r="R637" s="8">
        <v>19612.61</v>
      </c>
      <c r="S637" s="8">
        <f t="shared" si="48"/>
        <v>37530.17</v>
      </c>
      <c r="T637" s="6">
        <f t="shared" si="49"/>
        <v>0</v>
      </c>
    </row>
    <row r="638" spans="1:20" x14ac:dyDescent="0.3">
      <c r="A638" t="s">
        <v>1717</v>
      </c>
      <c r="B638" s="13" t="s">
        <v>586</v>
      </c>
      <c r="C638" s="16">
        <f t="shared" si="45"/>
        <v>45748</v>
      </c>
      <c r="D638" t="s">
        <v>975</v>
      </c>
      <c r="E638" t="s">
        <v>962</v>
      </c>
      <c r="F638" t="s">
        <v>956</v>
      </c>
      <c r="G638" t="s">
        <v>1098</v>
      </c>
      <c r="H638" t="s">
        <v>992</v>
      </c>
      <c r="I638">
        <v>238</v>
      </c>
      <c r="J638" s="3">
        <v>538.71</v>
      </c>
      <c r="K638" s="3">
        <v>128212.98</v>
      </c>
      <c r="L638">
        <v>560</v>
      </c>
      <c r="M638" t="s">
        <v>552</v>
      </c>
      <c r="N638" s="16">
        <f t="shared" si="46"/>
        <v>45748</v>
      </c>
      <c r="O638" t="s">
        <v>1147</v>
      </c>
      <c r="P638" t="str">
        <f t="shared" si="47"/>
        <v>April 2025</v>
      </c>
      <c r="Q638" t="s">
        <v>959</v>
      </c>
      <c r="R638" s="8">
        <v>22215.56</v>
      </c>
      <c r="S638" s="8">
        <f t="shared" si="48"/>
        <v>150428.54</v>
      </c>
      <c r="T638" s="6">
        <f t="shared" si="49"/>
        <v>4</v>
      </c>
    </row>
    <row r="639" spans="1:20" x14ac:dyDescent="0.3">
      <c r="A639" t="s">
        <v>1718</v>
      </c>
      <c r="B639" s="13" t="s">
        <v>852</v>
      </c>
      <c r="C639" s="16">
        <f t="shared" si="45"/>
        <v>45839</v>
      </c>
      <c r="D639" t="s">
        <v>1021</v>
      </c>
      <c r="E639" t="s">
        <v>49</v>
      </c>
      <c r="F639" t="s">
        <v>963</v>
      </c>
      <c r="G639" t="s">
        <v>1068</v>
      </c>
      <c r="H639" t="s">
        <v>982</v>
      </c>
      <c r="I639">
        <v>1184</v>
      </c>
      <c r="J639" s="3">
        <v>132.25</v>
      </c>
      <c r="K639" s="3">
        <v>156584</v>
      </c>
      <c r="L639">
        <v>116</v>
      </c>
      <c r="M639" t="s">
        <v>430</v>
      </c>
      <c r="N639" s="16">
        <f t="shared" si="46"/>
        <v>45839</v>
      </c>
      <c r="O639" t="s">
        <v>430</v>
      </c>
      <c r="P639" t="str">
        <f t="shared" si="47"/>
        <v>July 2025</v>
      </c>
      <c r="Q639" t="s">
        <v>966</v>
      </c>
      <c r="R639" s="8">
        <v>7161.38</v>
      </c>
      <c r="S639" s="8">
        <f t="shared" si="48"/>
        <v>163745.38</v>
      </c>
      <c r="T639" s="6">
        <f t="shared" si="49"/>
        <v>0</v>
      </c>
    </row>
    <row r="640" spans="1:20" x14ac:dyDescent="0.3">
      <c r="A640" t="s">
        <v>1719</v>
      </c>
      <c r="B640" s="13" t="s">
        <v>35</v>
      </c>
      <c r="C640" s="16">
        <f t="shared" si="45"/>
        <v>45809</v>
      </c>
      <c r="D640" t="s">
        <v>1011</v>
      </c>
      <c r="E640" t="s">
        <v>33</v>
      </c>
      <c r="F640" t="s">
        <v>963</v>
      </c>
      <c r="G640" t="s">
        <v>1087</v>
      </c>
      <c r="H640" t="s">
        <v>1018</v>
      </c>
      <c r="I640">
        <v>159</v>
      </c>
      <c r="J640" s="3">
        <v>779.42</v>
      </c>
      <c r="K640" s="3">
        <v>123927.78</v>
      </c>
      <c r="L640">
        <v>328</v>
      </c>
      <c r="M640" t="s">
        <v>100</v>
      </c>
      <c r="N640" s="16">
        <f t="shared" si="46"/>
        <v>45809</v>
      </c>
      <c r="O640" t="s">
        <v>100</v>
      </c>
      <c r="P640" t="str">
        <f t="shared" si="47"/>
        <v>June 2025</v>
      </c>
      <c r="Q640" t="s">
        <v>966</v>
      </c>
      <c r="R640" s="8">
        <v>19729.849999999999</v>
      </c>
      <c r="S640" s="8">
        <f t="shared" si="48"/>
        <v>143657.63</v>
      </c>
      <c r="T640" s="6">
        <f t="shared" si="49"/>
        <v>0</v>
      </c>
    </row>
    <row r="641" spans="1:20" x14ac:dyDescent="0.3">
      <c r="A641" t="s">
        <v>1720</v>
      </c>
      <c r="B641" s="13" t="s">
        <v>239</v>
      </c>
      <c r="C641" s="16">
        <f t="shared" si="45"/>
        <v>45931</v>
      </c>
      <c r="D641" t="s">
        <v>1003</v>
      </c>
      <c r="E641" t="s">
        <v>43</v>
      </c>
      <c r="F641" t="s">
        <v>963</v>
      </c>
      <c r="G641" t="s">
        <v>1132</v>
      </c>
      <c r="H641" t="s">
        <v>973</v>
      </c>
      <c r="I641">
        <v>537</v>
      </c>
      <c r="J641" s="3">
        <v>198.63</v>
      </c>
      <c r="K641" s="3">
        <v>106664.31</v>
      </c>
      <c r="L641">
        <v>334</v>
      </c>
      <c r="M641" t="s">
        <v>1027</v>
      </c>
      <c r="N641" s="16">
        <f t="shared" si="46"/>
        <v>45931</v>
      </c>
      <c r="O641" t="s">
        <v>176</v>
      </c>
      <c r="P641" t="str">
        <f t="shared" si="47"/>
        <v>October 2025</v>
      </c>
      <c r="Q641" t="s">
        <v>959</v>
      </c>
      <c r="R641" s="8">
        <v>11925.61</v>
      </c>
      <c r="S641" s="8">
        <f t="shared" si="48"/>
        <v>118589.92</v>
      </c>
      <c r="T641" s="6">
        <f t="shared" si="49"/>
        <v>2</v>
      </c>
    </row>
    <row r="642" spans="1:20" x14ac:dyDescent="0.3">
      <c r="A642" t="s">
        <v>1721</v>
      </c>
      <c r="B642" s="13" t="s">
        <v>400</v>
      </c>
      <c r="C642" s="16">
        <f t="shared" si="45"/>
        <v>45931</v>
      </c>
      <c r="D642" t="s">
        <v>1011</v>
      </c>
      <c r="E642" t="s">
        <v>962</v>
      </c>
      <c r="F642" t="s">
        <v>971</v>
      </c>
      <c r="G642" t="s">
        <v>985</v>
      </c>
      <c r="H642" t="s">
        <v>1023</v>
      </c>
      <c r="I642">
        <v>687</v>
      </c>
      <c r="J642" s="3">
        <v>763.11</v>
      </c>
      <c r="K642" s="3">
        <v>524256.57</v>
      </c>
      <c r="L642">
        <v>150</v>
      </c>
      <c r="M642" t="s">
        <v>275</v>
      </c>
      <c r="N642" s="16">
        <f t="shared" si="46"/>
        <v>45931</v>
      </c>
      <c r="O642" t="s">
        <v>275</v>
      </c>
      <c r="P642" t="str">
        <f t="shared" si="47"/>
        <v>October 2025</v>
      </c>
      <c r="Q642" t="s">
        <v>966</v>
      </c>
      <c r="R642" s="8">
        <v>6303.7</v>
      </c>
      <c r="S642" s="8">
        <f t="shared" si="48"/>
        <v>530560.27</v>
      </c>
      <c r="T642" s="6">
        <f t="shared" si="49"/>
        <v>0</v>
      </c>
    </row>
    <row r="643" spans="1:20" x14ac:dyDescent="0.3">
      <c r="A643" t="s">
        <v>1722</v>
      </c>
      <c r="B643" s="13" t="s">
        <v>392</v>
      </c>
      <c r="C643" s="16">
        <f t="shared" ref="C643:C706" si="50">DATE(YEAR(B643), MONTH(B643), 1)</f>
        <v>45962</v>
      </c>
      <c r="D643" t="s">
        <v>968</v>
      </c>
      <c r="E643" t="s">
        <v>49</v>
      </c>
      <c r="F643" t="s">
        <v>956</v>
      </c>
      <c r="G643" t="s">
        <v>1038</v>
      </c>
      <c r="H643" t="s">
        <v>965</v>
      </c>
      <c r="I643">
        <v>2370</v>
      </c>
      <c r="J643" s="3">
        <v>667.23</v>
      </c>
      <c r="K643" s="3">
        <v>1581335.1</v>
      </c>
      <c r="L643">
        <v>670</v>
      </c>
      <c r="M643" t="s">
        <v>1723</v>
      </c>
      <c r="N643" s="16">
        <f t="shared" ref="N643:N706" si="51">DATE(YEAR(M643), MONTH(M643),1)</f>
        <v>45962</v>
      </c>
      <c r="O643" t="s">
        <v>318</v>
      </c>
      <c r="P643" t="str">
        <f t="shared" ref="P643:P706" si="52">TEXT(O643, "mmmm yyyy")</f>
        <v>December 2025</v>
      </c>
      <c r="Q643" t="s">
        <v>959</v>
      </c>
      <c r="R643" s="8">
        <v>29480.53</v>
      </c>
      <c r="S643" s="8">
        <f t="shared" ref="S643:S706" si="53">K643 +R643</f>
        <v>1610815.6300000001</v>
      </c>
      <c r="T643" s="6">
        <f t="shared" si="49"/>
        <v>1</v>
      </c>
    </row>
    <row r="644" spans="1:20" x14ac:dyDescent="0.3">
      <c r="A644" t="s">
        <v>1724</v>
      </c>
      <c r="B644" s="13" t="s">
        <v>579</v>
      </c>
      <c r="C644" s="16">
        <f t="shared" si="50"/>
        <v>45717</v>
      </c>
      <c r="D644" t="s">
        <v>984</v>
      </c>
      <c r="E644" t="s">
        <v>49</v>
      </c>
      <c r="F644" t="s">
        <v>956</v>
      </c>
      <c r="G644" t="s">
        <v>988</v>
      </c>
      <c r="H644" t="s">
        <v>965</v>
      </c>
      <c r="I644">
        <v>1023</v>
      </c>
      <c r="J644" s="3">
        <v>665.22</v>
      </c>
      <c r="K644" s="3">
        <v>680520.06</v>
      </c>
      <c r="L644">
        <v>276</v>
      </c>
      <c r="M644" t="s">
        <v>225</v>
      </c>
      <c r="N644" s="16">
        <f t="shared" si="51"/>
        <v>45717</v>
      </c>
      <c r="O644" t="s">
        <v>261</v>
      </c>
      <c r="P644" t="str">
        <f t="shared" si="52"/>
        <v>March 2025</v>
      </c>
      <c r="Q644" t="s">
        <v>959</v>
      </c>
      <c r="R644" s="8">
        <v>11115.93</v>
      </c>
      <c r="S644" s="8">
        <f t="shared" si="53"/>
        <v>691635.99000000011</v>
      </c>
      <c r="T644" s="6">
        <f t="shared" ref="T644:T707" si="54">O644 -M644</f>
        <v>2</v>
      </c>
    </row>
    <row r="645" spans="1:20" x14ac:dyDescent="0.3">
      <c r="A645" t="s">
        <v>1725</v>
      </c>
      <c r="B645" s="13" t="s">
        <v>361</v>
      </c>
      <c r="C645" s="16">
        <f t="shared" si="50"/>
        <v>45992</v>
      </c>
      <c r="D645" t="s">
        <v>1021</v>
      </c>
      <c r="E645" t="s">
        <v>987</v>
      </c>
      <c r="F645" t="s">
        <v>980</v>
      </c>
      <c r="G645" t="s">
        <v>1057</v>
      </c>
      <c r="H645" t="s">
        <v>973</v>
      </c>
      <c r="I645">
        <v>2364</v>
      </c>
      <c r="J645" s="3">
        <v>349.53</v>
      </c>
      <c r="K645" s="3">
        <v>826288.92</v>
      </c>
      <c r="L645">
        <v>306</v>
      </c>
      <c r="M645" t="s">
        <v>195</v>
      </c>
      <c r="N645" s="16">
        <f t="shared" si="51"/>
        <v>45992</v>
      </c>
      <c r="O645" t="s">
        <v>1016</v>
      </c>
      <c r="P645" t="str">
        <f t="shared" si="52"/>
        <v>December 2025</v>
      </c>
      <c r="Q645" t="s">
        <v>959</v>
      </c>
      <c r="R645" s="8">
        <v>14346.27</v>
      </c>
      <c r="S645" s="8">
        <f t="shared" si="53"/>
        <v>840635.19000000006</v>
      </c>
      <c r="T645" s="6">
        <f t="shared" si="54"/>
        <v>1</v>
      </c>
    </row>
    <row r="646" spans="1:20" x14ac:dyDescent="0.3">
      <c r="A646" t="s">
        <v>1726</v>
      </c>
      <c r="B646" s="13" t="s">
        <v>88</v>
      </c>
      <c r="C646" s="16">
        <f t="shared" si="50"/>
        <v>45992</v>
      </c>
      <c r="D646" t="s">
        <v>955</v>
      </c>
      <c r="E646" t="s">
        <v>962</v>
      </c>
      <c r="F646" t="s">
        <v>956</v>
      </c>
      <c r="G646" t="s">
        <v>1221</v>
      </c>
      <c r="H646" t="s">
        <v>1034</v>
      </c>
      <c r="I646">
        <v>1642</v>
      </c>
      <c r="J646" s="3">
        <v>816.92</v>
      </c>
      <c r="K646" s="3">
        <v>1341382.6399999999</v>
      </c>
      <c r="L646">
        <v>26</v>
      </c>
      <c r="M646" t="s">
        <v>1010</v>
      </c>
      <c r="N646" s="16">
        <f t="shared" si="51"/>
        <v>45992</v>
      </c>
      <c r="O646" t="s">
        <v>1010</v>
      </c>
      <c r="P646" t="str">
        <f t="shared" si="52"/>
        <v>December 2025</v>
      </c>
      <c r="Q646" t="s">
        <v>966</v>
      </c>
      <c r="R646" s="8">
        <v>1204.42</v>
      </c>
      <c r="S646" s="8">
        <f t="shared" si="53"/>
        <v>1342587.0599999998</v>
      </c>
      <c r="T646" s="6">
        <f t="shared" si="54"/>
        <v>0</v>
      </c>
    </row>
    <row r="647" spans="1:20" x14ac:dyDescent="0.3">
      <c r="A647" t="s">
        <v>1727</v>
      </c>
      <c r="B647" s="13" t="s">
        <v>287</v>
      </c>
      <c r="C647" s="16">
        <f t="shared" si="50"/>
        <v>45748</v>
      </c>
      <c r="D647" t="s">
        <v>961</v>
      </c>
      <c r="E647" t="s">
        <v>43</v>
      </c>
      <c r="F647" t="s">
        <v>971</v>
      </c>
      <c r="G647" t="s">
        <v>991</v>
      </c>
      <c r="H647" t="s">
        <v>965</v>
      </c>
      <c r="I647">
        <v>1407</v>
      </c>
      <c r="J647" s="3">
        <v>82.78</v>
      </c>
      <c r="K647" s="3">
        <v>116471.46</v>
      </c>
      <c r="L647">
        <v>323</v>
      </c>
      <c r="M647" t="s">
        <v>426</v>
      </c>
      <c r="N647" s="16">
        <f t="shared" si="51"/>
        <v>45748</v>
      </c>
      <c r="O647" t="s">
        <v>426</v>
      </c>
      <c r="P647" t="str">
        <f t="shared" si="52"/>
        <v>April 2025</v>
      </c>
      <c r="Q647" t="s">
        <v>966</v>
      </c>
      <c r="R647" s="8">
        <v>13566.29</v>
      </c>
      <c r="S647" s="8">
        <f t="shared" si="53"/>
        <v>130037.75</v>
      </c>
      <c r="T647" s="6">
        <f t="shared" si="54"/>
        <v>0</v>
      </c>
    </row>
    <row r="648" spans="1:20" x14ac:dyDescent="0.3">
      <c r="A648" t="s">
        <v>1728</v>
      </c>
      <c r="B648" s="13" t="s">
        <v>383</v>
      </c>
      <c r="C648" s="16">
        <f t="shared" si="50"/>
        <v>45778</v>
      </c>
      <c r="D648" t="s">
        <v>975</v>
      </c>
      <c r="E648" t="s">
        <v>987</v>
      </c>
      <c r="F648" t="s">
        <v>971</v>
      </c>
      <c r="G648" t="s">
        <v>976</v>
      </c>
      <c r="H648" t="s">
        <v>958</v>
      </c>
      <c r="I648">
        <v>744</v>
      </c>
      <c r="J648" s="3">
        <v>334</v>
      </c>
      <c r="K648" s="3">
        <v>248496</v>
      </c>
      <c r="L648">
        <v>547</v>
      </c>
      <c r="M648" t="s">
        <v>1069</v>
      </c>
      <c r="N648" s="16">
        <f t="shared" si="51"/>
        <v>45778</v>
      </c>
      <c r="O648" t="s">
        <v>1069</v>
      </c>
      <c r="P648" t="str">
        <f t="shared" si="52"/>
        <v>May 2025</v>
      </c>
      <c r="Q648" t="s">
        <v>966</v>
      </c>
      <c r="R648" s="8">
        <v>22193.68</v>
      </c>
      <c r="S648" s="8">
        <f t="shared" si="53"/>
        <v>270689.68</v>
      </c>
      <c r="T648" s="6">
        <f t="shared" si="54"/>
        <v>0</v>
      </c>
    </row>
    <row r="649" spans="1:20" x14ac:dyDescent="0.3">
      <c r="A649" t="s">
        <v>1729</v>
      </c>
      <c r="B649" s="13" t="s">
        <v>1226</v>
      </c>
      <c r="C649" s="16">
        <f t="shared" si="50"/>
        <v>45689</v>
      </c>
      <c r="D649" t="s">
        <v>975</v>
      </c>
      <c r="E649" t="s">
        <v>43</v>
      </c>
      <c r="F649" t="s">
        <v>980</v>
      </c>
      <c r="G649" t="s">
        <v>1036</v>
      </c>
      <c r="H649" t="s">
        <v>982</v>
      </c>
      <c r="I649">
        <v>2075</v>
      </c>
      <c r="J649" s="3">
        <v>124.28</v>
      </c>
      <c r="K649" s="3">
        <v>257881</v>
      </c>
      <c r="L649">
        <v>437</v>
      </c>
      <c r="M649" t="s">
        <v>473</v>
      </c>
      <c r="N649" s="16">
        <f t="shared" si="51"/>
        <v>45689</v>
      </c>
      <c r="O649" t="s">
        <v>837</v>
      </c>
      <c r="P649" t="str">
        <f t="shared" si="52"/>
        <v>February 2025</v>
      </c>
      <c r="Q649" t="s">
        <v>959</v>
      </c>
      <c r="R649" s="8">
        <v>25744.79</v>
      </c>
      <c r="S649" s="8">
        <f t="shared" si="53"/>
        <v>283625.78999999998</v>
      </c>
      <c r="T649" s="6">
        <f t="shared" si="54"/>
        <v>1</v>
      </c>
    </row>
    <row r="650" spans="1:20" x14ac:dyDescent="0.3">
      <c r="A650" t="s">
        <v>1730</v>
      </c>
      <c r="B650" s="13" t="s">
        <v>103</v>
      </c>
      <c r="C650" s="16">
        <f t="shared" si="50"/>
        <v>45717</v>
      </c>
      <c r="D650" t="s">
        <v>961</v>
      </c>
      <c r="E650" t="s">
        <v>49</v>
      </c>
      <c r="F650" t="s">
        <v>971</v>
      </c>
      <c r="G650" t="s">
        <v>994</v>
      </c>
      <c r="H650" t="s">
        <v>1023</v>
      </c>
      <c r="I650">
        <v>1579</v>
      </c>
      <c r="J650" s="3">
        <v>877.46</v>
      </c>
      <c r="K650" s="3">
        <v>1385509.34</v>
      </c>
      <c r="L650">
        <v>192</v>
      </c>
      <c r="M650" t="s">
        <v>694</v>
      </c>
      <c r="N650" s="16">
        <f t="shared" si="51"/>
        <v>45717</v>
      </c>
      <c r="O650" t="s">
        <v>694</v>
      </c>
      <c r="P650" t="str">
        <f t="shared" si="52"/>
        <v>March 2025</v>
      </c>
      <c r="Q650" t="s">
        <v>966</v>
      </c>
      <c r="R650" s="8">
        <v>8507.31</v>
      </c>
      <c r="S650" s="8">
        <f t="shared" si="53"/>
        <v>1394016.6500000001</v>
      </c>
      <c r="T650" s="6">
        <f t="shared" si="54"/>
        <v>0</v>
      </c>
    </row>
    <row r="651" spans="1:20" x14ac:dyDescent="0.3">
      <c r="A651" t="s">
        <v>1731</v>
      </c>
      <c r="B651" s="13" t="s">
        <v>873</v>
      </c>
      <c r="C651" s="16">
        <f t="shared" si="50"/>
        <v>45901</v>
      </c>
      <c r="D651" t="s">
        <v>955</v>
      </c>
      <c r="E651" t="s">
        <v>33</v>
      </c>
      <c r="F651" t="s">
        <v>956</v>
      </c>
      <c r="G651" t="s">
        <v>1040</v>
      </c>
      <c r="H651" t="s">
        <v>1018</v>
      </c>
      <c r="I651">
        <v>1009</v>
      </c>
      <c r="J651" s="3">
        <v>517.80999999999995</v>
      </c>
      <c r="K651" s="3">
        <v>522470.29</v>
      </c>
      <c r="L651">
        <v>153</v>
      </c>
      <c r="M651" t="s">
        <v>156</v>
      </c>
      <c r="N651" s="16">
        <f t="shared" si="51"/>
        <v>45901</v>
      </c>
      <c r="O651" t="s">
        <v>156</v>
      </c>
      <c r="P651" t="str">
        <f t="shared" si="52"/>
        <v>September 2025</v>
      </c>
      <c r="Q651" t="s">
        <v>966</v>
      </c>
      <c r="R651" s="8">
        <v>8131.13</v>
      </c>
      <c r="S651" s="8">
        <f t="shared" si="53"/>
        <v>530601.41999999993</v>
      </c>
      <c r="T651" s="6">
        <f t="shared" si="54"/>
        <v>0</v>
      </c>
    </row>
    <row r="652" spans="1:20" x14ac:dyDescent="0.3">
      <c r="A652" t="s">
        <v>1732</v>
      </c>
      <c r="B652" s="13" t="s">
        <v>239</v>
      </c>
      <c r="C652" s="16">
        <f t="shared" si="50"/>
        <v>45931</v>
      </c>
      <c r="D652" t="s">
        <v>1011</v>
      </c>
      <c r="E652" t="s">
        <v>49</v>
      </c>
      <c r="F652" t="s">
        <v>980</v>
      </c>
      <c r="G652" t="s">
        <v>1068</v>
      </c>
      <c r="H652" t="s">
        <v>992</v>
      </c>
      <c r="I652">
        <v>1736</v>
      </c>
      <c r="J652" s="3">
        <v>879.58</v>
      </c>
      <c r="K652" s="3">
        <v>1526950.88</v>
      </c>
      <c r="L652">
        <v>649</v>
      </c>
      <c r="M652" t="s">
        <v>482</v>
      </c>
      <c r="N652" s="16">
        <f t="shared" si="51"/>
        <v>45931</v>
      </c>
      <c r="O652" t="s">
        <v>215</v>
      </c>
      <c r="P652" t="str">
        <f t="shared" si="52"/>
        <v>October 2025</v>
      </c>
      <c r="Q652" t="s">
        <v>959</v>
      </c>
      <c r="R652" s="8">
        <v>0</v>
      </c>
      <c r="S652" s="8">
        <f t="shared" si="53"/>
        <v>1526950.88</v>
      </c>
      <c r="T652" s="6">
        <f t="shared" si="54"/>
        <v>4</v>
      </c>
    </row>
    <row r="653" spans="1:20" x14ac:dyDescent="0.3">
      <c r="A653" t="s">
        <v>1733</v>
      </c>
      <c r="B653" s="13" t="s">
        <v>309</v>
      </c>
      <c r="C653" s="16">
        <f t="shared" si="50"/>
        <v>45717</v>
      </c>
      <c r="D653" t="s">
        <v>1021</v>
      </c>
      <c r="E653" t="s">
        <v>43</v>
      </c>
      <c r="F653" t="s">
        <v>971</v>
      </c>
      <c r="G653" t="s">
        <v>981</v>
      </c>
      <c r="H653" t="s">
        <v>1023</v>
      </c>
      <c r="I653">
        <v>1501</v>
      </c>
      <c r="J653" s="3">
        <v>506.4</v>
      </c>
      <c r="K653" s="3">
        <v>760106.4</v>
      </c>
      <c r="L653">
        <v>151</v>
      </c>
      <c r="M653" t="s">
        <v>579</v>
      </c>
      <c r="N653" s="16">
        <f t="shared" si="51"/>
        <v>45717</v>
      </c>
      <c r="O653" t="s">
        <v>1105</v>
      </c>
      <c r="P653" t="str">
        <f t="shared" si="52"/>
        <v>March 2025</v>
      </c>
      <c r="Q653" t="s">
        <v>959</v>
      </c>
      <c r="R653" s="8">
        <v>7615.69</v>
      </c>
      <c r="S653" s="8">
        <f t="shared" si="53"/>
        <v>767722.09</v>
      </c>
      <c r="T653" s="6">
        <f t="shared" si="54"/>
        <v>2</v>
      </c>
    </row>
    <row r="654" spans="1:20" x14ac:dyDescent="0.3">
      <c r="A654" t="s">
        <v>1734</v>
      </c>
      <c r="B654" s="13" t="s">
        <v>622</v>
      </c>
      <c r="C654" s="16">
        <f t="shared" si="50"/>
        <v>45931</v>
      </c>
      <c r="D654" t="s">
        <v>984</v>
      </c>
      <c r="E654" t="s">
        <v>962</v>
      </c>
      <c r="F654" t="s">
        <v>963</v>
      </c>
      <c r="G654" t="s">
        <v>1072</v>
      </c>
      <c r="H654" t="s">
        <v>982</v>
      </c>
      <c r="I654">
        <v>1372</v>
      </c>
      <c r="J654" s="3">
        <v>380.09</v>
      </c>
      <c r="K654" s="3">
        <v>521483.48</v>
      </c>
      <c r="L654">
        <v>607</v>
      </c>
      <c r="M654" t="s">
        <v>1191</v>
      </c>
      <c r="N654" s="16">
        <f t="shared" si="51"/>
        <v>45931</v>
      </c>
      <c r="O654" t="s">
        <v>122</v>
      </c>
      <c r="P654" t="str">
        <f t="shared" si="52"/>
        <v>October 2025</v>
      </c>
      <c r="Q654" t="s">
        <v>959</v>
      </c>
      <c r="R654" s="8">
        <v>21801.23</v>
      </c>
      <c r="S654" s="8">
        <f t="shared" si="53"/>
        <v>543284.71</v>
      </c>
      <c r="T654" s="6">
        <f t="shared" si="54"/>
        <v>1</v>
      </c>
    </row>
    <row r="655" spans="1:20" x14ac:dyDescent="0.3">
      <c r="A655" t="s">
        <v>1735</v>
      </c>
      <c r="B655" s="13" t="s">
        <v>887</v>
      </c>
      <c r="C655" s="16">
        <f t="shared" si="50"/>
        <v>45839</v>
      </c>
      <c r="D655" t="s">
        <v>1003</v>
      </c>
      <c r="E655" t="s">
        <v>962</v>
      </c>
      <c r="F655" t="s">
        <v>956</v>
      </c>
      <c r="G655" t="s">
        <v>1040</v>
      </c>
      <c r="H655" t="s">
        <v>1034</v>
      </c>
      <c r="I655">
        <v>1028</v>
      </c>
      <c r="J655" s="3">
        <v>838.96</v>
      </c>
      <c r="K655" s="3">
        <v>862450.88</v>
      </c>
      <c r="L655">
        <v>699</v>
      </c>
      <c r="M655" t="s">
        <v>522</v>
      </c>
      <c r="N655" s="16">
        <f t="shared" si="51"/>
        <v>45839</v>
      </c>
      <c r="O655" t="s">
        <v>532</v>
      </c>
      <c r="P655" t="str">
        <f t="shared" si="52"/>
        <v>July 2025</v>
      </c>
      <c r="Q655" t="s">
        <v>959</v>
      </c>
      <c r="R655" s="8">
        <v>39595.01</v>
      </c>
      <c r="S655" s="8">
        <f t="shared" si="53"/>
        <v>902045.89</v>
      </c>
      <c r="T655" s="6">
        <f t="shared" si="54"/>
        <v>1</v>
      </c>
    </row>
    <row r="656" spans="1:20" x14ac:dyDescent="0.3">
      <c r="A656" t="s">
        <v>1736</v>
      </c>
      <c r="B656" s="13" t="s">
        <v>178</v>
      </c>
      <c r="C656" s="16">
        <f t="shared" si="50"/>
        <v>45717</v>
      </c>
      <c r="D656" t="s">
        <v>968</v>
      </c>
      <c r="E656" t="s">
        <v>49</v>
      </c>
      <c r="F656" t="s">
        <v>980</v>
      </c>
      <c r="G656" t="s">
        <v>1098</v>
      </c>
      <c r="H656" t="s">
        <v>982</v>
      </c>
      <c r="I656">
        <v>1688</v>
      </c>
      <c r="J656" s="3">
        <v>771.8</v>
      </c>
      <c r="K656" s="3">
        <v>1302798.3999999999</v>
      </c>
      <c r="L656">
        <v>47</v>
      </c>
      <c r="M656" t="s">
        <v>839</v>
      </c>
      <c r="N656" s="16">
        <f t="shared" si="51"/>
        <v>45717</v>
      </c>
      <c r="O656" t="s">
        <v>1092</v>
      </c>
      <c r="P656" t="str">
        <f t="shared" si="52"/>
        <v>March 2025</v>
      </c>
      <c r="Q656" t="s">
        <v>959</v>
      </c>
      <c r="R656" s="8">
        <v>2303.8000000000002</v>
      </c>
      <c r="S656" s="8">
        <f t="shared" si="53"/>
        <v>1305102.2</v>
      </c>
      <c r="T656" s="6">
        <f t="shared" si="54"/>
        <v>4</v>
      </c>
    </row>
    <row r="657" spans="1:20" x14ac:dyDescent="0.3">
      <c r="A657" t="s">
        <v>1737</v>
      </c>
      <c r="B657" s="13" t="s">
        <v>759</v>
      </c>
      <c r="C657" s="16">
        <f t="shared" si="50"/>
        <v>45901</v>
      </c>
      <c r="D657" t="s">
        <v>975</v>
      </c>
      <c r="E657" t="s">
        <v>990</v>
      </c>
      <c r="F657" t="s">
        <v>956</v>
      </c>
      <c r="G657" t="s">
        <v>957</v>
      </c>
      <c r="H657" t="s">
        <v>992</v>
      </c>
      <c r="I657">
        <v>1581</v>
      </c>
      <c r="J657" s="3">
        <v>226.96</v>
      </c>
      <c r="K657" s="3">
        <v>358823.76</v>
      </c>
      <c r="L657">
        <v>337</v>
      </c>
      <c r="M657" t="s">
        <v>566</v>
      </c>
      <c r="N657" s="16">
        <f t="shared" si="51"/>
        <v>45901</v>
      </c>
      <c r="O657" t="s">
        <v>759</v>
      </c>
      <c r="P657" t="str">
        <f t="shared" si="52"/>
        <v>September 2025</v>
      </c>
      <c r="Q657" t="s">
        <v>966</v>
      </c>
      <c r="R657" s="8">
        <v>20720.240000000002</v>
      </c>
      <c r="S657" s="8">
        <f t="shared" si="53"/>
        <v>379544</v>
      </c>
      <c r="T657" s="6">
        <f t="shared" si="54"/>
        <v>-1</v>
      </c>
    </row>
    <row r="658" spans="1:20" x14ac:dyDescent="0.3">
      <c r="A658" t="s">
        <v>1738</v>
      </c>
      <c r="B658" s="13" t="s">
        <v>778</v>
      </c>
      <c r="C658" s="16">
        <f t="shared" si="50"/>
        <v>45962</v>
      </c>
      <c r="D658" t="s">
        <v>955</v>
      </c>
      <c r="E658" t="s">
        <v>43</v>
      </c>
      <c r="F658" t="s">
        <v>980</v>
      </c>
      <c r="G658" t="s">
        <v>994</v>
      </c>
      <c r="H658" t="s">
        <v>977</v>
      </c>
      <c r="I658">
        <v>685</v>
      </c>
      <c r="J658" s="3">
        <v>552.11</v>
      </c>
      <c r="K658" s="3">
        <v>378195.35</v>
      </c>
      <c r="L658">
        <v>654</v>
      </c>
      <c r="M658" t="s">
        <v>305</v>
      </c>
      <c r="N658" s="16">
        <f t="shared" si="51"/>
        <v>45962</v>
      </c>
      <c r="O658" t="s">
        <v>305</v>
      </c>
      <c r="P658" t="str">
        <f t="shared" si="52"/>
        <v>November 2025</v>
      </c>
      <c r="Q658" t="s">
        <v>966</v>
      </c>
      <c r="R658" s="8">
        <v>28806.26</v>
      </c>
      <c r="S658" s="8">
        <f t="shared" si="53"/>
        <v>407001.61</v>
      </c>
      <c r="T658" s="6">
        <f t="shared" si="54"/>
        <v>0</v>
      </c>
    </row>
    <row r="659" spans="1:20" x14ac:dyDescent="0.3">
      <c r="A659" t="s">
        <v>1739</v>
      </c>
      <c r="B659" s="13" t="s">
        <v>217</v>
      </c>
      <c r="C659" s="16">
        <f t="shared" si="50"/>
        <v>45962</v>
      </c>
      <c r="D659" t="s">
        <v>968</v>
      </c>
      <c r="E659" t="s">
        <v>49</v>
      </c>
      <c r="F659" t="s">
        <v>956</v>
      </c>
      <c r="G659" t="s">
        <v>1040</v>
      </c>
      <c r="H659" t="s">
        <v>1034</v>
      </c>
      <c r="I659">
        <v>1612</v>
      </c>
      <c r="J659" s="3">
        <v>866.6</v>
      </c>
      <c r="K659" s="3">
        <v>1396959.2</v>
      </c>
      <c r="L659">
        <v>514</v>
      </c>
      <c r="M659" t="s">
        <v>778</v>
      </c>
      <c r="N659" s="16">
        <f t="shared" si="51"/>
        <v>45962</v>
      </c>
      <c r="O659" t="s">
        <v>305</v>
      </c>
      <c r="P659" t="str">
        <f t="shared" si="52"/>
        <v>November 2025</v>
      </c>
      <c r="Q659" t="s">
        <v>959</v>
      </c>
      <c r="R659" s="8">
        <v>26415.84</v>
      </c>
      <c r="S659" s="8">
        <f t="shared" si="53"/>
        <v>1423375.04</v>
      </c>
      <c r="T659" s="6">
        <f t="shared" si="54"/>
        <v>2</v>
      </c>
    </row>
    <row r="660" spans="1:20" x14ac:dyDescent="0.3">
      <c r="A660" t="s">
        <v>1740</v>
      </c>
      <c r="B660" s="13" t="s">
        <v>577</v>
      </c>
      <c r="C660" s="16">
        <f t="shared" si="50"/>
        <v>45717</v>
      </c>
      <c r="D660" t="s">
        <v>1021</v>
      </c>
      <c r="E660" t="s">
        <v>49</v>
      </c>
      <c r="F660" t="s">
        <v>971</v>
      </c>
      <c r="G660" t="s">
        <v>1036</v>
      </c>
      <c r="H660" t="s">
        <v>1023</v>
      </c>
      <c r="I660">
        <v>631</v>
      </c>
      <c r="J660" s="3">
        <v>98.8</v>
      </c>
      <c r="K660" s="3">
        <v>62342.8</v>
      </c>
      <c r="L660">
        <v>528</v>
      </c>
      <c r="M660" t="s">
        <v>579</v>
      </c>
      <c r="N660" s="16">
        <f t="shared" si="51"/>
        <v>45717</v>
      </c>
      <c r="O660" t="s">
        <v>579</v>
      </c>
      <c r="P660" t="str">
        <f t="shared" si="52"/>
        <v>March 2025</v>
      </c>
      <c r="Q660" t="s">
        <v>966</v>
      </c>
      <c r="R660" s="8">
        <v>30055.41</v>
      </c>
      <c r="S660" s="8">
        <f t="shared" si="53"/>
        <v>92398.21</v>
      </c>
      <c r="T660" s="6">
        <f t="shared" si="54"/>
        <v>0</v>
      </c>
    </row>
    <row r="661" spans="1:20" x14ac:dyDescent="0.3">
      <c r="A661" t="s">
        <v>1741</v>
      </c>
      <c r="B661" s="13" t="s">
        <v>899</v>
      </c>
      <c r="C661" s="16">
        <f t="shared" si="50"/>
        <v>45992</v>
      </c>
      <c r="D661" t="s">
        <v>984</v>
      </c>
      <c r="E661" t="s">
        <v>49</v>
      </c>
      <c r="F661" t="s">
        <v>980</v>
      </c>
      <c r="G661" t="s">
        <v>1221</v>
      </c>
      <c r="H661" t="s">
        <v>977</v>
      </c>
      <c r="I661">
        <v>811</v>
      </c>
      <c r="J661" s="3">
        <v>714.99</v>
      </c>
      <c r="K661" s="3">
        <v>579856.89</v>
      </c>
      <c r="L661">
        <v>253</v>
      </c>
      <c r="M661" t="s">
        <v>595</v>
      </c>
      <c r="N661" s="16">
        <f t="shared" si="51"/>
        <v>45992</v>
      </c>
      <c r="O661" t="s">
        <v>595</v>
      </c>
      <c r="P661" t="str">
        <f t="shared" si="52"/>
        <v>December 2025</v>
      </c>
      <c r="Q661" t="s">
        <v>966</v>
      </c>
      <c r="R661" s="8">
        <v>9794.6299999999992</v>
      </c>
      <c r="S661" s="8">
        <f t="shared" si="53"/>
        <v>589651.52</v>
      </c>
      <c r="T661" s="6">
        <f t="shared" si="54"/>
        <v>0</v>
      </c>
    </row>
    <row r="662" spans="1:20" x14ac:dyDescent="0.3">
      <c r="A662" t="s">
        <v>1742</v>
      </c>
      <c r="B662" s="13" t="s">
        <v>525</v>
      </c>
      <c r="C662" s="16">
        <f t="shared" si="50"/>
        <v>45931</v>
      </c>
      <c r="D662" t="s">
        <v>984</v>
      </c>
      <c r="E662" t="s">
        <v>43</v>
      </c>
      <c r="F662" t="s">
        <v>980</v>
      </c>
      <c r="G662" t="s">
        <v>1042</v>
      </c>
      <c r="H662" t="s">
        <v>1000</v>
      </c>
      <c r="I662">
        <v>1761</v>
      </c>
      <c r="J662" s="3">
        <v>184.23</v>
      </c>
      <c r="K662" s="3">
        <v>324429.03000000003</v>
      </c>
      <c r="L662">
        <v>30</v>
      </c>
      <c r="M662" t="s">
        <v>428</v>
      </c>
      <c r="N662" s="16">
        <f t="shared" si="51"/>
        <v>45931</v>
      </c>
      <c r="O662" t="s">
        <v>428</v>
      </c>
      <c r="P662" t="str">
        <f t="shared" si="52"/>
        <v>October 2025</v>
      </c>
      <c r="Q662" t="s">
        <v>966</v>
      </c>
      <c r="R662" s="8">
        <v>1219.1400000000001</v>
      </c>
      <c r="S662" s="8">
        <f t="shared" si="53"/>
        <v>325648.17000000004</v>
      </c>
      <c r="T662" s="6">
        <f t="shared" si="54"/>
        <v>0</v>
      </c>
    </row>
    <row r="663" spans="1:20" x14ac:dyDescent="0.3">
      <c r="A663" t="s">
        <v>1743</v>
      </c>
      <c r="B663" s="13" t="s">
        <v>496</v>
      </c>
      <c r="C663" s="16">
        <f t="shared" si="50"/>
        <v>45870</v>
      </c>
      <c r="D663" t="s">
        <v>968</v>
      </c>
      <c r="E663" t="s">
        <v>987</v>
      </c>
      <c r="F663" t="s">
        <v>971</v>
      </c>
      <c r="G663" t="s">
        <v>991</v>
      </c>
      <c r="H663" t="s">
        <v>982</v>
      </c>
      <c r="I663">
        <v>2314</v>
      </c>
      <c r="J663" s="3">
        <v>564.72</v>
      </c>
      <c r="K663" s="3">
        <v>1306762.08</v>
      </c>
      <c r="L663">
        <v>660</v>
      </c>
      <c r="M663" t="s">
        <v>1059</v>
      </c>
      <c r="N663" s="16">
        <f t="shared" si="51"/>
        <v>45870</v>
      </c>
      <c r="O663" t="s">
        <v>203</v>
      </c>
      <c r="P663" t="str">
        <f t="shared" si="52"/>
        <v>August 2025</v>
      </c>
      <c r="Q663" t="s">
        <v>959</v>
      </c>
      <c r="R663" s="8">
        <v>32367.279999999999</v>
      </c>
      <c r="S663" s="8">
        <f t="shared" si="53"/>
        <v>1339129.3600000001</v>
      </c>
      <c r="T663" s="6">
        <f t="shared" si="54"/>
        <v>4</v>
      </c>
    </row>
    <row r="664" spans="1:20" x14ac:dyDescent="0.3">
      <c r="A664" t="s">
        <v>1744</v>
      </c>
      <c r="B664" s="13" t="s">
        <v>277</v>
      </c>
      <c r="C664" s="16">
        <f t="shared" si="50"/>
        <v>45839</v>
      </c>
      <c r="D664" t="s">
        <v>1003</v>
      </c>
      <c r="E664" t="s">
        <v>49</v>
      </c>
      <c r="F664" t="s">
        <v>956</v>
      </c>
      <c r="G664" t="s">
        <v>1068</v>
      </c>
      <c r="H664" t="s">
        <v>1000</v>
      </c>
      <c r="I664">
        <v>1688</v>
      </c>
      <c r="J664" s="3">
        <v>363.81</v>
      </c>
      <c r="K664" s="3">
        <v>614111.28</v>
      </c>
      <c r="L664">
        <v>642</v>
      </c>
      <c r="M664" t="s">
        <v>430</v>
      </c>
      <c r="N664" s="16">
        <f t="shared" si="51"/>
        <v>45839</v>
      </c>
      <c r="O664" t="s">
        <v>498</v>
      </c>
      <c r="P664" t="str">
        <f t="shared" si="52"/>
        <v>August 2025</v>
      </c>
      <c r="Q664" t="s">
        <v>959</v>
      </c>
      <c r="R664" s="8">
        <v>28789.06</v>
      </c>
      <c r="S664" s="8">
        <f t="shared" si="53"/>
        <v>642900.34000000008</v>
      </c>
      <c r="T664" s="6">
        <f t="shared" si="54"/>
        <v>4</v>
      </c>
    </row>
    <row r="665" spans="1:20" x14ac:dyDescent="0.3">
      <c r="A665" t="s">
        <v>1745</v>
      </c>
      <c r="B665" s="13" t="s">
        <v>1118</v>
      </c>
      <c r="C665" s="16">
        <f t="shared" si="50"/>
        <v>45658</v>
      </c>
      <c r="D665" t="s">
        <v>1003</v>
      </c>
      <c r="E665" t="s">
        <v>33</v>
      </c>
      <c r="F665" t="s">
        <v>971</v>
      </c>
      <c r="G665" t="s">
        <v>1132</v>
      </c>
      <c r="H665" t="s">
        <v>958</v>
      </c>
      <c r="I665">
        <v>2363</v>
      </c>
      <c r="J665" s="3">
        <v>188.41</v>
      </c>
      <c r="K665" s="3">
        <v>445212.83</v>
      </c>
      <c r="L665">
        <v>355</v>
      </c>
      <c r="M665" t="s">
        <v>307</v>
      </c>
      <c r="N665" s="16">
        <f t="shared" si="51"/>
        <v>45658</v>
      </c>
      <c r="O665" t="s">
        <v>307</v>
      </c>
      <c r="P665" t="str">
        <f t="shared" si="52"/>
        <v>January 2025</v>
      </c>
      <c r="Q665" t="s">
        <v>966</v>
      </c>
      <c r="R665" s="8">
        <v>12926.32</v>
      </c>
      <c r="S665" s="8">
        <f t="shared" si="53"/>
        <v>458139.15</v>
      </c>
      <c r="T665" s="6">
        <f t="shared" si="54"/>
        <v>0</v>
      </c>
    </row>
    <row r="666" spans="1:20" x14ac:dyDescent="0.3">
      <c r="A666" t="s">
        <v>1746</v>
      </c>
      <c r="B666" s="13" t="s">
        <v>633</v>
      </c>
      <c r="C666" s="16">
        <f t="shared" si="50"/>
        <v>45839</v>
      </c>
      <c r="D666" t="s">
        <v>1011</v>
      </c>
      <c r="E666" t="s">
        <v>33</v>
      </c>
      <c r="F666" t="s">
        <v>971</v>
      </c>
      <c r="G666" t="s">
        <v>1015</v>
      </c>
      <c r="H666" t="s">
        <v>977</v>
      </c>
      <c r="I666">
        <v>1017</v>
      </c>
      <c r="J666" s="3">
        <v>163.32</v>
      </c>
      <c r="K666" s="3">
        <v>166096.44</v>
      </c>
      <c r="L666">
        <v>582</v>
      </c>
      <c r="M666" t="s">
        <v>908</v>
      </c>
      <c r="N666" s="16">
        <f t="shared" si="51"/>
        <v>45839</v>
      </c>
      <c r="O666" t="s">
        <v>791</v>
      </c>
      <c r="P666" t="str">
        <f t="shared" si="52"/>
        <v>July 2025</v>
      </c>
      <c r="Q666" t="s">
        <v>959</v>
      </c>
      <c r="R666" s="8">
        <v>23520.57</v>
      </c>
      <c r="S666" s="8">
        <f t="shared" si="53"/>
        <v>189617.01</v>
      </c>
      <c r="T666" s="6">
        <f t="shared" si="54"/>
        <v>2</v>
      </c>
    </row>
    <row r="667" spans="1:20" x14ac:dyDescent="0.3">
      <c r="A667" t="s">
        <v>1747</v>
      </c>
      <c r="B667" s="13" t="s">
        <v>887</v>
      </c>
      <c r="C667" s="16">
        <f t="shared" si="50"/>
        <v>45839</v>
      </c>
      <c r="D667" t="s">
        <v>1011</v>
      </c>
      <c r="E667" t="s">
        <v>962</v>
      </c>
      <c r="F667" t="s">
        <v>971</v>
      </c>
      <c r="G667" t="s">
        <v>957</v>
      </c>
      <c r="H667" t="s">
        <v>977</v>
      </c>
      <c r="I667">
        <v>1929</v>
      </c>
      <c r="J667" s="3">
        <v>258.32</v>
      </c>
      <c r="K667" s="3">
        <v>498299.28</v>
      </c>
      <c r="L667">
        <v>483</v>
      </c>
      <c r="M667" t="s">
        <v>522</v>
      </c>
      <c r="N667" s="16">
        <f t="shared" si="51"/>
        <v>45839</v>
      </c>
      <c r="O667" t="s">
        <v>522</v>
      </c>
      <c r="P667" t="str">
        <f t="shared" si="52"/>
        <v>July 2025</v>
      </c>
      <c r="Q667" t="s">
        <v>966</v>
      </c>
      <c r="R667" s="8">
        <v>17993.82</v>
      </c>
      <c r="S667" s="8">
        <f t="shared" si="53"/>
        <v>516293.10000000003</v>
      </c>
      <c r="T667" s="6">
        <f t="shared" si="54"/>
        <v>0</v>
      </c>
    </row>
    <row r="668" spans="1:20" x14ac:dyDescent="0.3">
      <c r="A668" t="s">
        <v>1748</v>
      </c>
      <c r="B668" s="13" t="s">
        <v>622</v>
      </c>
      <c r="C668" s="16">
        <f t="shared" si="50"/>
        <v>45931</v>
      </c>
      <c r="D668" t="s">
        <v>975</v>
      </c>
      <c r="E668" t="s">
        <v>962</v>
      </c>
      <c r="F668" t="s">
        <v>971</v>
      </c>
      <c r="G668" t="s">
        <v>1042</v>
      </c>
      <c r="H668" t="s">
        <v>965</v>
      </c>
      <c r="I668">
        <v>2078</v>
      </c>
      <c r="J668" s="3">
        <v>848.4</v>
      </c>
      <c r="K668" s="3">
        <v>1762975.2</v>
      </c>
      <c r="L668">
        <v>669</v>
      </c>
      <c r="M668" t="s">
        <v>1191</v>
      </c>
      <c r="N668" s="16">
        <f t="shared" si="51"/>
        <v>45931</v>
      </c>
      <c r="O668" t="s">
        <v>275</v>
      </c>
      <c r="P668" t="str">
        <f t="shared" si="52"/>
        <v>October 2025</v>
      </c>
      <c r="Q668" t="s">
        <v>959</v>
      </c>
      <c r="R668" s="8">
        <v>26930.21</v>
      </c>
      <c r="S668" s="8">
        <f t="shared" si="53"/>
        <v>1789905.41</v>
      </c>
      <c r="T668" s="6">
        <f t="shared" si="54"/>
        <v>4</v>
      </c>
    </row>
    <row r="669" spans="1:20" x14ac:dyDescent="0.3">
      <c r="A669" t="s">
        <v>1749</v>
      </c>
      <c r="B669" s="13" t="s">
        <v>323</v>
      </c>
      <c r="C669" s="16">
        <f t="shared" si="50"/>
        <v>45870</v>
      </c>
      <c r="D669" t="s">
        <v>984</v>
      </c>
      <c r="E669" t="s">
        <v>43</v>
      </c>
      <c r="F669" t="s">
        <v>956</v>
      </c>
      <c r="G669" t="s">
        <v>1015</v>
      </c>
      <c r="H669" t="s">
        <v>992</v>
      </c>
      <c r="I669">
        <v>1842</v>
      </c>
      <c r="J669" s="3">
        <v>343.66</v>
      </c>
      <c r="K669" s="3">
        <v>633021.72</v>
      </c>
      <c r="L669">
        <v>622</v>
      </c>
      <c r="M669" t="s">
        <v>266</v>
      </c>
      <c r="N669" s="16">
        <f t="shared" si="51"/>
        <v>45901</v>
      </c>
      <c r="O669" t="s">
        <v>136</v>
      </c>
      <c r="P669" t="str">
        <f t="shared" si="52"/>
        <v>September 2025</v>
      </c>
      <c r="Q669" t="s">
        <v>959</v>
      </c>
      <c r="R669" s="8">
        <v>33964.75</v>
      </c>
      <c r="S669" s="8">
        <f t="shared" si="53"/>
        <v>666986.47</v>
      </c>
      <c r="T669" s="6">
        <f t="shared" si="54"/>
        <v>4</v>
      </c>
    </row>
    <row r="670" spans="1:20" x14ac:dyDescent="0.3">
      <c r="A670" t="s">
        <v>1750</v>
      </c>
      <c r="B670" s="13" t="s">
        <v>629</v>
      </c>
      <c r="C670" s="16">
        <f t="shared" si="50"/>
        <v>45962</v>
      </c>
      <c r="D670" t="s">
        <v>955</v>
      </c>
      <c r="E670" t="s">
        <v>962</v>
      </c>
      <c r="F670" t="s">
        <v>980</v>
      </c>
      <c r="G670" t="s">
        <v>988</v>
      </c>
      <c r="H670" t="s">
        <v>1034</v>
      </c>
      <c r="I670">
        <v>704</v>
      </c>
      <c r="J670" s="3">
        <v>362.61</v>
      </c>
      <c r="K670" s="3">
        <v>255277.44</v>
      </c>
      <c r="L670">
        <v>612</v>
      </c>
      <c r="M670" t="s">
        <v>358</v>
      </c>
      <c r="N670" s="16">
        <f t="shared" si="51"/>
        <v>45962</v>
      </c>
      <c r="O670" t="s">
        <v>1317</v>
      </c>
      <c r="P670" t="str">
        <f t="shared" si="52"/>
        <v>November 2025</v>
      </c>
      <c r="Q670" t="s">
        <v>959</v>
      </c>
      <c r="R670" s="8">
        <v>26731.48</v>
      </c>
      <c r="S670" s="8">
        <f t="shared" si="53"/>
        <v>282008.92</v>
      </c>
      <c r="T670" s="6">
        <f t="shared" si="54"/>
        <v>4</v>
      </c>
    </row>
    <row r="671" spans="1:20" x14ac:dyDescent="0.3">
      <c r="A671" t="s">
        <v>1751</v>
      </c>
      <c r="B671" s="13" t="s">
        <v>534</v>
      </c>
      <c r="C671" s="16">
        <f t="shared" si="50"/>
        <v>45839</v>
      </c>
      <c r="D671" t="s">
        <v>984</v>
      </c>
      <c r="E671" t="s">
        <v>990</v>
      </c>
      <c r="F671" t="s">
        <v>980</v>
      </c>
      <c r="G671" t="s">
        <v>981</v>
      </c>
      <c r="H671" t="s">
        <v>958</v>
      </c>
      <c r="I671">
        <v>1208</v>
      </c>
      <c r="J671" s="3">
        <v>552.19000000000005</v>
      </c>
      <c r="K671" s="3">
        <v>667045.52</v>
      </c>
      <c r="L671">
        <v>323</v>
      </c>
      <c r="M671" t="s">
        <v>908</v>
      </c>
      <c r="N671" s="16">
        <f t="shared" si="51"/>
        <v>45839</v>
      </c>
      <c r="O671" t="s">
        <v>534</v>
      </c>
      <c r="P671" t="str">
        <f t="shared" si="52"/>
        <v>July 2025</v>
      </c>
      <c r="Q671" t="s">
        <v>966</v>
      </c>
      <c r="R671" s="8">
        <v>12767.29</v>
      </c>
      <c r="S671" s="8">
        <f t="shared" si="53"/>
        <v>679812.81</v>
      </c>
      <c r="T671" s="6">
        <f t="shared" si="54"/>
        <v>-1</v>
      </c>
    </row>
    <row r="672" spans="1:20" x14ac:dyDescent="0.3">
      <c r="A672" t="s">
        <v>1752</v>
      </c>
      <c r="B672" s="13" t="s">
        <v>473</v>
      </c>
      <c r="C672" s="16">
        <f t="shared" si="50"/>
        <v>45689</v>
      </c>
      <c r="D672" t="s">
        <v>975</v>
      </c>
      <c r="E672" t="s">
        <v>43</v>
      </c>
      <c r="F672" t="s">
        <v>956</v>
      </c>
      <c r="G672" t="s">
        <v>976</v>
      </c>
      <c r="H672" t="s">
        <v>982</v>
      </c>
      <c r="I672">
        <v>1033</v>
      </c>
      <c r="J672" s="3">
        <v>827.27</v>
      </c>
      <c r="K672" s="3">
        <v>854569.91</v>
      </c>
      <c r="L672">
        <v>62</v>
      </c>
      <c r="M672" t="s">
        <v>837</v>
      </c>
      <c r="N672" s="16">
        <f t="shared" si="51"/>
        <v>45689</v>
      </c>
      <c r="O672" t="s">
        <v>363</v>
      </c>
      <c r="P672" t="str">
        <f t="shared" si="52"/>
        <v>February 2025</v>
      </c>
      <c r="Q672" t="s">
        <v>959</v>
      </c>
      <c r="R672" s="8">
        <v>3758.84</v>
      </c>
      <c r="S672" s="8">
        <f t="shared" si="53"/>
        <v>858328.75</v>
      </c>
      <c r="T672" s="6">
        <f t="shared" si="54"/>
        <v>2</v>
      </c>
    </row>
    <row r="673" spans="1:20" x14ac:dyDescent="0.3">
      <c r="A673" t="s">
        <v>1753</v>
      </c>
      <c r="B673" s="13" t="s">
        <v>554</v>
      </c>
      <c r="C673" s="16">
        <f t="shared" si="50"/>
        <v>45689</v>
      </c>
      <c r="D673" t="s">
        <v>1021</v>
      </c>
      <c r="E673" t="s">
        <v>962</v>
      </c>
      <c r="F673" t="s">
        <v>971</v>
      </c>
      <c r="G673" t="s">
        <v>996</v>
      </c>
      <c r="H673" t="s">
        <v>973</v>
      </c>
      <c r="I673">
        <v>1175</v>
      </c>
      <c r="J673" s="3">
        <v>52.36</v>
      </c>
      <c r="K673" s="3">
        <v>61523</v>
      </c>
      <c r="L673">
        <v>333</v>
      </c>
      <c r="M673" t="s">
        <v>1754</v>
      </c>
      <c r="N673" s="16">
        <f t="shared" si="51"/>
        <v>45689</v>
      </c>
      <c r="O673" t="s">
        <v>631</v>
      </c>
      <c r="P673" t="str">
        <f t="shared" si="52"/>
        <v>February 2025</v>
      </c>
      <c r="Q673" t="s">
        <v>959</v>
      </c>
      <c r="R673" s="8">
        <v>14151.95</v>
      </c>
      <c r="S673" s="8">
        <f t="shared" si="53"/>
        <v>75674.95</v>
      </c>
      <c r="T673" s="6">
        <f t="shared" si="54"/>
        <v>2</v>
      </c>
    </row>
    <row r="674" spans="1:20" x14ac:dyDescent="0.3">
      <c r="A674" t="s">
        <v>1755</v>
      </c>
      <c r="B674" s="13" t="s">
        <v>361</v>
      </c>
      <c r="C674" s="16">
        <f t="shared" si="50"/>
        <v>45992</v>
      </c>
      <c r="D674" t="s">
        <v>984</v>
      </c>
      <c r="E674" t="s">
        <v>49</v>
      </c>
      <c r="F674" t="s">
        <v>956</v>
      </c>
      <c r="G674" t="s">
        <v>991</v>
      </c>
      <c r="H674" t="s">
        <v>973</v>
      </c>
      <c r="I674">
        <v>55</v>
      </c>
      <c r="J674" s="3">
        <v>339.54</v>
      </c>
      <c r="K674" s="3">
        <v>18674.7</v>
      </c>
      <c r="L674">
        <v>715</v>
      </c>
      <c r="M674" t="s">
        <v>656</v>
      </c>
      <c r="N674" s="16">
        <f t="shared" si="51"/>
        <v>45992</v>
      </c>
      <c r="O674" t="s">
        <v>656</v>
      </c>
      <c r="P674" t="str">
        <f t="shared" si="52"/>
        <v>December 2025</v>
      </c>
      <c r="Q674" t="s">
        <v>966</v>
      </c>
      <c r="R674" s="8">
        <v>33982.65</v>
      </c>
      <c r="S674" s="8">
        <f t="shared" si="53"/>
        <v>52657.350000000006</v>
      </c>
      <c r="T674" s="6">
        <f t="shared" si="54"/>
        <v>0</v>
      </c>
    </row>
    <row r="675" spans="1:20" x14ac:dyDescent="0.3">
      <c r="A675" t="s">
        <v>1756</v>
      </c>
      <c r="B675" s="13" t="s">
        <v>64</v>
      </c>
      <c r="C675" s="16">
        <f t="shared" si="50"/>
        <v>45931</v>
      </c>
      <c r="D675" t="s">
        <v>1003</v>
      </c>
      <c r="E675" t="s">
        <v>33</v>
      </c>
      <c r="F675" t="s">
        <v>980</v>
      </c>
      <c r="G675" t="s">
        <v>957</v>
      </c>
      <c r="H675" t="s">
        <v>982</v>
      </c>
      <c r="I675">
        <v>1894</v>
      </c>
      <c r="J675" s="3">
        <v>147.12</v>
      </c>
      <c r="K675" s="3">
        <v>278645.28000000003</v>
      </c>
      <c r="L675">
        <v>334</v>
      </c>
      <c r="M675" t="s">
        <v>400</v>
      </c>
      <c r="N675" s="16">
        <f t="shared" si="51"/>
        <v>45931</v>
      </c>
      <c r="O675" t="s">
        <v>400</v>
      </c>
      <c r="P675" t="str">
        <f t="shared" si="52"/>
        <v>October 2025</v>
      </c>
      <c r="Q675" t="s">
        <v>966</v>
      </c>
      <c r="R675" s="8">
        <v>20440.490000000002</v>
      </c>
      <c r="S675" s="8">
        <f t="shared" si="53"/>
        <v>299085.77</v>
      </c>
      <c r="T675" s="6">
        <f t="shared" si="54"/>
        <v>0</v>
      </c>
    </row>
    <row r="676" spans="1:20" x14ac:dyDescent="0.3">
      <c r="A676" t="s">
        <v>1757</v>
      </c>
      <c r="B676" s="13" t="s">
        <v>543</v>
      </c>
      <c r="C676" s="16">
        <f t="shared" si="50"/>
        <v>45931</v>
      </c>
      <c r="D676" t="s">
        <v>961</v>
      </c>
      <c r="E676" t="s">
        <v>962</v>
      </c>
      <c r="F676" t="s">
        <v>971</v>
      </c>
      <c r="G676" t="s">
        <v>991</v>
      </c>
      <c r="H676" t="s">
        <v>982</v>
      </c>
      <c r="I676">
        <v>2242</v>
      </c>
      <c r="J676" s="3">
        <v>315.32</v>
      </c>
      <c r="K676" s="3">
        <v>706947.44</v>
      </c>
      <c r="L676">
        <v>243</v>
      </c>
      <c r="M676" t="s">
        <v>114</v>
      </c>
      <c r="N676" s="16">
        <f t="shared" si="51"/>
        <v>45931</v>
      </c>
      <c r="O676" t="s">
        <v>114</v>
      </c>
      <c r="P676" t="str">
        <f t="shared" si="52"/>
        <v>October 2025</v>
      </c>
      <c r="Q676" t="s">
        <v>966</v>
      </c>
      <c r="R676" s="8">
        <v>12095.52</v>
      </c>
      <c r="S676" s="8">
        <f t="shared" si="53"/>
        <v>719042.96</v>
      </c>
      <c r="T676" s="6">
        <f t="shared" si="54"/>
        <v>0</v>
      </c>
    </row>
    <row r="677" spans="1:20" x14ac:dyDescent="0.3">
      <c r="A677" t="s">
        <v>1758</v>
      </c>
      <c r="B677" s="13" t="s">
        <v>1451</v>
      </c>
      <c r="C677" s="16">
        <f t="shared" si="50"/>
        <v>45778</v>
      </c>
      <c r="D677" t="s">
        <v>1021</v>
      </c>
      <c r="E677" t="s">
        <v>987</v>
      </c>
      <c r="F677" t="s">
        <v>956</v>
      </c>
      <c r="G677" t="s">
        <v>972</v>
      </c>
      <c r="H677" t="s">
        <v>973</v>
      </c>
      <c r="I677">
        <v>2301</v>
      </c>
      <c r="J677" s="3">
        <v>789.14</v>
      </c>
      <c r="K677" s="3">
        <v>1815811.14</v>
      </c>
      <c r="L677">
        <v>539</v>
      </c>
      <c r="M677" t="s">
        <v>161</v>
      </c>
      <c r="N677" s="16">
        <f t="shared" si="51"/>
        <v>45778</v>
      </c>
      <c r="O677" t="s">
        <v>143</v>
      </c>
      <c r="P677" t="str">
        <f t="shared" si="52"/>
        <v>May 2025</v>
      </c>
      <c r="Q677" t="s">
        <v>966</v>
      </c>
      <c r="R677" s="8">
        <v>26784.21</v>
      </c>
      <c r="S677" s="8">
        <f t="shared" si="53"/>
        <v>1842595.3499999999</v>
      </c>
      <c r="T677" s="6">
        <f t="shared" si="54"/>
        <v>-1</v>
      </c>
    </row>
    <row r="678" spans="1:20" x14ac:dyDescent="0.3">
      <c r="A678" t="s">
        <v>1759</v>
      </c>
      <c r="B678" s="13" t="s">
        <v>1010</v>
      </c>
      <c r="C678" s="16">
        <f t="shared" si="50"/>
        <v>45992</v>
      </c>
      <c r="D678" t="s">
        <v>961</v>
      </c>
      <c r="E678" t="s">
        <v>962</v>
      </c>
      <c r="F678" t="s">
        <v>980</v>
      </c>
      <c r="G678" t="s">
        <v>1132</v>
      </c>
      <c r="H678" t="s">
        <v>958</v>
      </c>
      <c r="I678">
        <v>205</v>
      </c>
      <c r="J678" s="3">
        <v>847.51</v>
      </c>
      <c r="K678" s="3">
        <v>173739.55</v>
      </c>
      <c r="L678">
        <v>357</v>
      </c>
      <c r="M678" t="s">
        <v>607</v>
      </c>
      <c r="N678" s="16">
        <f t="shared" si="51"/>
        <v>45992</v>
      </c>
      <c r="O678" t="s">
        <v>195</v>
      </c>
      <c r="P678" t="str">
        <f t="shared" si="52"/>
        <v>December 2025</v>
      </c>
      <c r="Q678" t="s">
        <v>959</v>
      </c>
      <c r="R678" s="8">
        <v>17970.150000000001</v>
      </c>
      <c r="S678" s="8">
        <f t="shared" si="53"/>
        <v>191709.69999999998</v>
      </c>
      <c r="T678" s="6">
        <f t="shared" si="54"/>
        <v>2</v>
      </c>
    </row>
    <row r="679" spans="1:20" x14ac:dyDescent="0.3">
      <c r="A679" t="s">
        <v>1760</v>
      </c>
      <c r="B679" s="13" t="s">
        <v>31</v>
      </c>
      <c r="C679" s="16">
        <f t="shared" si="50"/>
        <v>45870</v>
      </c>
      <c r="D679" t="s">
        <v>975</v>
      </c>
      <c r="E679" t="s">
        <v>49</v>
      </c>
      <c r="F679" t="s">
        <v>971</v>
      </c>
      <c r="G679" t="s">
        <v>991</v>
      </c>
      <c r="H679" t="s">
        <v>965</v>
      </c>
      <c r="I679">
        <v>2014</v>
      </c>
      <c r="J679" s="3">
        <v>451.68</v>
      </c>
      <c r="K679" s="3">
        <v>909683.52</v>
      </c>
      <c r="L679">
        <v>225</v>
      </c>
      <c r="M679" t="s">
        <v>1479</v>
      </c>
      <c r="N679" s="16">
        <f t="shared" si="51"/>
        <v>45870</v>
      </c>
      <c r="O679" t="s">
        <v>31</v>
      </c>
      <c r="P679" t="str">
        <f t="shared" si="52"/>
        <v>August 2025</v>
      </c>
      <c r="Q679" t="s">
        <v>966</v>
      </c>
      <c r="R679" s="8">
        <v>11426.37</v>
      </c>
      <c r="S679" s="8">
        <f t="shared" si="53"/>
        <v>921109.89</v>
      </c>
      <c r="T679" s="6">
        <f t="shared" si="54"/>
        <v>-1</v>
      </c>
    </row>
    <row r="680" spans="1:20" x14ac:dyDescent="0.3">
      <c r="A680" t="s">
        <v>1761</v>
      </c>
      <c r="B680" s="13" t="s">
        <v>484</v>
      </c>
      <c r="C680" s="16">
        <f t="shared" si="50"/>
        <v>45717</v>
      </c>
      <c r="D680" t="s">
        <v>975</v>
      </c>
      <c r="E680" t="s">
        <v>987</v>
      </c>
      <c r="F680" t="s">
        <v>963</v>
      </c>
      <c r="G680" t="s">
        <v>1078</v>
      </c>
      <c r="H680" t="s">
        <v>965</v>
      </c>
      <c r="I680">
        <v>571</v>
      </c>
      <c r="J680" s="3">
        <v>630.62</v>
      </c>
      <c r="K680" s="3">
        <v>360084.02</v>
      </c>
      <c r="L680">
        <v>225</v>
      </c>
      <c r="M680" t="s">
        <v>478</v>
      </c>
      <c r="N680" s="16">
        <f t="shared" si="51"/>
        <v>45717</v>
      </c>
      <c r="O680" t="s">
        <v>478</v>
      </c>
      <c r="P680" t="str">
        <f t="shared" si="52"/>
        <v>March 2025</v>
      </c>
      <c r="Q680" t="s">
        <v>966</v>
      </c>
      <c r="R680" s="8">
        <v>12331.14</v>
      </c>
      <c r="S680" s="8">
        <f t="shared" si="53"/>
        <v>372415.16000000003</v>
      </c>
      <c r="T680" s="6">
        <f t="shared" si="54"/>
        <v>0</v>
      </c>
    </row>
    <row r="681" spans="1:20" x14ac:dyDescent="0.3">
      <c r="A681" t="s">
        <v>1762</v>
      </c>
      <c r="B681" s="13" t="s">
        <v>1286</v>
      </c>
      <c r="C681" s="16">
        <f t="shared" si="50"/>
        <v>45809</v>
      </c>
      <c r="D681" t="s">
        <v>975</v>
      </c>
      <c r="E681" t="s">
        <v>33</v>
      </c>
      <c r="F681" t="s">
        <v>971</v>
      </c>
      <c r="G681" t="s">
        <v>1098</v>
      </c>
      <c r="H681" t="s">
        <v>992</v>
      </c>
      <c r="I681">
        <v>451</v>
      </c>
      <c r="J681" s="3">
        <v>529.38</v>
      </c>
      <c r="K681" s="3">
        <v>238750.38</v>
      </c>
      <c r="L681">
        <v>250</v>
      </c>
      <c r="M681" t="s">
        <v>1245</v>
      </c>
      <c r="N681" s="16">
        <f t="shared" si="51"/>
        <v>45809</v>
      </c>
      <c r="O681" t="s">
        <v>737</v>
      </c>
      <c r="P681" t="str">
        <f t="shared" si="52"/>
        <v>June 2025</v>
      </c>
      <c r="Q681" t="s">
        <v>959</v>
      </c>
      <c r="R681" s="8">
        <v>12196.94</v>
      </c>
      <c r="S681" s="8">
        <f t="shared" si="53"/>
        <v>250947.32</v>
      </c>
      <c r="T681" s="6">
        <f t="shared" si="54"/>
        <v>3</v>
      </c>
    </row>
    <row r="682" spans="1:20" x14ac:dyDescent="0.3">
      <c r="A682" t="s">
        <v>1763</v>
      </c>
      <c r="B682" s="13" t="s">
        <v>426</v>
      </c>
      <c r="C682" s="16">
        <f t="shared" si="50"/>
        <v>45748</v>
      </c>
      <c r="D682" t="s">
        <v>1021</v>
      </c>
      <c r="E682" t="s">
        <v>990</v>
      </c>
      <c r="F682" t="s">
        <v>956</v>
      </c>
      <c r="G682" t="s">
        <v>994</v>
      </c>
      <c r="H682" t="s">
        <v>1018</v>
      </c>
      <c r="I682">
        <v>1586</v>
      </c>
      <c r="J682" s="3">
        <v>165.45</v>
      </c>
      <c r="K682" s="3">
        <v>262403.7</v>
      </c>
      <c r="L682">
        <v>147</v>
      </c>
      <c r="M682" t="s">
        <v>448</v>
      </c>
      <c r="N682" s="16">
        <f t="shared" si="51"/>
        <v>45748</v>
      </c>
      <c r="O682" t="s">
        <v>683</v>
      </c>
      <c r="P682" t="str">
        <f t="shared" si="52"/>
        <v>April 2025</v>
      </c>
      <c r="Q682" t="s">
        <v>959</v>
      </c>
      <c r="R682" s="8">
        <v>8648.2099999999991</v>
      </c>
      <c r="S682" s="8">
        <f t="shared" si="53"/>
        <v>271051.91000000003</v>
      </c>
      <c r="T682" s="6">
        <f t="shared" si="54"/>
        <v>4</v>
      </c>
    </row>
    <row r="683" spans="1:20" x14ac:dyDescent="0.3">
      <c r="A683" t="s">
        <v>1764</v>
      </c>
      <c r="B683" s="13" t="s">
        <v>564</v>
      </c>
      <c r="C683" s="16">
        <f t="shared" si="50"/>
        <v>45901</v>
      </c>
      <c r="D683" t="s">
        <v>968</v>
      </c>
      <c r="E683" t="s">
        <v>987</v>
      </c>
      <c r="F683" t="s">
        <v>971</v>
      </c>
      <c r="G683" t="s">
        <v>1004</v>
      </c>
      <c r="H683" t="s">
        <v>977</v>
      </c>
      <c r="I683">
        <v>2029</v>
      </c>
      <c r="J683" s="3">
        <v>215.67</v>
      </c>
      <c r="K683" s="3">
        <v>437594.43</v>
      </c>
      <c r="L683">
        <v>383</v>
      </c>
      <c r="M683" t="s">
        <v>61</v>
      </c>
      <c r="N683" s="16">
        <f t="shared" si="51"/>
        <v>45901</v>
      </c>
      <c r="O683" t="s">
        <v>1283</v>
      </c>
      <c r="P683" t="str">
        <f t="shared" si="52"/>
        <v>September 2025</v>
      </c>
      <c r="Q683" t="s">
        <v>959</v>
      </c>
      <c r="R683" s="8">
        <v>14599.6</v>
      </c>
      <c r="S683" s="8">
        <f t="shared" si="53"/>
        <v>452194.02999999997</v>
      </c>
      <c r="T683" s="6">
        <f t="shared" si="54"/>
        <v>2</v>
      </c>
    </row>
    <row r="684" spans="1:20" x14ac:dyDescent="0.3">
      <c r="A684" t="s">
        <v>1765</v>
      </c>
      <c r="B684" s="13" t="s">
        <v>462</v>
      </c>
      <c r="C684" s="16">
        <f t="shared" si="50"/>
        <v>45809</v>
      </c>
      <c r="D684" t="s">
        <v>1003</v>
      </c>
      <c r="E684" t="s">
        <v>990</v>
      </c>
      <c r="F684" t="s">
        <v>980</v>
      </c>
      <c r="G684" t="s">
        <v>981</v>
      </c>
      <c r="H684" t="s">
        <v>1000</v>
      </c>
      <c r="I684">
        <v>2244</v>
      </c>
      <c r="J684" s="3">
        <v>182.38</v>
      </c>
      <c r="K684" s="3">
        <v>409260.72</v>
      </c>
      <c r="L684">
        <v>581</v>
      </c>
      <c r="M684" t="s">
        <v>1094</v>
      </c>
      <c r="N684" s="16">
        <f t="shared" si="51"/>
        <v>45809</v>
      </c>
      <c r="O684" t="s">
        <v>1094</v>
      </c>
      <c r="P684" t="str">
        <f t="shared" si="52"/>
        <v>June 2025</v>
      </c>
      <c r="Q684" t="s">
        <v>966</v>
      </c>
      <c r="R684" s="8">
        <v>26184.55</v>
      </c>
      <c r="S684" s="8">
        <f t="shared" si="53"/>
        <v>435445.26999999996</v>
      </c>
      <c r="T684" s="6">
        <f t="shared" si="54"/>
        <v>0</v>
      </c>
    </row>
    <row r="685" spans="1:20" x14ac:dyDescent="0.3">
      <c r="A685" t="s">
        <v>1766</v>
      </c>
      <c r="B685" s="13" t="s">
        <v>650</v>
      </c>
      <c r="C685" s="16">
        <f t="shared" si="50"/>
        <v>45778</v>
      </c>
      <c r="D685" t="s">
        <v>961</v>
      </c>
      <c r="E685" t="s">
        <v>987</v>
      </c>
      <c r="F685" t="s">
        <v>980</v>
      </c>
      <c r="G685" t="s">
        <v>1098</v>
      </c>
      <c r="H685" t="s">
        <v>992</v>
      </c>
      <c r="I685">
        <v>1407</v>
      </c>
      <c r="J685" s="3">
        <v>884.09</v>
      </c>
      <c r="K685" s="3">
        <v>1243914.6299999999</v>
      </c>
      <c r="L685">
        <v>625</v>
      </c>
      <c r="M685" t="s">
        <v>1567</v>
      </c>
      <c r="N685" s="16">
        <f t="shared" si="51"/>
        <v>45778</v>
      </c>
      <c r="O685" t="s">
        <v>1567</v>
      </c>
      <c r="P685" t="str">
        <f t="shared" si="52"/>
        <v>May 2025</v>
      </c>
      <c r="Q685" t="s">
        <v>966</v>
      </c>
      <c r="R685" s="8">
        <v>23850.21</v>
      </c>
      <c r="S685" s="8">
        <f t="shared" si="53"/>
        <v>1267764.8399999999</v>
      </c>
      <c r="T685" s="6">
        <f t="shared" si="54"/>
        <v>0</v>
      </c>
    </row>
    <row r="686" spans="1:20" x14ac:dyDescent="0.3">
      <c r="A686" t="s">
        <v>1767</v>
      </c>
      <c r="B686" s="13" t="s">
        <v>530</v>
      </c>
      <c r="C686" s="16">
        <f t="shared" si="50"/>
        <v>45778</v>
      </c>
      <c r="D686" t="s">
        <v>975</v>
      </c>
      <c r="E686" t="s">
        <v>962</v>
      </c>
      <c r="F686" t="s">
        <v>971</v>
      </c>
      <c r="G686" t="s">
        <v>1004</v>
      </c>
      <c r="H686" t="s">
        <v>977</v>
      </c>
      <c r="I686">
        <v>1084</v>
      </c>
      <c r="J686" s="3">
        <v>514.17999999999995</v>
      </c>
      <c r="K686" s="3">
        <v>557371.12</v>
      </c>
      <c r="L686">
        <v>207</v>
      </c>
      <c r="M686" t="s">
        <v>343</v>
      </c>
      <c r="N686" s="16">
        <f t="shared" si="51"/>
        <v>45778</v>
      </c>
      <c r="O686" t="s">
        <v>1210</v>
      </c>
      <c r="P686" t="str">
        <f t="shared" si="52"/>
        <v>May 2025</v>
      </c>
      <c r="Q686" t="s">
        <v>959</v>
      </c>
      <c r="R686" s="8">
        <v>10466.77</v>
      </c>
      <c r="S686" s="8">
        <f t="shared" si="53"/>
        <v>567837.89</v>
      </c>
      <c r="T686" s="6">
        <f t="shared" si="54"/>
        <v>2</v>
      </c>
    </row>
    <row r="687" spans="1:20" x14ac:dyDescent="0.3">
      <c r="A687" t="s">
        <v>1768</v>
      </c>
      <c r="B687" s="13" t="s">
        <v>1490</v>
      </c>
      <c r="C687" s="16">
        <f t="shared" si="50"/>
        <v>45717</v>
      </c>
      <c r="D687" t="s">
        <v>1021</v>
      </c>
      <c r="E687" t="s">
        <v>962</v>
      </c>
      <c r="F687" t="s">
        <v>971</v>
      </c>
      <c r="G687" t="s">
        <v>1015</v>
      </c>
      <c r="H687" t="s">
        <v>1018</v>
      </c>
      <c r="I687">
        <v>1822</v>
      </c>
      <c r="J687" s="3">
        <v>760.13</v>
      </c>
      <c r="K687" s="3">
        <v>1384956.86</v>
      </c>
      <c r="L687">
        <v>313</v>
      </c>
      <c r="M687" t="s">
        <v>627</v>
      </c>
      <c r="N687" s="16">
        <f t="shared" si="51"/>
        <v>45717</v>
      </c>
      <c r="O687" t="s">
        <v>627</v>
      </c>
      <c r="P687" t="str">
        <f t="shared" si="52"/>
        <v>March 2025</v>
      </c>
      <c r="Q687" t="s">
        <v>966</v>
      </c>
      <c r="R687" s="8">
        <v>15741.25</v>
      </c>
      <c r="S687" s="8">
        <f t="shared" si="53"/>
        <v>1400698.11</v>
      </c>
      <c r="T687" s="6">
        <f t="shared" si="54"/>
        <v>0</v>
      </c>
    </row>
    <row r="688" spans="1:20" x14ac:dyDescent="0.3">
      <c r="A688" t="s">
        <v>1769</v>
      </c>
      <c r="B688" s="13" t="s">
        <v>398</v>
      </c>
      <c r="C688" s="16">
        <f t="shared" si="50"/>
        <v>45748</v>
      </c>
      <c r="D688" t="s">
        <v>961</v>
      </c>
      <c r="E688" t="s">
        <v>49</v>
      </c>
      <c r="F688" t="s">
        <v>971</v>
      </c>
      <c r="G688" t="s">
        <v>985</v>
      </c>
      <c r="H688" t="s">
        <v>977</v>
      </c>
      <c r="I688">
        <v>315</v>
      </c>
      <c r="J688" s="3">
        <v>312.3</v>
      </c>
      <c r="K688" s="3">
        <v>98374.5</v>
      </c>
      <c r="L688">
        <v>434</v>
      </c>
      <c r="M688" t="s">
        <v>412</v>
      </c>
      <c r="N688" s="16">
        <f t="shared" si="51"/>
        <v>45748</v>
      </c>
      <c r="O688" t="s">
        <v>539</v>
      </c>
      <c r="P688" t="str">
        <f t="shared" si="52"/>
        <v>April 2025</v>
      </c>
      <c r="Q688" t="s">
        <v>959</v>
      </c>
      <c r="R688" s="8">
        <v>22018.44</v>
      </c>
      <c r="S688" s="8">
        <f t="shared" si="53"/>
        <v>120392.94</v>
      </c>
      <c r="T688" s="6">
        <f t="shared" si="54"/>
        <v>4</v>
      </c>
    </row>
    <row r="689" spans="1:20" x14ac:dyDescent="0.3">
      <c r="A689" t="s">
        <v>1770</v>
      </c>
      <c r="B689" s="13" t="s">
        <v>191</v>
      </c>
      <c r="C689" s="16">
        <f t="shared" si="50"/>
        <v>45839</v>
      </c>
      <c r="D689" t="s">
        <v>1003</v>
      </c>
      <c r="E689" t="s">
        <v>49</v>
      </c>
      <c r="F689" t="s">
        <v>956</v>
      </c>
      <c r="G689" t="s">
        <v>1098</v>
      </c>
      <c r="H689" t="s">
        <v>982</v>
      </c>
      <c r="I689">
        <v>1102</v>
      </c>
      <c r="J689" s="3">
        <v>528.88</v>
      </c>
      <c r="K689" s="3">
        <v>582825.76</v>
      </c>
      <c r="L689">
        <v>71</v>
      </c>
      <c r="M689" t="s">
        <v>256</v>
      </c>
      <c r="N689" s="16">
        <f t="shared" si="51"/>
        <v>45839</v>
      </c>
      <c r="O689" t="s">
        <v>256</v>
      </c>
      <c r="P689" t="str">
        <f t="shared" si="52"/>
        <v>July 2025</v>
      </c>
      <c r="Q689" t="s">
        <v>966</v>
      </c>
      <c r="R689" s="8">
        <v>3829.59</v>
      </c>
      <c r="S689" s="8">
        <f t="shared" si="53"/>
        <v>586655.35</v>
      </c>
      <c r="T689" s="6">
        <f t="shared" si="54"/>
        <v>0</v>
      </c>
    </row>
    <row r="690" spans="1:20" x14ac:dyDescent="0.3">
      <c r="A690" t="s">
        <v>1771</v>
      </c>
      <c r="B690" s="13" t="s">
        <v>336</v>
      </c>
      <c r="C690" s="16">
        <f t="shared" si="50"/>
        <v>45809</v>
      </c>
      <c r="D690" t="s">
        <v>1011</v>
      </c>
      <c r="E690" t="s">
        <v>49</v>
      </c>
      <c r="F690" t="s">
        <v>963</v>
      </c>
      <c r="G690" t="s">
        <v>1057</v>
      </c>
      <c r="H690" t="s">
        <v>973</v>
      </c>
      <c r="I690">
        <v>199</v>
      </c>
      <c r="J690" s="3">
        <v>506.77</v>
      </c>
      <c r="K690" s="3">
        <v>100847.23</v>
      </c>
      <c r="L690">
        <v>484</v>
      </c>
      <c r="M690" t="s">
        <v>1368</v>
      </c>
      <c r="N690" s="16">
        <f t="shared" si="51"/>
        <v>45809</v>
      </c>
      <c r="O690" t="s">
        <v>39</v>
      </c>
      <c r="P690" t="str">
        <f t="shared" si="52"/>
        <v>June 2025</v>
      </c>
      <c r="Q690" t="s">
        <v>959</v>
      </c>
      <c r="R690" s="8">
        <v>27338.92</v>
      </c>
      <c r="S690" s="8">
        <f t="shared" si="53"/>
        <v>128186.15</v>
      </c>
      <c r="T690" s="6">
        <f t="shared" si="54"/>
        <v>4</v>
      </c>
    </row>
    <row r="691" spans="1:20" x14ac:dyDescent="0.3">
      <c r="A691" t="s">
        <v>1772</v>
      </c>
      <c r="B691" s="13" t="s">
        <v>446</v>
      </c>
      <c r="C691" s="16">
        <f t="shared" si="50"/>
        <v>45809</v>
      </c>
      <c r="D691" t="s">
        <v>955</v>
      </c>
      <c r="E691" t="s">
        <v>43</v>
      </c>
      <c r="F691" t="s">
        <v>956</v>
      </c>
      <c r="G691" t="s">
        <v>1040</v>
      </c>
      <c r="H691" t="s">
        <v>992</v>
      </c>
      <c r="I691">
        <v>1284</v>
      </c>
      <c r="J691" s="3">
        <v>189.88</v>
      </c>
      <c r="K691" s="3">
        <v>243805.92</v>
      </c>
      <c r="L691">
        <v>492</v>
      </c>
      <c r="M691" t="s">
        <v>197</v>
      </c>
      <c r="N691" s="16">
        <f t="shared" si="51"/>
        <v>45809</v>
      </c>
      <c r="O691" t="s">
        <v>416</v>
      </c>
      <c r="P691" t="str">
        <f t="shared" si="52"/>
        <v>June 2025</v>
      </c>
      <c r="Q691" t="s">
        <v>959</v>
      </c>
      <c r="R691" s="8">
        <v>28183.42</v>
      </c>
      <c r="S691" s="8">
        <f t="shared" si="53"/>
        <v>271989.34000000003</v>
      </c>
      <c r="T691" s="6">
        <f t="shared" si="54"/>
        <v>4</v>
      </c>
    </row>
    <row r="692" spans="1:20" x14ac:dyDescent="0.3">
      <c r="A692" t="s">
        <v>1773</v>
      </c>
      <c r="B692" s="13" t="s">
        <v>704</v>
      </c>
      <c r="C692" s="16">
        <f t="shared" si="50"/>
        <v>45748</v>
      </c>
      <c r="D692" t="s">
        <v>1003</v>
      </c>
      <c r="E692" t="s">
        <v>33</v>
      </c>
      <c r="F692" t="s">
        <v>971</v>
      </c>
      <c r="G692" t="s">
        <v>1036</v>
      </c>
      <c r="H692" t="s">
        <v>977</v>
      </c>
      <c r="I692">
        <v>513</v>
      </c>
      <c r="J692" s="3">
        <v>654.25</v>
      </c>
      <c r="K692" s="3">
        <v>335630.25</v>
      </c>
      <c r="L692">
        <v>624</v>
      </c>
      <c r="M692" t="s">
        <v>287</v>
      </c>
      <c r="N692" s="16">
        <f t="shared" si="51"/>
        <v>45748</v>
      </c>
      <c r="O692" t="s">
        <v>448</v>
      </c>
      <c r="P692" t="str">
        <f t="shared" si="52"/>
        <v>April 2025</v>
      </c>
      <c r="Q692" t="s">
        <v>959</v>
      </c>
      <c r="R692" s="8">
        <v>30266.73</v>
      </c>
      <c r="S692" s="8">
        <f t="shared" si="53"/>
        <v>365896.98</v>
      </c>
      <c r="T692" s="6">
        <f t="shared" si="54"/>
        <v>2</v>
      </c>
    </row>
    <row r="693" spans="1:20" x14ac:dyDescent="0.3">
      <c r="A693" t="s">
        <v>1774</v>
      </c>
      <c r="B693" s="13" t="s">
        <v>835</v>
      </c>
      <c r="C693" s="16">
        <f t="shared" si="50"/>
        <v>45778</v>
      </c>
      <c r="D693" t="s">
        <v>968</v>
      </c>
      <c r="E693" t="s">
        <v>990</v>
      </c>
      <c r="F693" t="s">
        <v>980</v>
      </c>
      <c r="G693" t="s">
        <v>991</v>
      </c>
      <c r="H693" t="s">
        <v>982</v>
      </c>
      <c r="I693">
        <v>1611</v>
      </c>
      <c r="J693" s="3">
        <v>296.7</v>
      </c>
      <c r="K693" s="3">
        <v>477983.7</v>
      </c>
      <c r="L693">
        <v>226</v>
      </c>
      <c r="M693" t="s">
        <v>1451</v>
      </c>
      <c r="N693" s="16">
        <f t="shared" si="51"/>
        <v>45778</v>
      </c>
      <c r="O693" t="s">
        <v>84</v>
      </c>
      <c r="P693" t="str">
        <f t="shared" si="52"/>
        <v>May 2025</v>
      </c>
      <c r="Q693" t="s">
        <v>959</v>
      </c>
      <c r="R693" s="8">
        <v>13138.33</v>
      </c>
      <c r="S693" s="8">
        <f t="shared" si="53"/>
        <v>491122.03</v>
      </c>
      <c r="T693" s="6">
        <f t="shared" si="54"/>
        <v>4</v>
      </c>
    </row>
    <row r="694" spans="1:20" x14ac:dyDescent="0.3">
      <c r="A694" t="s">
        <v>1775</v>
      </c>
      <c r="B694" s="13" t="s">
        <v>466</v>
      </c>
      <c r="C694" s="16">
        <f t="shared" si="50"/>
        <v>45717</v>
      </c>
      <c r="D694" t="s">
        <v>961</v>
      </c>
      <c r="E694" t="s">
        <v>49</v>
      </c>
      <c r="F694" t="s">
        <v>963</v>
      </c>
      <c r="G694" t="s">
        <v>1152</v>
      </c>
      <c r="H694" t="s">
        <v>982</v>
      </c>
      <c r="I694">
        <v>868</v>
      </c>
      <c r="J694" s="3">
        <v>124.97</v>
      </c>
      <c r="K694" s="3">
        <v>108473.96</v>
      </c>
      <c r="L694">
        <v>177</v>
      </c>
      <c r="M694" t="s">
        <v>86</v>
      </c>
      <c r="N694" s="16">
        <f t="shared" si="51"/>
        <v>45717</v>
      </c>
      <c r="O694" t="s">
        <v>469</v>
      </c>
      <c r="P694" t="str">
        <f t="shared" si="52"/>
        <v>March 2025</v>
      </c>
      <c r="Q694" t="s">
        <v>959</v>
      </c>
      <c r="R694" s="8">
        <v>10814.83</v>
      </c>
      <c r="S694" s="8">
        <f t="shared" si="53"/>
        <v>119288.79000000001</v>
      </c>
      <c r="T694" s="6">
        <f t="shared" si="54"/>
        <v>2</v>
      </c>
    </row>
    <row r="695" spans="1:20" x14ac:dyDescent="0.3">
      <c r="A695" t="s">
        <v>1776</v>
      </c>
      <c r="B695" s="13" t="s">
        <v>837</v>
      </c>
      <c r="C695" s="16">
        <f t="shared" si="50"/>
        <v>45689</v>
      </c>
      <c r="D695" t="s">
        <v>1021</v>
      </c>
      <c r="E695" t="s">
        <v>990</v>
      </c>
      <c r="F695" t="s">
        <v>963</v>
      </c>
      <c r="G695" t="s">
        <v>1068</v>
      </c>
      <c r="H695" t="s">
        <v>1018</v>
      </c>
      <c r="I695">
        <v>889</v>
      </c>
      <c r="J695" s="3">
        <v>516.51</v>
      </c>
      <c r="K695" s="3">
        <v>459177.39</v>
      </c>
      <c r="L695">
        <v>385</v>
      </c>
      <c r="M695" t="s">
        <v>363</v>
      </c>
      <c r="N695" s="16">
        <f t="shared" si="51"/>
        <v>45689</v>
      </c>
      <c r="O695" t="s">
        <v>1233</v>
      </c>
      <c r="P695" t="str">
        <f t="shared" si="52"/>
        <v>March 2025</v>
      </c>
      <c r="Q695" t="s">
        <v>959</v>
      </c>
      <c r="R695" s="8">
        <v>19632.97</v>
      </c>
      <c r="S695" s="8">
        <f t="shared" si="53"/>
        <v>478810.36</v>
      </c>
      <c r="T695" s="6">
        <f t="shared" si="54"/>
        <v>4</v>
      </c>
    </row>
    <row r="696" spans="1:20" x14ac:dyDescent="0.3">
      <c r="A696" t="s">
        <v>1777</v>
      </c>
      <c r="B696" s="13" t="s">
        <v>433</v>
      </c>
      <c r="C696" s="16">
        <f t="shared" si="50"/>
        <v>45717</v>
      </c>
      <c r="D696" t="s">
        <v>968</v>
      </c>
      <c r="E696" t="s">
        <v>962</v>
      </c>
      <c r="F696" t="s">
        <v>971</v>
      </c>
      <c r="G696" t="s">
        <v>991</v>
      </c>
      <c r="H696" t="s">
        <v>977</v>
      </c>
      <c r="I696">
        <v>69</v>
      </c>
      <c r="J696" s="3">
        <v>66.510000000000005</v>
      </c>
      <c r="K696" s="3">
        <v>4589.1899999999996</v>
      </c>
      <c r="L696">
        <v>333</v>
      </c>
      <c r="M696" t="s">
        <v>466</v>
      </c>
      <c r="N696" s="16">
        <f t="shared" si="51"/>
        <v>45717</v>
      </c>
      <c r="O696" t="s">
        <v>469</v>
      </c>
      <c r="P696" t="str">
        <f t="shared" si="52"/>
        <v>March 2025</v>
      </c>
      <c r="Q696" t="s">
        <v>959</v>
      </c>
      <c r="R696" s="8">
        <v>18704.09</v>
      </c>
      <c r="S696" s="8">
        <f t="shared" si="53"/>
        <v>23293.279999999999</v>
      </c>
      <c r="T696" s="6">
        <f t="shared" si="54"/>
        <v>3</v>
      </c>
    </row>
    <row r="697" spans="1:20" x14ac:dyDescent="0.3">
      <c r="A697" t="s">
        <v>1778</v>
      </c>
      <c r="B697" s="13" t="s">
        <v>316</v>
      </c>
      <c r="C697" s="16">
        <f t="shared" si="50"/>
        <v>45748</v>
      </c>
      <c r="D697" t="s">
        <v>955</v>
      </c>
      <c r="E697" t="s">
        <v>962</v>
      </c>
      <c r="F697" t="s">
        <v>971</v>
      </c>
      <c r="G697" t="s">
        <v>957</v>
      </c>
      <c r="H697" t="s">
        <v>977</v>
      </c>
      <c r="I697">
        <v>1080</v>
      </c>
      <c r="J697" s="3">
        <v>727.81</v>
      </c>
      <c r="K697" s="3">
        <v>786034.8</v>
      </c>
      <c r="L697">
        <v>303</v>
      </c>
      <c r="M697" t="s">
        <v>539</v>
      </c>
      <c r="N697" s="16">
        <f t="shared" si="51"/>
        <v>45748</v>
      </c>
      <c r="O697" t="s">
        <v>598</v>
      </c>
      <c r="P697" t="str">
        <f t="shared" si="52"/>
        <v>April 2025</v>
      </c>
      <c r="Q697" t="s">
        <v>959</v>
      </c>
      <c r="R697" s="8">
        <v>13123.05</v>
      </c>
      <c r="S697" s="8">
        <f t="shared" si="53"/>
        <v>799157.85000000009</v>
      </c>
      <c r="T697" s="6">
        <f t="shared" si="54"/>
        <v>3</v>
      </c>
    </row>
    <row r="698" spans="1:20" x14ac:dyDescent="0.3">
      <c r="A698" t="s">
        <v>1779</v>
      </c>
      <c r="B698" s="13" t="s">
        <v>545</v>
      </c>
      <c r="C698" s="16">
        <f t="shared" si="50"/>
        <v>45658</v>
      </c>
      <c r="D698" t="s">
        <v>1003</v>
      </c>
      <c r="E698" t="s">
        <v>43</v>
      </c>
      <c r="F698" t="s">
        <v>980</v>
      </c>
      <c r="G698" t="s">
        <v>1045</v>
      </c>
      <c r="H698" t="s">
        <v>982</v>
      </c>
      <c r="I698">
        <v>837</v>
      </c>
      <c r="J698" s="3">
        <v>397.91</v>
      </c>
      <c r="K698" s="3">
        <v>333050.67</v>
      </c>
      <c r="L698">
        <v>665</v>
      </c>
      <c r="M698" t="s">
        <v>691</v>
      </c>
      <c r="N698" s="16">
        <f t="shared" si="51"/>
        <v>45658</v>
      </c>
      <c r="O698" t="s">
        <v>691</v>
      </c>
      <c r="P698" t="str">
        <f t="shared" si="52"/>
        <v>January 2025</v>
      </c>
      <c r="Q698" t="s">
        <v>966</v>
      </c>
      <c r="R698" s="8">
        <v>35485.26</v>
      </c>
      <c r="S698" s="8">
        <f t="shared" si="53"/>
        <v>368535.93</v>
      </c>
      <c r="T698" s="6">
        <f t="shared" si="54"/>
        <v>0</v>
      </c>
    </row>
    <row r="699" spans="1:20" x14ac:dyDescent="0.3">
      <c r="A699" t="s">
        <v>1780</v>
      </c>
      <c r="B699" s="13" t="s">
        <v>704</v>
      </c>
      <c r="C699" s="16">
        <f t="shared" si="50"/>
        <v>45748</v>
      </c>
      <c r="D699" t="s">
        <v>975</v>
      </c>
      <c r="E699" t="s">
        <v>987</v>
      </c>
      <c r="F699" t="s">
        <v>963</v>
      </c>
      <c r="G699" t="s">
        <v>1132</v>
      </c>
      <c r="H699" t="s">
        <v>1000</v>
      </c>
      <c r="I699">
        <v>320</v>
      </c>
      <c r="J699" s="3">
        <v>722.38</v>
      </c>
      <c r="K699" s="3">
        <v>231161.60000000001</v>
      </c>
      <c r="L699">
        <v>710</v>
      </c>
      <c r="M699" t="s">
        <v>426</v>
      </c>
      <c r="N699" s="16">
        <f t="shared" si="51"/>
        <v>45748</v>
      </c>
      <c r="O699" t="s">
        <v>426</v>
      </c>
      <c r="P699" t="str">
        <f t="shared" si="52"/>
        <v>April 2025</v>
      </c>
      <c r="Q699" t="s">
        <v>966</v>
      </c>
      <c r="R699" s="8">
        <v>43523.44</v>
      </c>
      <c r="S699" s="8">
        <f t="shared" si="53"/>
        <v>274685.04000000004</v>
      </c>
      <c r="T699" s="6">
        <f t="shared" si="54"/>
        <v>0</v>
      </c>
    </row>
    <row r="700" spans="1:20" x14ac:dyDescent="0.3">
      <c r="A700" t="s">
        <v>1781</v>
      </c>
      <c r="B700" s="13" t="s">
        <v>1020</v>
      </c>
      <c r="C700" s="16">
        <f t="shared" si="50"/>
        <v>45839</v>
      </c>
      <c r="D700" t="s">
        <v>1021</v>
      </c>
      <c r="E700" t="s">
        <v>987</v>
      </c>
      <c r="F700" t="s">
        <v>956</v>
      </c>
      <c r="G700" t="s">
        <v>1072</v>
      </c>
      <c r="H700" t="s">
        <v>973</v>
      </c>
      <c r="I700">
        <v>534</v>
      </c>
      <c r="J700" s="3">
        <v>112.49</v>
      </c>
      <c r="K700" s="3">
        <v>60069.66</v>
      </c>
      <c r="L700">
        <v>237</v>
      </c>
      <c r="M700" t="s">
        <v>254</v>
      </c>
      <c r="N700" s="16">
        <f t="shared" si="51"/>
        <v>45839</v>
      </c>
      <c r="O700" t="s">
        <v>1127</v>
      </c>
      <c r="P700" t="str">
        <f t="shared" si="52"/>
        <v>July 2025</v>
      </c>
      <c r="Q700" t="s">
        <v>959</v>
      </c>
      <c r="R700" s="8">
        <v>11823.61</v>
      </c>
      <c r="S700" s="8">
        <f t="shared" si="53"/>
        <v>71893.27</v>
      </c>
      <c r="T700" s="6">
        <f t="shared" si="54"/>
        <v>2</v>
      </c>
    </row>
    <row r="701" spans="1:20" x14ac:dyDescent="0.3">
      <c r="A701" t="s">
        <v>1782</v>
      </c>
      <c r="B701" s="13" t="s">
        <v>307</v>
      </c>
      <c r="C701" s="16">
        <f t="shared" si="50"/>
        <v>45658</v>
      </c>
      <c r="D701" t="s">
        <v>955</v>
      </c>
      <c r="E701" t="s">
        <v>990</v>
      </c>
      <c r="F701" t="s">
        <v>980</v>
      </c>
      <c r="G701" t="s">
        <v>994</v>
      </c>
      <c r="H701" t="s">
        <v>1023</v>
      </c>
      <c r="I701">
        <v>2303</v>
      </c>
      <c r="J701" s="3">
        <v>605.47</v>
      </c>
      <c r="K701" s="3">
        <v>1394397.41</v>
      </c>
      <c r="L701">
        <v>405</v>
      </c>
      <c r="M701" t="s">
        <v>970</v>
      </c>
      <c r="N701" s="16">
        <f t="shared" si="51"/>
        <v>45658</v>
      </c>
      <c r="O701" t="s">
        <v>613</v>
      </c>
      <c r="P701" t="str">
        <f t="shared" si="52"/>
        <v>January 2025</v>
      </c>
      <c r="Q701" t="s">
        <v>959</v>
      </c>
      <c r="R701" s="8">
        <v>19682.71</v>
      </c>
      <c r="S701" s="8">
        <f t="shared" si="53"/>
        <v>1414080.1199999999</v>
      </c>
      <c r="T701" s="6">
        <f t="shared" si="54"/>
        <v>2</v>
      </c>
    </row>
    <row r="702" spans="1:20" x14ac:dyDescent="0.3">
      <c r="A702" t="s">
        <v>1783</v>
      </c>
      <c r="B702" s="13" t="s">
        <v>345</v>
      </c>
      <c r="C702" s="16">
        <f t="shared" si="50"/>
        <v>45658</v>
      </c>
      <c r="D702" t="s">
        <v>975</v>
      </c>
      <c r="E702" t="s">
        <v>987</v>
      </c>
      <c r="F702" t="s">
        <v>963</v>
      </c>
      <c r="G702" t="s">
        <v>964</v>
      </c>
      <c r="H702" t="s">
        <v>992</v>
      </c>
      <c r="I702">
        <v>1005</v>
      </c>
      <c r="J702" s="3">
        <v>475.18</v>
      </c>
      <c r="K702" s="3">
        <v>477555.9</v>
      </c>
      <c r="L702">
        <v>499</v>
      </c>
      <c r="M702" t="s">
        <v>1118</v>
      </c>
      <c r="N702" s="16">
        <f t="shared" si="51"/>
        <v>45658</v>
      </c>
      <c r="O702" t="s">
        <v>1118</v>
      </c>
      <c r="P702" t="str">
        <f t="shared" si="52"/>
        <v>January 2025</v>
      </c>
      <c r="Q702" t="s">
        <v>966</v>
      </c>
      <c r="R702" s="8">
        <v>28268.62</v>
      </c>
      <c r="S702" s="8">
        <f t="shared" si="53"/>
        <v>505824.52</v>
      </c>
      <c r="T702" s="6">
        <f t="shared" si="54"/>
        <v>0</v>
      </c>
    </row>
    <row r="703" spans="1:20" x14ac:dyDescent="0.3">
      <c r="A703" t="s">
        <v>1784</v>
      </c>
      <c r="B703" s="13" t="s">
        <v>428</v>
      </c>
      <c r="C703" s="16">
        <f t="shared" si="50"/>
        <v>45931</v>
      </c>
      <c r="D703" t="s">
        <v>955</v>
      </c>
      <c r="E703" t="s">
        <v>962</v>
      </c>
      <c r="F703" t="s">
        <v>956</v>
      </c>
      <c r="G703" t="s">
        <v>1004</v>
      </c>
      <c r="H703" t="s">
        <v>1000</v>
      </c>
      <c r="I703">
        <v>1070</v>
      </c>
      <c r="J703" s="3">
        <v>66.849999999999994</v>
      </c>
      <c r="K703" s="3">
        <v>71529.5</v>
      </c>
      <c r="L703">
        <v>124</v>
      </c>
      <c r="M703" t="s">
        <v>1198</v>
      </c>
      <c r="N703" s="16">
        <f t="shared" si="51"/>
        <v>45931</v>
      </c>
      <c r="O703" t="s">
        <v>311</v>
      </c>
      <c r="P703" t="str">
        <f t="shared" si="52"/>
        <v>October 2025</v>
      </c>
      <c r="Q703" t="s">
        <v>959</v>
      </c>
      <c r="R703" s="8">
        <v>5844.23</v>
      </c>
      <c r="S703" s="8">
        <f t="shared" si="53"/>
        <v>77373.73</v>
      </c>
      <c r="T703" s="6">
        <f t="shared" si="54"/>
        <v>3</v>
      </c>
    </row>
    <row r="704" spans="1:20" x14ac:dyDescent="0.3">
      <c r="A704" t="s">
        <v>1785</v>
      </c>
      <c r="B704" s="13" t="s">
        <v>313</v>
      </c>
      <c r="C704" s="16">
        <f t="shared" si="50"/>
        <v>45658</v>
      </c>
      <c r="D704" t="s">
        <v>1003</v>
      </c>
      <c r="E704" t="s">
        <v>43</v>
      </c>
      <c r="F704" t="s">
        <v>980</v>
      </c>
      <c r="G704" t="s">
        <v>994</v>
      </c>
      <c r="H704" t="s">
        <v>1018</v>
      </c>
      <c r="I704">
        <v>737</v>
      </c>
      <c r="J704" s="3">
        <v>738.15</v>
      </c>
      <c r="K704" s="3">
        <v>544016.55000000005</v>
      </c>
      <c r="L704">
        <v>88</v>
      </c>
      <c r="M704" t="s">
        <v>1112</v>
      </c>
      <c r="N704" s="16">
        <f t="shared" si="51"/>
        <v>45658</v>
      </c>
      <c r="O704" t="s">
        <v>1545</v>
      </c>
      <c r="P704" t="str">
        <f t="shared" si="52"/>
        <v>January 2025</v>
      </c>
      <c r="Q704" t="s">
        <v>959</v>
      </c>
      <c r="R704" s="8">
        <v>4388.3500000000004</v>
      </c>
      <c r="S704" s="8">
        <f t="shared" si="53"/>
        <v>548404.9</v>
      </c>
      <c r="T704" s="6">
        <f t="shared" si="54"/>
        <v>3</v>
      </c>
    </row>
    <row r="705" spans="1:20" x14ac:dyDescent="0.3">
      <c r="A705" t="s">
        <v>1786</v>
      </c>
      <c r="B705" s="13" t="s">
        <v>1187</v>
      </c>
      <c r="C705" s="16">
        <f t="shared" si="50"/>
        <v>45778</v>
      </c>
      <c r="D705" t="s">
        <v>955</v>
      </c>
      <c r="E705" t="s">
        <v>43</v>
      </c>
      <c r="F705" t="s">
        <v>971</v>
      </c>
      <c r="G705" t="s">
        <v>1004</v>
      </c>
      <c r="H705" t="s">
        <v>1018</v>
      </c>
      <c r="I705">
        <v>1946</v>
      </c>
      <c r="J705" s="3">
        <v>761.64</v>
      </c>
      <c r="K705" s="3">
        <v>1482151.44</v>
      </c>
      <c r="L705">
        <v>377</v>
      </c>
      <c r="M705" t="s">
        <v>371</v>
      </c>
      <c r="N705" s="16">
        <f t="shared" si="51"/>
        <v>45778</v>
      </c>
      <c r="O705" t="s">
        <v>1097</v>
      </c>
      <c r="P705" t="str">
        <f t="shared" si="52"/>
        <v>May 2025</v>
      </c>
      <c r="Q705" t="s">
        <v>959</v>
      </c>
      <c r="R705" s="8">
        <v>20409.53</v>
      </c>
      <c r="S705" s="8">
        <f t="shared" si="53"/>
        <v>1502560.97</v>
      </c>
      <c r="T705" s="6">
        <f t="shared" si="54"/>
        <v>3</v>
      </c>
    </row>
    <row r="706" spans="1:20" x14ac:dyDescent="0.3">
      <c r="A706" t="s">
        <v>1787</v>
      </c>
      <c r="B706" s="13" t="s">
        <v>1210</v>
      </c>
      <c r="C706" s="16">
        <f t="shared" si="50"/>
        <v>45778</v>
      </c>
      <c r="D706" t="s">
        <v>961</v>
      </c>
      <c r="E706" t="s">
        <v>990</v>
      </c>
      <c r="F706" t="s">
        <v>980</v>
      </c>
      <c r="G706" t="s">
        <v>1026</v>
      </c>
      <c r="H706" t="s">
        <v>992</v>
      </c>
      <c r="I706">
        <v>557</v>
      </c>
      <c r="J706" s="3">
        <v>841.61</v>
      </c>
      <c r="K706" s="3">
        <v>468776.77</v>
      </c>
      <c r="L706">
        <v>647</v>
      </c>
      <c r="M706" t="s">
        <v>293</v>
      </c>
      <c r="N706" s="16">
        <f t="shared" si="51"/>
        <v>45778</v>
      </c>
      <c r="O706" t="s">
        <v>1069</v>
      </c>
      <c r="P706" t="str">
        <f t="shared" si="52"/>
        <v>May 2025</v>
      </c>
      <c r="Q706" t="s">
        <v>959</v>
      </c>
      <c r="R706" s="8">
        <v>31846.76</v>
      </c>
      <c r="S706" s="8">
        <f t="shared" si="53"/>
        <v>500623.53</v>
      </c>
      <c r="T706" s="6">
        <f t="shared" si="54"/>
        <v>1</v>
      </c>
    </row>
    <row r="707" spans="1:20" x14ac:dyDescent="0.3">
      <c r="A707" t="s">
        <v>1788</v>
      </c>
      <c r="B707" s="13" t="s">
        <v>1453</v>
      </c>
      <c r="C707" s="16">
        <f t="shared" ref="C707:C770" si="55">DATE(YEAR(B707), MONTH(B707), 1)</f>
        <v>45658</v>
      </c>
      <c r="D707" t="s">
        <v>1003</v>
      </c>
      <c r="E707" t="s">
        <v>49</v>
      </c>
      <c r="F707" t="s">
        <v>963</v>
      </c>
      <c r="G707" t="s">
        <v>994</v>
      </c>
      <c r="H707" t="s">
        <v>1023</v>
      </c>
      <c r="I707">
        <v>440</v>
      </c>
      <c r="J707" s="3">
        <v>826.75</v>
      </c>
      <c r="K707" s="3">
        <v>363770</v>
      </c>
      <c r="L707">
        <v>50</v>
      </c>
      <c r="M707" t="s">
        <v>691</v>
      </c>
      <c r="N707" s="16">
        <f t="shared" ref="N707:N770" si="56">DATE(YEAR(M707), MONTH(M707),1)</f>
        <v>45658</v>
      </c>
      <c r="O707" t="s">
        <v>1453</v>
      </c>
      <c r="P707" t="str">
        <f t="shared" ref="P707:P770" si="57">TEXT(O707, "mmmm yyyy")</f>
        <v>January 2025</v>
      </c>
      <c r="Q707" t="s">
        <v>966</v>
      </c>
      <c r="R707" s="8">
        <v>2799.8</v>
      </c>
      <c r="S707" s="8">
        <f t="shared" ref="S707:S770" si="58">K707 +R707</f>
        <v>366569.8</v>
      </c>
      <c r="T707" s="6">
        <f t="shared" si="54"/>
        <v>-1</v>
      </c>
    </row>
    <row r="708" spans="1:20" x14ac:dyDescent="0.3">
      <c r="A708" t="s">
        <v>1789</v>
      </c>
      <c r="B708" s="13" t="s">
        <v>482</v>
      </c>
      <c r="C708" s="16">
        <f t="shared" si="55"/>
        <v>45931</v>
      </c>
      <c r="D708" t="s">
        <v>975</v>
      </c>
      <c r="E708" t="s">
        <v>43</v>
      </c>
      <c r="F708" t="s">
        <v>956</v>
      </c>
      <c r="G708" t="s">
        <v>1036</v>
      </c>
      <c r="H708" t="s">
        <v>958</v>
      </c>
      <c r="I708">
        <v>446</v>
      </c>
      <c r="J708" s="3">
        <v>556.91999999999996</v>
      </c>
      <c r="K708" s="3">
        <v>248386.32</v>
      </c>
      <c r="L708">
        <v>298</v>
      </c>
      <c r="M708" t="s">
        <v>176</v>
      </c>
      <c r="N708" s="16">
        <f t="shared" si="56"/>
        <v>45931</v>
      </c>
      <c r="O708" t="s">
        <v>1055</v>
      </c>
      <c r="P708" t="str">
        <f t="shared" si="57"/>
        <v>October 2025</v>
      </c>
      <c r="Q708" t="s">
        <v>959</v>
      </c>
      <c r="R708" s="8">
        <v>12363.12</v>
      </c>
      <c r="S708" s="8">
        <f t="shared" si="58"/>
        <v>260749.44</v>
      </c>
      <c r="T708" s="6">
        <f t="shared" ref="T708:T771" si="59">O708 -M708</f>
        <v>1</v>
      </c>
    </row>
    <row r="709" spans="1:20" x14ac:dyDescent="0.3">
      <c r="A709" t="s">
        <v>1790</v>
      </c>
      <c r="B709" s="13" t="s">
        <v>261</v>
      </c>
      <c r="C709" s="16">
        <f t="shared" si="55"/>
        <v>45717</v>
      </c>
      <c r="D709" t="s">
        <v>975</v>
      </c>
      <c r="E709" t="s">
        <v>33</v>
      </c>
      <c r="F709" t="s">
        <v>980</v>
      </c>
      <c r="G709" t="s">
        <v>1221</v>
      </c>
      <c r="H709" t="s">
        <v>992</v>
      </c>
      <c r="I709">
        <v>2369</v>
      </c>
      <c r="J709" s="3">
        <v>780.45</v>
      </c>
      <c r="K709" s="3">
        <v>1848886.05</v>
      </c>
      <c r="L709">
        <v>247</v>
      </c>
      <c r="M709" t="s">
        <v>817</v>
      </c>
      <c r="N709" s="16">
        <f t="shared" si="56"/>
        <v>45748</v>
      </c>
      <c r="O709" t="s">
        <v>785</v>
      </c>
      <c r="P709" t="str">
        <f t="shared" si="57"/>
        <v>April 2025</v>
      </c>
      <c r="Q709" t="s">
        <v>959</v>
      </c>
      <c r="R709" s="8">
        <v>15047.4</v>
      </c>
      <c r="S709" s="8">
        <f t="shared" si="58"/>
        <v>1863933.45</v>
      </c>
      <c r="T709" s="6">
        <f t="shared" si="59"/>
        <v>1</v>
      </c>
    </row>
    <row r="710" spans="1:20" x14ac:dyDescent="0.3">
      <c r="A710" t="s">
        <v>1791</v>
      </c>
      <c r="B710" s="13" t="s">
        <v>520</v>
      </c>
      <c r="C710" s="16">
        <f t="shared" si="55"/>
        <v>45839</v>
      </c>
      <c r="D710" t="s">
        <v>955</v>
      </c>
      <c r="E710" t="s">
        <v>987</v>
      </c>
      <c r="F710" t="s">
        <v>963</v>
      </c>
      <c r="G710" t="s">
        <v>1051</v>
      </c>
      <c r="H710" t="s">
        <v>965</v>
      </c>
      <c r="I710">
        <v>1015</v>
      </c>
      <c r="J710" s="3">
        <v>525.70000000000005</v>
      </c>
      <c r="K710" s="3">
        <v>533585.5</v>
      </c>
      <c r="L710">
        <v>452</v>
      </c>
      <c r="M710" t="s">
        <v>852</v>
      </c>
      <c r="N710" s="16">
        <f t="shared" si="56"/>
        <v>45839</v>
      </c>
      <c r="O710" t="s">
        <v>430</v>
      </c>
      <c r="P710" t="str">
        <f t="shared" si="57"/>
        <v>July 2025</v>
      </c>
      <c r="Q710" t="s">
        <v>959</v>
      </c>
      <c r="R710" s="8">
        <v>17109.63</v>
      </c>
      <c r="S710" s="8">
        <f t="shared" si="58"/>
        <v>550695.13</v>
      </c>
      <c r="T710" s="6">
        <f t="shared" si="59"/>
        <v>1</v>
      </c>
    </row>
    <row r="711" spans="1:20" x14ac:dyDescent="0.3">
      <c r="A711" t="s">
        <v>1792</v>
      </c>
      <c r="B711" s="13" t="s">
        <v>186</v>
      </c>
      <c r="C711" s="16">
        <f t="shared" si="55"/>
        <v>45809</v>
      </c>
      <c r="D711" t="s">
        <v>975</v>
      </c>
      <c r="E711" t="s">
        <v>962</v>
      </c>
      <c r="F711" t="s">
        <v>956</v>
      </c>
      <c r="G711" t="s">
        <v>1078</v>
      </c>
      <c r="H711" t="s">
        <v>992</v>
      </c>
      <c r="I711">
        <v>1563</v>
      </c>
      <c r="J711" s="3">
        <v>357.66</v>
      </c>
      <c r="K711" s="3">
        <v>559022.57999999996</v>
      </c>
      <c r="L711">
        <v>534</v>
      </c>
      <c r="M711" t="s">
        <v>1245</v>
      </c>
      <c r="N711" s="16">
        <f t="shared" si="56"/>
        <v>45809</v>
      </c>
      <c r="O711" t="s">
        <v>1245</v>
      </c>
      <c r="P711" t="str">
        <f t="shared" si="57"/>
        <v>June 2025</v>
      </c>
      <c r="Q711" t="s">
        <v>966</v>
      </c>
      <c r="R711" s="8">
        <v>30714.61</v>
      </c>
      <c r="S711" s="8">
        <f t="shared" si="58"/>
        <v>589737.18999999994</v>
      </c>
      <c r="T711" s="6">
        <f t="shared" si="59"/>
        <v>0</v>
      </c>
    </row>
    <row r="712" spans="1:20" x14ac:dyDescent="0.3">
      <c r="A712" t="s">
        <v>1793</v>
      </c>
      <c r="B712" s="13" t="s">
        <v>258</v>
      </c>
      <c r="C712" s="16">
        <f t="shared" si="55"/>
        <v>45658</v>
      </c>
      <c r="D712" t="s">
        <v>1011</v>
      </c>
      <c r="E712" t="s">
        <v>962</v>
      </c>
      <c r="F712" t="s">
        <v>956</v>
      </c>
      <c r="G712" t="s">
        <v>1132</v>
      </c>
      <c r="H712" t="s">
        <v>1023</v>
      </c>
      <c r="I712">
        <v>2061</v>
      </c>
      <c r="J712" s="3">
        <v>639.1</v>
      </c>
      <c r="K712" s="3">
        <v>1317185.1000000001</v>
      </c>
      <c r="L712">
        <v>685</v>
      </c>
      <c r="M712" t="s">
        <v>149</v>
      </c>
      <c r="N712" s="16">
        <f t="shared" si="56"/>
        <v>45658</v>
      </c>
      <c r="O712" t="s">
        <v>903</v>
      </c>
      <c r="P712" t="str">
        <f t="shared" si="57"/>
        <v>January 2025</v>
      </c>
      <c r="Q712" t="s">
        <v>959</v>
      </c>
      <c r="R712" s="8">
        <v>24678.18</v>
      </c>
      <c r="S712" s="8">
        <f t="shared" si="58"/>
        <v>1341863.28</v>
      </c>
      <c r="T712" s="6">
        <f t="shared" si="59"/>
        <v>2</v>
      </c>
    </row>
    <row r="713" spans="1:20" x14ac:dyDescent="0.3">
      <c r="A713" t="s">
        <v>1794</v>
      </c>
      <c r="B713" s="13" t="s">
        <v>1723</v>
      </c>
      <c r="C713" s="16">
        <f t="shared" si="55"/>
        <v>45962</v>
      </c>
      <c r="D713" t="s">
        <v>1021</v>
      </c>
      <c r="E713" t="s">
        <v>43</v>
      </c>
      <c r="F713" t="s">
        <v>963</v>
      </c>
      <c r="G713" t="s">
        <v>1012</v>
      </c>
      <c r="H713" t="s">
        <v>1018</v>
      </c>
      <c r="I713">
        <v>532</v>
      </c>
      <c r="J713" s="3">
        <v>842.1</v>
      </c>
      <c r="K713" s="3">
        <v>447997.2</v>
      </c>
      <c r="L713">
        <v>28</v>
      </c>
      <c r="M713" t="s">
        <v>318</v>
      </c>
      <c r="N713" s="16">
        <f t="shared" si="56"/>
        <v>45992</v>
      </c>
      <c r="O713" t="s">
        <v>1723</v>
      </c>
      <c r="P713" t="str">
        <f t="shared" si="57"/>
        <v>November 2025</v>
      </c>
      <c r="Q713" t="s">
        <v>966</v>
      </c>
      <c r="R713" s="8">
        <v>1697.38</v>
      </c>
      <c r="S713" s="8">
        <f t="shared" si="58"/>
        <v>449694.58</v>
      </c>
      <c r="T713" s="6">
        <f t="shared" si="59"/>
        <v>-1</v>
      </c>
    </row>
    <row r="714" spans="1:20" x14ac:dyDescent="0.3">
      <c r="A714" t="s">
        <v>1795</v>
      </c>
      <c r="B714" s="13" t="s">
        <v>154</v>
      </c>
      <c r="C714" s="16">
        <f t="shared" si="55"/>
        <v>45901</v>
      </c>
      <c r="D714" t="s">
        <v>984</v>
      </c>
      <c r="E714" t="s">
        <v>987</v>
      </c>
      <c r="F714" t="s">
        <v>971</v>
      </c>
      <c r="G714" t="s">
        <v>991</v>
      </c>
      <c r="H714" t="s">
        <v>958</v>
      </c>
      <c r="I714">
        <v>324</v>
      </c>
      <c r="J714" s="3">
        <v>264.79000000000002</v>
      </c>
      <c r="K714" s="3">
        <v>85791.96</v>
      </c>
      <c r="L714">
        <v>64</v>
      </c>
      <c r="M714" t="s">
        <v>648</v>
      </c>
      <c r="N714" s="16">
        <f t="shared" si="56"/>
        <v>45901</v>
      </c>
      <c r="O714" t="s">
        <v>648</v>
      </c>
      <c r="P714" t="str">
        <f t="shared" si="57"/>
        <v>September 2025</v>
      </c>
      <c r="Q714" t="s">
        <v>966</v>
      </c>
      <c r="R714" s="8">
        <v>3923.38</v>
      </c>
      <c r="S714" s="8">
        <f t="shared" si="58"/>
        <v>89715.340000000011</v>
      </c>
      <c r="T714" s="6">
        <f t="shared" si="59"/>
        <v>0</v>
      </c>
    </row>
    <row r="715" spans="1:20" x14ac:dyDescent="0.3">
      <c r="A715" t="s">
        <v>1796</v>
      </c>
      <c r="B715" s="13" t="s">
        <v>624</v>
      </c>
      <c r="C715" s="16">
        <f t="shared" si="55"/>
        <v>45962</v>
      </c>
      <c r="D715" t="s">
        <v>984</v>
      </c>
      <c r="E715" t="s">
        <v>49</v>
      </c>
      <c r="F715" t="s">
        <v>980</v>
      </c>
      <c r="G715" t="s">
        <v>985</v>
      </c>
      <c r="H715" t="s">
        <v>1023</v>
      </c>
      <c r="I715">
        <v>888</v>
      </c>
      <c r="J715" s="3">
        <v>476.18</v>
      </c>
      <c r="K715" s="3">
        <v>422847.84</v>
      </c>
      <c r="L715">
        <v>621</v>
      </c>
      <c r="M715" t="s">
        <v>536</v>
      </c>
      <c r="N715" s="16">
        <f t="shared" si="56"/>
        <v>45962</v>
      </c>
      <c r="O715" t="s">
        <v>270</v>
      </c>
      <c r="P715" t="str">
        <f t="shared" si="57"/>
        <v>November 2025</v>
      </c>
      <c r="Q715" t="s">
        <v>959</v>
      </c>
      <c r="R715" s="8">
        <v>32828.65</v>
      </c>
      <c r="S715" s="8">
        <f t="shared" si="58"/>
        <v>455676.49000000005</v>
      </c>
      <c r="T715" s="6">
        <f t="shared" si="59"/>
        <v>2</v>
      </c>
    </row>
    <row r="716" spans="1:20" x14ac:dyDescent="0.3">
      <c r="A716" t="s">
        <v>1797</v>
      </c>
      <c r="B716" s="13" t="s">
        <v>343</v>
      </c>
      <c r="C716" s="16">
        <f t="shared" si="55"/>
        <v>45778</v>
      </c>
      <c r="D716" t="s">
        <v>955</v>
      </c>
      <c r="E716" t="s">
        <v>962</v>
      </c>
      <c r="F716" t="s">
        <v>971</v>
      </c>
      <c r="G716" t="s">
        <v>1057</v>
      </c>
      <c r="H716" t="s">
        <v>977</v>
      </c>
      <c r="I716">
        <v>1541</v>
      </c>
      <c r="J716" s="3">
        <v>600.45000000000005</v>
      </c>
      <c r="K716" s="3">
        <v>925293.45</v>
      </c>
      <c r="L716">
        <v>194</v>
      </c>
      <c r="M716" t="s">
        <v>387</v>
      </c>
      <c r="N716" s="16">
        <f t="shared" si="56"/>
        <v>45778</v>
      </c>
      <c r="O716" t="s">
        <v>293</v>
      </c>
      <c r="P716" t="str">
        <f t="shared" si="57"/>
        <v>May 2025</v>
      </c>
      <c r="Q716" t="s">
        <v>959</v>
      </c>
      <c r="R716" s="8">
        <v>7552.64</v>
      </c>
      <c r="S716" s="8">
        <f t="shared" si="58"/>
        <v>932846.09</v>
      </c>
      <c r="T716" s="6">
        <f t="shared" si="59"/>
        <v>3</v>
      </c>
    </row>
    <row r="717" spans="1:20" x14ac:dyDescent="0.3">
      <c r="A717" t="s">
        <v>1798</v>
      </c>
      <c r="B717" s="13" t="s">
        <v>1069</v>
      </c>
      <c r="C717" s="16">
        <f t="shared" si="55"/>
        <v>45778</v>
      </c>
      <c r="D717" t="s">
        <v>1011</v>
      </c>
      <c r="E717" t="s">
        <v>49</v>
      </c>
      <c r="F717" t="s">
        <v>971</v>
      </c>
      <c r="G717" t="s">
        <v>1152</v>
      </c>
      <c r="H717" t="s">
        <v>1034</v>
      </c>
      <c r="I717">
        <v>1710</v>
      </c>
      <c r="J717" s="3">
        <v>675.15</v>
      </c>
      <c r="K717" s="3">
        <v>1154506.5</v>
      </c>
      <c r="L717">
        <v>347</v>
      </c>
      <c r="M717" t="s">
        <v>1125</v>
      </c>
      <c r="N717" s="16">
        <f t="shared" si="56"/>
        <v>45778</v>
      </c>
      <c r="O717" t="s">
        <v>1125</v>
      </c>
      <c r="P717" t="str">
        <f t="shared" si="57"/>
        <v>May 2025</v>
      </c>
      <c r="Q717" t="s">
        <v>966</v>
      </c>
      <c r="R717" s="8">
        <v>14429.46</v>
      </c>
      <c r="S717" s="8">
        <f t="shared" si="58"/>
        <v>1168935.96</v>
      </c>
      <c r="T717" s="6">
        <f t="shared" si="59"/>
        <v>0</v>
      </c>
    </row>
    <row r="718" spans="1:20" x14ac:dyDescent="0.3">
      <c r="A718" t="s">
        <v>1799</v>
      </c>
      <c r="B718" s="13" t="s">
        <v>528</v>
      </c>
      <c r="C718" s="16">
        <f t="shared" si="55"/>
        <v>45992</v>
      </c>
      <c r="D718" t="s">
        <v>1011</v>
      </c>
      <c r="E718" t="s">
        <v>962</v>
      </c>
      <c r="F718" t="s">
        <v>963</v>
      </c>
      <c r="G718" t="s">
        <v>1040</v>
      </c>
      <c r="H718" t="s">
        <v>992</v>
      </c>
      <c r="I718">
        <v>2175</v>
      </c>
      <c r="J718" s="3">
        <v>256.2</v>
      </c>
      <c r="K718" s="3">
        <v>557235</v>
      </c>
      <c r="L718">
        <v>404</v>
      </c>
      <c r="M718" t="s">
        <v>380</v>
      </c>
      <c r="N718" s="16">
        <f t="shared" si="56"/>
        <v>45992</v>
      </c>
      <c r="O718" t="s">
        <v>130</v>
      </c>
      <c r="P718" t="str">
        <f t="shared" si="57"/>
        <v>December 2025</v>
      </c>
      <c r="Q718" t="s">
        <v>959</v>
      </c>
      <c r="R718" s="8">
        <v>19105.71</v>
      </c>
      <c r="S718" s="8">
        <f t="shared" si="58"/>
        <v>576340.71</v>
      </c>
      <c r="T718" s="6">
        <f t="shared" si="59"/>
        <v>4</v>
      </c>
    </row>
    <row r="719" spans="1:20" x14ac:dyDescent="0.3">
      <c r="A719" t="s">
        <v>1800</v>
      </c>
      <c r="B719" s="13" t="s">
        <v>114</v>
      </c>
      <c r="C719" s="16">
        <f t="shared" si="55"/>
        <v>45931</v>
      </c>
      <c r="D719" t="s">
        <v>955</v>
      </c>
      <c r="E719" t="s">
        <v>990</v>
      </c>
      <c r="F719" t="s">
        <v>971</v>
      </c>
      <c r="G719" t="s">
        <v>1040</v>
      </c>
      <c r="H719" t="s">
        <v>958</v>
      </c>
      <c r="I719">
        <v>1751</v>
      </c>
      <c r="J719" s="3">
        <v>723.9</v>
      </c>
      <c r="K719" s="3">
        <v>1267548.8999999999</v>
      </c>
      <c r="L719">
        <v>262</v>
      </c>
      <c r="M719" t="s">
        <v>201</v>
      </c>
      <c r="N719" s="16">
        <f t="shared" si="56"/>
        <v>45931</v>
      </c>
      <c r="O719" t="s">
        <v>77</v>
      </c>
      <c r="P719" t="str">
        <f t="shared" si="57"/>
        <v>November 2025</v>
      </c>
      <c r="Q719" t="s">
        <v>959</v>
      </c>
      <c r="R719" s="8">
        <v>12001.06</v>
      </c>
      <c r="S719" s="8">
        <f t="shared" si="58"/>
        <v>1279549.96</v>
      </c>
      <c r="T719" s="6">
        <f t="shared" si="59"/>
        <v>3</v>
      </c>
    </row>
    <row r="720" spans="1:20" x14ac:dyDescent="0.3">
      <c r="A720" t="s">
        <v>1801</v>
      </c>
      <c r="B720" s="13" t="s">
        <v>100</v>
      </c>
      <c r="C720" s="16">
        <f t="shared" si="55"/>
        <v>45809</v>
      </c>
      <c r="D720" t="s">
        <v>955</v>
      </c>
      <c r="E720" t="s">
        <v>43</v>
      </c>
      <c r="F720" t="s">
        <v>963</v>
      </c>
      <c r="G720" t="s">
        <v>1004</v>
      </c>
      <c r="H720" t="s">
        <v>1018</v>
      </c>
      <c r="I720">
        <v>2380</v>
      </c>
      <c r="J720" s="3">
        <v>493.51</v>
      </c>
      <c r="K720" s="3">
        <v>1174553.8</v>
      </c>
      <c r="L720">
        <v>494</v>
      </c>
      <c r="M720" t="s">
        <v>416</v>
      </c>
      <c r="N720" s="16">
        <f t="shared" si="56"/>
        <v>45809</v>
      </c>
      <c r="O720" t="s">
        <v>79</v>
      </c>
      <c r="P720" t="str">
        <f t="shared" si="57"/>
        <v>June 2025</v>
      </c>
      <c r="Q720" t="s">
        <v>959</v>
      </c>
      <c r="R720" s="8">
        <v>19381.599999999999</v>
      </c>
      <c r="S720" s="8">
        <f t="shared" si="58"/>
        <v>1193935.4000000001</v>
      </c>
      <c r="T720" s="6">
        <f t="shared" si="59"/>
        <v>1</v>
      </c>
    </row>
    <row r="721" spans="1:20" x14ac:dyDescent="0.3">
      <c r="A721" t="s">
        <v>1802</v>
      </c>
      <c r="B721" s="13" t="s">
        <v>396</v>
      </c>
      <c r="C721" s="16">
        <f t="shared" si="55"/>
        <v>45809</v>
      </c>
      <c r="D721" t="s">
        <v>961</v>
      </c>
      <c r="E721" t="s">
        <v>43</v>
      </c>
      <c r="F721" t="s">
        <v>956</v>
      </c>
      <c r="G721" t="s">
        <v>1012</v>
      </c>
      <c r="H721" t="s">
        <v>1023</v>
      </c>
      <c r="I721">
        <v>1481</v>
      </c>
      <c r="J721" s="3">
        <v>354.17</v>
      </c>
      <c r="K721" s="3">
        <v>524525.77</v>
      </c>
      <c r="L721">
        <v>231</v>
      </c>
      <c r="M721" t="s">
        <v>252</v>
      </c>
      <c r="N721" s="16">
        <f t="shared" si="56"/>
        <v>45809</v>
      </c>
      <c r="O721" t="s">
        <v>145</v>
      </c>
      <c r="P721" t="str">
        <f t="shared" si="57"/>
        <v>June 2025</v>
      </c>
      <c r="Q721" t="s">
        <v>959</v>
      </c>
      <c r="R721" s="8">
        <v>10342.33</v>
      </c>
      <c r="S721" s="8">
        <f t="shared" si="58"/>
        <v>534868.1</v>
      </c>
      <c r="T721" s="6">
        <f t="shared" si="59"/>
        <v>3</v>
      </c>
    </row>
    <row r="722" spans="1:20" x14ac:dyDescent="0.3">
      <c r="A722" t="s">
        <v>1803</v>
      </c>
      <c r="B722" s="13" t="s">
        <v>506</v>
      </c>
      <c r="C722" s="16">
        <f t="shared" si="55"/>
        <v>45809</v>
      </c>
      <c r="D722" t="s">
        <v>955</v>
      </c>
      <c r="E722" t="s">
        <v>987</v>
      </c>
      <c r="F722" t="s">
        <v>963</v>
      </c>
      <c r="G722" t="s">
        <v>1038</v>
      </c>
      <c r="H722" t="s">
        <v>1034</v>
      </c>
      <c r="I722">
        <v>393</v>
      </c>
      <c r="J722" s="3">
        <v>419.42</v>
      </c>
      <c r="K722" s="3">
        <v>164832.06</v>
      </c>
      <c r="L722">
        <v>432</v>
      </c>
      <c r="M722" t="s">
        <v>737</v>
      </c>
      <c r="N722" s="16">
        <f t="shared" si="56"/>
        <v>45809</v>
      </c>
      <c r="O722" t="s">
        <v>441</v>
      </c>
      <c r="P722" t="str">
        <f t="shared" si="57"/>
        <v>June 2025</v>
      </c>
      <c r="Q722" t="s">
        <v>959</v>
      </c>
      <c r="R722" s="8">
        <v>15627.66</v>
      </c>
      <c r="S722" s="8">
        <f t="shared" si="58"/>
        <v>180459.72</v>
      </c>
      <c r="T722" s="6">
        <f t="shared" si="59"/>
        <v>1</v>
      </c>
    </row>
    <row r="723" spans="1:20" x14ac:dyDescent="0.3">
      <c r="A723" t="s">
        <v>1804</v>
      </c>
      <c r="B723" s="13" t="s">
        <v>1567</v>
      </c>
      <c r="C723" s="16">
        <f t="shared" si="55"/>
        <v>45778</v>
      </c>
      <c r="D723" t="s">
        <v>961</v>
      </c>
      <c r="E723" t="s">
        <v>962</v>
      </c>
      <c r="F723" t="s">
        <v>980</v>
      </c>
      <c r="G723" t="s">
        <v>1045</v>
      </c>
      <c r="H723" t="s">
        <v>965</v>
      </c>
      <c r="I723">
        <v>2186</v>
      </c>
      <c r="J723" s="3">
        <v>435.32</v>
      </c>
      <c r="K723" s="3">
        <v>951609.52</v>
      </c>
      <c r="L723">
        <v>170</v>
      </c>
      <c r="M723" t="s">
        <v>219</v>
      </c>
      <c r="N723" s="16">
        <f t="shared" si="56"/>
        <v>45778</v>
      </c>
      <c r="O723" t="s">
        <v>876</v>
      </c>
      <c r="P723" t="str">
        <f t="shared" si="57"/>
        <v>May 2025</v>
      </c>
      <c r="Q723" t="s">
        <v>959</v>
      </c>
      <c r="R723" s="8">
        <v>8930.92</v>
      </c>
      <c r="S723" s="8">
        <f t="shared" si="58"/>
        <v>960540.44000000006</v>
      </c>
      <c r="T723" s="6">
        <f t="shared" si="59"/>
        <v>2</v>
      </c>
    </row>
    <row r="724" spans="1:20" x14ac:dyDescent="0.3">
      <c r="A724" t="s">
        <v>1805</v>
      </c>
      <c r="B724" s="13" t="s">
        <v>562</v>
      </c>
      <c r="C724" s="16">
        <f t="shared" si="55"/>
        <v>45870</v>
      </c>
      <c r="D724" t="s">
        <v>961</v>
      </c>
      <c r="E724" t="s">
        <v>990</v>
      </c>
      <c r="F724" t="s">
        <v>963</v>
      </c>
      <c r="G724" t="s">
        <v>1221</v>
      </c>
      <c r="H724" t="s">
        <v>958</v>
      </c>
      <c r="I724">
        <v>1096</v>
      </c>
      <c r="J724" s="3">
        <v>395.97</v>
      </c>
      <c r="K724" s="3">
        <v>433983.12</v>
      </c>
      <c r="L724">
        <v>624</v>
      </c>
      <c r="M724" t="s">
        <v>242</v>
      </c>
      <c r="N724" s="16">
        <f t="shared" si="56"/>
        <v>45870</v>
      </c>
      <c r="O724" t="s">
        <v>242</v>
      </c>
      <c r="P724" t="str">
        <f t="shared" si="57"/>
        <v>August 2025</v>
      </c>
      <c r="Q724" t="s">
        <v>966</v>
      </c>
      <c r="R724" s="8">
        <v>38484.04</v>
      </c>
      <c r="S724" s="8">
        <f t="shared" si="58"/>
        <v>472467.16</v>
      </c>
      <c r="T724" s="6">
        <f t="shared" si="59"/>
        <v>0</v>
      </c>
    </row>
    <row r="725" spans="1:20" x14ac:dyDescent="0.3">
      <c r="A725" t="s">
        <v>1806</v>
      </c>
      <c r="B725" s="13" t="s">
        <v>180</v>
      </c>
      <c r="C725" s="16">
        <f t="shared" si="55"/>
        <v>45809</v>
      </c>
      <c r="D725" t="s">
        <v>961</v>
      </c>
      <c r="E725" t="s">
        <v>49</v>
      </c>
      <c r="F725" t="s">
        <v>956</v>
      </c>
      <c r="G725" t="s">
        <v>1051</v>
      </c>
      <c r="H725" t="s">
        <v>958</v>
      </c>
      <c r="I725">
        <v>1673</v>
      </c>
      <c r="J725" s="3">
        <v>403.19</v>
      </c>
      <c r="K725" s="3">
        <v>674536.87</v>
      </c>
      <c r="L725">
        <v>696</v>
      </c>
      <c r="M725" t="s">
        <v>145</v>
      </c>
      <c r="N725" s="16">
        <f t="shared" si="56"/>
        <v>45809</v>
      </c>
      <c r="O725" t="s">
        <v>145</v>
      </c>
      <c r="P725" t="str">
        <f t="shared" si="57"/>
        <v>June 2025</v>
      </c>
      <c r="Q725" t="s">
        <v>966</v>
      </c>
      <c r="R725" s="8">
        <v>27411.26</v>
      </c>
      <c r="S725" s="8">
        <f t="shared" si="58"/>
        <v>701948.13</v>
      </c>
      <c r="T725" s="6">
        <f t="shared" si="59"/>
        <v>0</v>
      </c>
    </row>
    <row r="726" spans="1:20" x14ac:dyDescent="0.3">
      <c r="A726" t="s">
        <v>1807</v>
      </c>
      <c r="B726" s="13" t="s">
        <v>785</v>
      </c>
      <c r="C726" s="16">
        <f t="shared" si="55"/>
        <v>45748</v>
      </c>
      <c r="D726" t="s">
        <v>1003</v>
      </c>
      <c r="E726" t="s">
        <v>990</v>
      </c>
      <c r="F726" t="s">
        <v>963</v>
      </c>
      <c r="G726" t="s">
        <v>985</v>
      </c>
      <c r="H726" t="s">
        <v>1000</v>
      </c>
      <c r="I726">
        <v>428</v>
      </c>
      <c r="J726" s="3">
        <v>668.52</v>
      </c>
      <c r="K726" s="3">
        <v>286126.56</v>
      </c>
      <c r="L726">
        <v>510</v>
      </c>
      <c r="M726" t="s">
        <v>604</v>
      </c>
      <c r="N726" s="16">
        <f t="shared" si="56"/>
        <v>45748</v>
      </c>
      <c r="O726" t="s">
        <v>1154</v>
      </c>
      <c r="P726" t="str">
        <f t="shared" si="57"/>
        <v>April 2025</v>
      </c>
      <c r="Q726" t="s">
        <v>966</v>
      </c>
      <c r="R726" s="8">
        <v>26578.07</v>
      </c>
      <c r="S726" s="8">
        <f t="shared" si="58"/>
        <v>312704.63</v>
      </c>
      <c r="T726" s="6">
        <f t="shared" si="59"/>
        <v>-1</v>
      </c>
    </row>
    <row r="727" spans="1:20" x14ac:dyDescent="0.3">
      <c r="A727" t="s">
        <v>1808</v>
      </c>
      <c r="B727" s="13" t="s">
        <v>64</v>
      </c>
      <c r="C727" s="16">
        <f t="shared" si="55"/>
        <v>45931</v>
      </c>
      <c r="D727" t="s">
        <v>1003</v>
      </c>
      <c r="E727" t="s">
        <v>33</v>
      </c>
      <c r="F727" t="s">
        <v>963</v>
      </c>
      <c r="G727" t="s">
        <v>1004</v>
      </c>
      <c r="H727" t="s">
        <v>982</v>
      </c>
      <c r="I727">
        <v>1449</v>
      </c>
      <c r="J727" s="3">
        <v>631.53</v>
      </c>
      <c r="K727" s="3">
        <v>915086.97</v>
      </c>
      <c r="L727">
        <v>604</v>
      </c>
      <c r="M727" t="s">
        <v>275</v>
      </c>
      <c r="N727" s="16">
        <f t="shared" si="56"/>
        <v>45931</v>
      </c>
      <c r="O727" t="s">
        <v>681</v>
      </c>
      <c r="P727" t="str">
        <f t="shared" si="57"/>
        <v>October 2025</v>
      </c>
      <c r="Q727" t="s">
        <v>959</v>
      </c>
      <c r="R727" s="8">
        <v>30941.93</v>
      </c>
      <c r="S727" s="8">
        <f t="shared" si="58"/>
        <v>946028.9</v>
      </c>
      <c r="T727" s="6">
        <f t="shared" si="59"/>
        <v>4</v>
      </c>
    </row>
    <row r="728" spans="1:20" x14ac:dyDescent="0.3">
      <c r="A728" t="s">
        <v>1809</v>
      </c>
      <c r="B728" s="13" t="s">
        <v>182</v>
      </c>
      <c r="C728" s="16">
        <f t="shared" si="55"/>
        <v>45689</v>
      </c>
      <c r="D728" t="s">
        <v>955</v>
      </c>
      <c r="E728" t="s">
        <v>987</v>
      </c>
      <c r="F728" t="s">
        <v>956</v>
      </c>
      <c r="G728" t="s">
        <v>996</v>
      </c>
      <c r="H728" t="s">
        <v>958</v>
      </c>
      <c r="I728">
        <v>530</v>
      </c>
      <c r="J728" s="3">
        <v>626.01</v>
      </c>
      <c r="K728" s="3">
        <v>331785.3</v>
      </c>
      <c r="L728">
        <v>499</v>
      </c>
      <c r="M728" t="s">
        <v>1312</v>
      </c>
      <c r="N728" s="16">
        <f t="shared" si="56"/>
        <v>45689</v>
      </c>
      <c r="O728" t="s">
        <v>1312</v>
      </c>
      <c r="P728" t="str">
        <f t="shared" si="57"/>
        <v>February 2025</v>
      </c>
      <c r="Q728" t="s">
        <v>966</v>
      </c>
      <c r="R728" s="8">
        <v>29665.95</v>
      </c>
      <c r="S728" s="8">
        <f t="shared" si="58"/>
        <v>361451.25</v>
      </c>
      <c r="T728" s="6">
        <f t="shared" si="59"/>
        <v>0</v>
      </c>
    </row>
    <row r="729" spans="1:20" x14ac:dyDescent="0.3">
      <c r="A729" t="s">
        <v>1810</v>
      </c>
      <c r="B729" s="13" t="s">
        <v>604</v>
      </c>
      <c r="C729" s="16">
        <f t="shared" si="55"/>
        <v>45748</v>
      </c>
      <c r="D729" t="s">
        <v>1011</v>
      </c>
      <c r="E729" t="s">
        <v>33</v>
      </c>
      <c r="F729" t="s">
        <v>963</v>
      </c>
      <c r="G729" t="s">
        <v>988</v>
      </c>
      <c r="H729" t="s">
        <v>1018</v>
      </c>
      <c r="I729">
        <v>1057</v>
      </c>
      <c r="J729" s="3">
        <v>784.29</v>
      </c>
      <c r="K729" s="3">
        <v>828994.53</v>
      </c>
      <c r="L729">
        <v>180</v>
      </c>
      <c r="M729" t="s">
        <v>1107</v>
      </c>
      <c r="N729" s="16">
        <f t="shared" si="56"/>
        <v>45748</v>
      </c>
      <c r="O729" t="s">
        <v>604</v>
      </c>
      <c r="P729" t="str">
        <f t="shared" si="57"/>
        <v>April 2025</v>
      </c>
      <c r="Q729" t="s">
        <v>966</v>
      </c>
      <c r="R729" s="8">
        <v>9396.33</v>
      </c>
      <c r="S729" s="8">
        <f t="shared" si="58"/>
        <v>838390.86</v>
      </c>
      <c r="T729" s="6">
        <f t="shared" si="59"/>
        <v>-1</v>
      </c>
    </row>
    <row r="730" spans="1:20" x14ac:dyDescent="0.3">
      <c r="A730" t="s">
        <v>1811</v>
      </c>
      <c r="B730" s="13" t="s">
        <v>180</v>
      </c>
      <c r="C730" s="16">
        <f t="shared" si="55"/>
        <v>45809</v>
      </c>
      <c r="D730" t="s">
        <v>1021</v>
      </c>
      <c r="E730" t="s">
        <v>43</v>
      </c>
      <c r="F730" t="s">
        <v>971</v>
      </c>
      <c r="G730" t="s">
        <v>1057</v>
      </c>
      <c r="H730" t="s">
        <v>965</v>
      </c>
      <c r="I730">
        <v>314</v>
      </c>
      <c r="J730" s="3">
        <v>454.33</v>
      </c>
      <c r="K730" s="3">
        <v>142659.62</v>
      </c>
      <c r="L730">
        <v>472</v>
      </c>
      <c r="M730" t="s">
        <v>145</v>
      </c>
      <c r="N730" s="16">
        <f t="shared" si="56"/>
        <v>45809</v>
      </c>
      <c r="O730" t="s">
        <v>174</v>
      </c>
      <c r="P730" t="str">
        <f t="shared" si="57"/>
        <v>June 2025</v>
      </c>
      <c r="Q730" t="s">
        <v>959</v>
      </c>
      <c r="R730" s="8">
        <v>16704.330000000002</v>
      </c>
      <c r="S730" s="8">
        <f t="shared" si="58"/>
        <v>159363.95000000001</v>
      </c>
      <c r="T730" s="6">
        <f t="shared" si="59"/>
        <v>1</v>
      </c>
    </row>
    <row r="731" spans="1:20" x14ac:dyDescent="0.3">
      <c r="A731" t="s">
        <v>1812</v>
      </c>
      <c r="B731" s="13" t="s">
        <v>182</v>
      </c>
      <c r="C731" s="16">
        <f t="shared" si="55"/>
        <v>45689</v>
      </c>
      <c r="D731" t="s">
        <v>1003</v>
      </c>
      <c r="E731" t="s">
        <v>990</v>
      </c>
      <c r="F731" t="s">
        <v>971</v>
      </c>
      <c r="G731" t="s">
        <v>1152</v>
      </c>
      <c r="H731" t="s">
        <v>992</v>
      </c>
      <c r="I731">
        <v>747</v>
      </c>
      <c r="J731" s="3">
        <v>891.12</v>
      </c>
      <c r="K731" s="3">
        <v>665666.64</v>
      </c>
      <c r="L731">
        <v>168</v>
      </c>
      <c r="M731" t="s">
        <v>697</v>
      </c>
      <c r="N731" s="16">
        <f t="shared" si="56"/>
        <v>45689</v>
      </c>
      <c r="O731" t="s">
        <v>697</v>
      </c>
      <c r="P731" t="str">
        <f t="shared" si="57"/>
        <v>February 2025</v>
      </c>
      <c r="Q731" t="s">
        <v>966</v>
      </c>
      <c r="R731" s="8">
        <v>7600.89</v>
      </c>
      <c r="S731" s="8">
        <f t="shared" si="58"/>
        <v>673267.53</v>
      </c>
      <c r="T731" s="6">
        <f t="shared" si="59"/>
        <v>0</v>
      </c>
    </row>
    <row r="732" spans="1:20" x14ac:dyDescent="0.3">
      <c r="A732" t="s">
        <v>1813</v>
      </c>
      <c r="B732" s="13" t="s">
        <v>279</v>
      </c>
      <c r="C732" s="16">
        <f t="shared" si="55"/>
        <v>45870</v>
      </c>
      <c r="D732" t="s">
        <v>1003</v>
      </c>
      <c r="E732" t="s">
        <v>990</v>
      </c>
      <c r="F732" t="s">
        <v>980</v>
      </c>
      <c r="G732" t="s">
        <v>1038</v>
      </c>
      <c r="H732" t="s">
        <v>1023</v>
      </c>
      <c r="I732">
        <v>1728</v>
      </c>
      <c r="J732" s="3">
        <v>256.82</v>
      </c>
      <c r="K732" s="3">
        <v>443784.96000000002</v>
      </c>
      <c r="L732">
        <v>308</v>
      </c>
      <c r="M732" t="s">
        <v>228</v>
      </c>
      <c r="N732" s="16">
        <f t="shared" si="56"/>
        <v>45870</v>
      </c>
      <c r="O732" t="s">
        <v>228</v>
      </c>
      <c r="P732" t="str">
        <f t="shared" si="57"/>
        <v>August 2025</v>
      </c>
      <c r="Q732" t="s">
        <v>966</v>
      </c>
      <c r="R732" s="8">
        <v>18669.990000000002</v>
      </c>
      <c r="S732" s="8">
        <f t="shared" si="58"/>
        <v>462454.95</v>
      </c>
      <c r="T732" s="6">
        <f t="shared" si="59"/>
        <v>0</v>
      </c>
    </row>
    <row r="733" spans="1:20" x14ac:dyDescent="0.3">
      <c r="A733" t="s">
        <v>1814</v>
      </c>
      <c r="B733" s="13" t="s">
        <v>714</v>
      </c>
      <c r="C733" s="16">
        <f t="shared" si="55"/>
        <v>45962</v>
      </c>
      <c r="D733" t="s">
        <v>1021</v>
      </c>
      <c r="E733" t="s">
        <v>43</v>
      </c>
      <c r="F733" t="s">
        <v>980</v>
      </c>
      <c r="G733" t="s">
        <v>1072</v>
      </c>
      <c r="H733" t="s">
        <v>992</v>
      </c>
      <c r="I733">
        <v>2451</v>
      </c>
      <c r="J733" s="3">
        <v>147.32</v>
      </c>
      <c r="K733" s="3">
        <v>361081.32</v>
      </c>
      <c r="L733">
        <v>167</v>
      </c>
      <c r="M733" t="s">
        <v>796</v>
      </c>
      <c r="N733" s="16">
        <f t="shared" si="56"/>
        <v>45962</v>
      </c>
      <c r="O733" t="s">
        <v>796</v>
      </c>
      <c r="P733" t="str">
        <f t="shared" si="57"/>
        <v>November 2025</v>
      </c>
      <c r="Q733" t="s">
        <v>966</v>
      </c>
      <c r="R733" s="8">
        <v>8058.83</v>
      </c>
      <c r="S733" s="8">
        <f t="shared" si="58"/>
        <v>369140.15</v>
      </c>
      <c r="T733" s="6">
        <f t="shared" si="59"/>
        <v>0</v>
      </c>
    </row>
    <row r="734" spans="1:20" x14ac:dyDescent="0.3">
      <c r="A734" t="s">
        <v>1815</v>
      </c>
      <c r="B734" s="13" t="s">
        <v>258</v>
      </c>
      <c r="C734" s="16">
        <f t="shared" si="55"/>
        <v>45658</v>
      </c>
      <c r="D734" t="s">
        <v>975</v>
      </c>
      <c r="E734" t="s">
        <v>962</v>
      </c>
      <c r="F734" t="s">
        <v>963</v>
      </c>
      <c r="G734" t="s">
        <v>1051</v>
      </c>
      <c r="H734" t="s">
        <v>973</v>
      </c>
      <c r="I734">
        <v>1431</v>
      </c>
      <c r="J734" s="3">
        <v>408.93</v>
      </c>
      <c r="K734" s="3">
        <v>585178.82999999996</v>
      </c>
      <c r="L734">
        <v>239</v>
      </c>
      <c r="M734" t="s">
        <v>970</v>
      </c>
      <c r="N734" s="16">
        <f t="shared" si="56"/>
        <v>45658</v>
      </c>
      <c r="O734" t="s">
        <v>916</v>
      </c>
      <c r="P734" t="str">
        <f t="shared" si="57"/>
        <v>January 2025</v>
      </c>
      <c r="Q734" t="s">
        <v>959</v>
      </c>
      <c r="R734" s="8">
        <v>14325.49</v>
      </c>
      <c r="S734" s="8">
        <f t="shared" si="58"/>
        <v>599504.31999999995</v>
      </c>
      <c r="T734" s="6">
        <f t="shared" si="59"/>
        <v>4</v>
      </c>
    </row>
    <row r="735" spans="1:20" x14ac:dyDescent="0.3">
      <c r="A735" t="s">
        <v>1816</v>
      </c>
      <c r="B735" s="13" t="s">
        <v>305</v>
      </c>
      <c r="C735" s="16">
        <f t="shared" si="55"/>
        <v>45962</v>
      </c>
      <c r="D735" t="s">
        <v>1021</v>
      </c>
      <c r="E735" t="s">
        <v>33</v>
      </c>
      <c r="F735" t="s">
        <v>980</v>
      </c>
      <c r="G735" t="s">
        <v>1078</v>
      </c>
      <c r="H735" t="s">
        <v>977</v>
      </c>
      <c r="I735">
        <v>236</v>
      </c>
      <c r="J735" s="3">
        <v>606.35</v>
      </c>
      <c r="K735" s="3">
        <v>143098.6</v>
      </c>
      <c r="L735">
        <v>312</v>
      </c>
      <c r="M735" t="s">
        <v>270</v>
      </c>
      <c r="N735" s="16">
        <f t="shared" si="56"/>
        <v>45962</v>
      </c>
      <c r="O735" t="s">
        <v>42</v>
      </c>
      <c r="P735" t="str">
        <f t="shared" si="57"/>
        <v>November 2025</v>
      </c>
      <c r="Q735" t="s">
        <v>959</v>
      </c>
      <c r="R735" s="8">
        <v>18411.060000000001</v>
      </c>
      <c r="S735" s="8">
        <f t="shared" si="58"/>
        <v>161509.66</v>
      </c>
      <c r="T735" s="6">
        <f t="shared" si="59"/>
        <v>1</v>
      </c>
    </row>
    <row r="736" spans="1:20" x14ac:dyDescent="0.3">
      <c r="A736" t="s">
        <v>1817</v>
      </c>
      <c r="B736" s="13" t="s">
        <v>459</v>
      </c>
      <c r="C736" s="16">
        <f t="shared" si="55"/>
        <v>45658</v>
      </c>
      <c r="D736" t="s">
        <v>1011</v>
      </c>
      <c r="E736" t="s">
        <v>43</v>
      </c>
      <c r="F736" t="s">
        <v>963</v>
      </c>
      <c r="G736" t="s">
        <v>1072</v>
      </c>
      <c r="H736" t="s">
        <v>982</v>
      </c>
      <c r="I736">
        <v>214</v>
      </c>
      <c r="J736" s="3">
        <v>343.91</v>
      </c>
      <c r="K736" s="3">
        <v>73596.740000000005</v>
      </c>
      <c r="L736">
        <v>442</v>
      </c>
      <c r="M736" t="s">
        <v>15</v>
      </c>
      <c r="N736" s="16">
        <f t="shared" si="56"/>
        <v>45689</v>
      </c>
      <c r="O736" t="s">
        <v>15</v>
      </c>
      <c r="P736" t="str">
        <f t="shared" si="57"/>
        <v>February 2025</v>
      </c>
      <c r="Q736" t="s">
        <v>966</v>
      </c>
      <c r="R736" s="8">
        <v>24169.55</v>
      </c>
      <c r="S736" s="8">
        <f t="shared" si="58"/>
        <v>97766.290000000008</v>
      </c>
      <c r="T736" s="6">
        <f t="shared" si="59"/>
        <v>0</v>
      </c>
    </row>
    <row r="737" spans="1:20" x14ac:dyDescent="0.3">
      <c r="A737" t="s">
        <v>1818</v>
      </c>
      <c r="B737" s="13" t="s">
        <v>307</v>
      </c>
      <c r="C737" s="16">
        <f t="shared" si="55"/>
        <v>45658</v>
      </c>
      <c r="D737" t="s">
        <v>984</v>
      </c>
      <c r="E737" t="s">
        <v>43</v>
      </c>
      <c r="F737" t="s">
        <v>971</v>
      </c>
      <c r="G737" t="s">
        <v>957</v>
      </c>
      <c r="H737" t="s">
        <v>1034</v>
      </c>
      <c r="I737">
        <v>1955</v>
      </c>
      <c r="J737" s="3">
        <v>619.79</v>
      </c>
      <c r="K737" s="3">
        <v>1211689.45</v>
      </c>
      <c r="L737">
        <v>589</v>
      </c>
      <c r="M737" t="s">
        <v>970</v>
      </c>
      <c r="N737" s="16">
        <f t="shared" si="56"/>
        <v>45658</v>
      </c>
      <c r="O737" t="s">
        <v>970</v>
      </c>
      <c r="P737" t="str">
        <f t="shared" si="57"/>
        <v>January 2025</v>
      </c>
      <c r="Q737" t="s">
        <v>966</v>
      </c>
      <c r="R737" s="8">
        <v>30287.55</v>
      </c>
      <c r="S737" s="8">
        <f t="shared" si="58"/>
        <v>1241977</v>
      </c>
      <c r="T737" s="6">
        <f t="shared" si="59"/>
        <v>0</v>
      </c>
    </row>
    <row r="738" spans="1:20" x14ac:dyDescent="0.3">
      <c r="A738" t="s">
        <v>1819</v>
      </c>
      <c r="B738" s="13" t="s">
        <v>1059</v>
      </c>
      <c r="C738" s="16">
        <f t="shared" si="55"/>
        <v>45870</v>
      </c>
      <c r="D738" t="s">
        <v>1021</v>
      </c>
      <c r="E738" t="s">
        <v>962</v>
      </c>
      <c r="F738" t="s">
        <v>980</v>
      </c>
      <c r="G738" t="s">
        <v>1040</v>
      </c>
      <c r="H738" t="s">
        <v>992</v>
      </c>
      <c r="I738">
        <v>1954</v>
      </c>
      <c r="J738" s="3">
        <v>785.02</v>
      </c>
      <c r="K738" s="3">
        <v>1533929.08</v>
      </c>
      <c r="L738">
        <v>331</v>
      </c>
      <c r="M738" t="s">
        <v>600</v>
      </c>
      <c r="N738" s="16">
        <f t="shared" si="56"/>
        <v>45870</v>
      </c>
      <c r="O738" t="s">
        <v>203</v>
      </c>
      <c r="P738" t="str">
        <f t="shared" si="57"/>
        <v>August 2025</v>
      </c>
      <c r="Q738" t="s">
        <v>959</v>
      </c>
      <c r="R738" s="8">
        <v>13877.77</v>
      </c>
      <c r="S738" s="8">
        <f t="shared" si="58"/>
        <v>1547806.85</v>
      </c>
      <c r="T738" s="6">
        <f t="shared" si="59"/>
        <v>3</v>
      </c>
    </row>
    <row r="739" spans="1:20" x14ac:dyDescent="0.3">
      <c r="A739" t="s">
        <v>1820</v>
      </c>
      <c r="B739" s="13" t="s">
        <v>120</v>
      </c>
      <c r="C739" s="16">
        <f t="shared" si="55"/>
        <v>45717</v>
      </c>
      <c r="D739" t="s">
        <v>1021</v>
      </c>
      <c r="E739" t="s">
        <v>990</v>
      </c>
      <c r="F739" t="s">
        <v>971</v>
      </c>
      <c r="G739" t="s">
        <v>1057</v>
      </c>
      <c r="H739" t="s">
        <v>982</v>
      </c>
      <c r="I739">
        <v>128</v>
      </c>
      <c r="J739" s="3">
        <v>750.56</v>
      </c>
      <c r="K739" s="3">
        <v>96071.679999999993</v>
      </c>
      <c r="L739">
        <v>567</v>
      </c>
      <c r="M739" t="s">
        <v>484</v>
      </c>
      <c r="N739" s="16">
        <f t="shared" si="56"/>
        <v>45717</v>
      </c>
      <c r="O739" t="s">
        <v>1298</v>
      </c>
      <c r="P739" t="str">
        <f t="shared" si="57"/>
        <v>March 2025</v>
      </c>
      <c r="Q739" t="s">
        <v>966</v>
      </c>
      <c r="R739" s="8">
        <v>20385.830000000002</v>
      </c>
      <c r="S739" s="8">
        <f t="shared" si="58"/>
        <v>116457.51</v>
      </c>
      <c r="T739" s="6">
        <f t="shared" si="59"/>
        <v>-1</v>
      </c>
    </row>
    <row r="740" spans="1:20" x14ac:dyDescent="0.3">
      <c r="A740" t="s">
        <v>1821</v>
      </c>
      <c r="B740" s="13" t="s">
        <v>347</v>
      </c>
      <c r="C740" s="16">
        <f t="shared" si="55"/>
        <v>45689</v>
      </c>
      <c r="D740" t="s">
        <v>961</v>
      </c>
      <c r="E740" t="s">
        <v>33</v>
      </c>
      <c r="F740" t="s">
        <v>980</v>
      </c>
      <c r="G740" t="s">
        <v>1221</v>
      </c>
      <c r="H740" t="s">
        <v>1034</v>
      </c>
      <c r="I740">
        <v>1992</v>
      </c>
      <c r="J740" s="3">
        <v>463.7</v>
      </c>
      <c r="K740" s="3">
        <v>923690.4</v>
      </c>
      <c r="L740">
        <v>168</v>
      </c>
      <c r="M740" t="s">
        <v>554</v>
      </c>
      <c r="N740" s="16">
        <f t="shared" si="56"/>
        <v>45689</v>
      </c>
      <c r="O740" t="s">
        <v>554</v>
      </c>
      <c r="P740" t="str">
        <f t="shared" si="57"/>
        <v>February 2025</v>
      </c>
      <c r="Q740" t="s">
        <v>966</v>
      </c>
      <c r="R740" s="8">
        <v>0</v>
      </c>
      <c r="S740" s="8">
        <f t="shared" si="58"/>
        <v>923690.4</v>
      </c>
      <c r="T740" s="6">
        <f t="shared" si="59"/>
        <v>0</v>
      </c>
    </row>
    <row r="741" spans="1:20" x14ac:dyDescent="0.3">
      <c r="A741" t="s">
        <v>1822</v>
      </c>
      <c r="B741" s="13" t="s">
        <v>1368</v>
      </c>
      <c r="C741" s="16">
        <f t="shared" si="55"/>
        <v>45809</v>
      </c>
      <c r="D741" t="s">
        <v>1011</v>
      </c>
      <c r="E741" t="s">
        <v>987</v>
      </c>
      <c r="F741" t="s">
        <v>963</v>
      </c>
      <c r="G741" t="s">
        <v>1045</v>
      </c>
      <c r="H741" t="s">
        <v>1000</v>
      </c>
      <c r="I741">
        <v>727</v>
      </c>
      <c r="J741" s="3">
        <v>514.83000000000004</v>
      </c>
      <c r="K741" s="3">
        <v>374281.41</v>
      </c>
      <c r="L741">
        <v>365</v>
      </c>
      <c r="M741" t="s">
        <v>868</v>
      </c>
      <c r="N741" s="16">
        <f t="shared" si="56"/>
        <v>45809</v>
      </c>
      <c r="O741" t="s">
        <v>868</v>
      </c>
      <c r="P741" t="str">
        <f t="shared" si="57"/>
        <v>June 2025</v>
      </c>
      <c r="Q741" t="s">
        <v>966</v>
      </c>
      <c r="R741" s="8">
        <v>16914.39</v>
      </c>
      <c r="S741" s="8">
        <f t="shared" si="58"/>
        <v>391195.8</v>
      </c>
      <c r="T741" s="6">
        <f t="shared" si="59"/>
        <v>0</v>
      </c>
    </row>
    <row r="742" spans="1:20" x14ac:dyDescent="0.3">
      <c r="A742" t="s">
        <v>1823</v>
      </c>
      <c r="B742" s="13" t="s">
        <v>492</v>
      </c>
      <c r="C742" s="16">
        <f t="shared" si="55"/>
        <v>45870</v>
      </c>
      <c r="D742" t="s">
        <v>975</v>
      </c>
      <c r="E742" t="s">
        <v>987</v>
      </c>
      <c r="F742" t="s">
        <v>971</v>
      </c>
      <c r="G742" t="s">
        <v>1038</v>
      </c>
      <c r="H742" t="s">
        <v>992</v>
      </c>
      <c r="I742">
        <v>365</v>
      </c>
      <c r="J742" s="3">
        <v>78.23</v>
      </c>
      <c r="K742" s="3">
        <v>28553.95</v>
      </c>
      <c r="L742">
        <v>440</v>
      </c>
      <c r="M742" t="s">
        <v>480</v>
      </c>
      <c r="N742" s="16">
        <f t="shared" si="56"/>
        <v>45870</v>
      </c>
      <c r="O742" t="s">
        <v>833</v>
      </c>
      <c r="P742" t="str">
        <f t="shared" si="57"/>
        <v>August 2025</v>
      </c>
      <c r="Q742" t="s">
        <v>959</v>
      </c>
      <c r="R742" s="8">
        <v>16959.310000000001</v>
      </c>
      <c r="S742" s="8">
        <f t="shared" si="58"/>
        <v>45513.26</v>
      </c>
      <c r="T742" s="6">
        <f t="shared" si="59"/>
        <v>2</v>
      </c>
    </row>
    <row r="743" spans="1:20" x14ac:dyDescent="0.3">
      <c r="A743" t="s">
        <v>1824</v>
      </c>
      <c r="B743" s="13" t="s">
        <v>219</v>
      </c>
      <c r="C743" s="16">
        <f t="shared" si="55"/>
        <v>45778</v>
      </c>
      <c r="D743" t="s">
        <v>1021</v>
      </c>
      <c r="E743" t="s">
        <v>987</v>
      </c>
      <c r="F743" t="s">
        <v>971</v>
      </c>
      <c r="G743" t="s">
        <v>1098</v>
      </c>
      <c r="H743" t="s">
        <v>973</v>
      </c>
      <c r="I743">
        <v>1978</v>
      </c>
      <c r="J743" s="3">
        <v>656.9</v>
      </c>
      <c r="K743" s="3">
        <v>1299348.2</v>
      </c>
      <c r="L743">
        <v>286</v>
      </c>
      <c r="M743" t="s">
        <v>1097</v>
      </c>
      <c r="N743" s="16">
        <f t="shared" si="56"/>
        <v>45778</v>
      </c>
      <c r="O743" t="s">
        <v>1097</v>
      </c>
      <c r="P743" t="str">
        <f t="shared" si="57"/>
        <v>May 2025</v>
      </c>
      <c r="Q743" t="s">
        <v>966</v>
      </c>
      <c r="R743" s="8">
        <v>10443.370000000001</v>
      </c>
      <c r="S743" s="8">
        <f t="shared" si="58"/>
        <v>1309791.57</v>
      </c>
      <c r="T743" s="6">
        <f t="shared" si="59"/>
        <v>0</v>
      </c>
    </row>
    <row r="744" spans="1:20" x14ac:dyDescent="0.3">
      <c r="A744" t="s">
        <v>1825</v>
      </c>
      <c r="B744" s="13" t="s">
        <v>105</v>
      </c>
      <c r="C744" s="16">
        <f t="shared" si="55"/>
        <v>45689</v>
      </c>
      <c r="D744" t="s">
        <v>961</v>
      </c>
      <c r="E744" t="s">
        <v>33</v>
      </c>
      <c r="F744" t="s">
        <v>956</v>
      </c>
      <c r="G744" t="s">
        <v>1221</v>
      </c>
      <c r="H744" t="s">
        <v>982</v>
      </c>
      <c r="I744">
        <v>1352</v>
      </c>
      <c r="J744" s="3">
        <v>78.88</v>
      </c>
      <c r="K744" s="3">
        <v>106645.75999999999</v>
      </c>
      <c r="L744">
        <v>339</v>
      </c>
      <c r="M744" t="s">
        <v>53</v>
      </c>
      <c r="N744" s="16">
        <f t="shared" si="56"/>
        <v>45689</v>
      </c>
      <c r="O744" t="s">
        <v>923</v>
      </c>
      <c r="P744" t="str">
        <f t="shared" si="57"/>
        <v>February 2025</v>
      </c>
      <c r="Q744" t="s">
        <v>959</v>
      </c>
      <c r="R744" s="8">
        <v>18736.18</v>
      </c>
      <c r="S744" s="8">
        <f t="shared" si="58"/>
        <v>125381.94</v>
      </c>
      <c r="T744" s="6">
        <f t="shared" si="59"/>
        <v>2</v>
      </c>
    </row>
    <row r="745" spans="1:20" x14ac:dyDescent="0.3">
      <c r="A745" t="s">
        <v>1826</v>
      </c>
      <c r="B745" s="13" t="s">
        <v>1063</v>
      </c>
      <c r="C745" s="16">
        <f t="shared" si="55"/>
        <v>45901</v>
      </c>
      <c r="D745" t="s">
        <v>984</v>
      </c>
      <c r="E745" t="s">
        <v>962</v>
      </c>
      <c r="F745" t="s">
        <v>971</v>
      </c>
      <c r="G745" t="s">
        <v>957</v>
      </c>
      <c r="H745" t="s">
        <v>1018</v>
      </c>
      <c r="I745">
        <v>1292</v>
      </c>
      <c r="J745" s="3">
        <v>836.19</v>
      </c>
      <c r="K745" s="3">
        <v>1080357.48</v>
      </c>
      <c r="L745">
        <v>631</v>
      </c>
      <c r="M745" t="s">
        <v>873</v>
      </c>
      <c r="N745" s="16">
        <f t="shared" si="56"/>
        <v>45901</v>
      </c>
      <c r="O745" t="s">
        <v>873</v>
      </c>
      <c r="P745" t="str">
        <f t="shared" si="57"/>
        <v>September 2025</v>
      </c>
      <c r="Q745" t="s">
        <v>966</v>
      </c>
      <c r="R745" s="8">
        <v>28273.49</v>
      </c>
      <c r="S745" s="8">
        <f t="shared" si="58"/>
        <v>1108630.97</v>
      </c>
      <c r="T745" s="6">
        <f t="shared" si="59"/>
        <v>0</v>
      </c>
    </row>
    <row r="746" spans="1:20" x14ac:dyDescent="0.3">
      <c r="A746" t="s">
        <v>1827</v>
      </c>
      <c r="B746" s="13" t="s">
        <v>1754</v>
      </c>
      <c r="C746" s="16">
        <f t="shared" si="55"/>
        <v>45689</v>
      </c>
      <c r="D746" t="s">
        <v>1003</v>
      </c>
      <c r="E746" t="s">
        <v>962</v>
      </c>
      <c r="F746" t="s">
        <v>980</v>
      </c>
      <c r="G746" t="s">
        <v>994</v>
      </c>
      <c r="H746" t="s">
        <v>973</v>
      </c>
      <c r="I746">
        <v>597</v>
      </c>
      <c r="J746" s="3">
        <v>499.01</v>
      </c>
      <c r="K746" s="3">
        <v>297908.96999999997</v>
      </c>
      <c r="L746">
        <v>431</v>
      </c>
      <c r="M746" t="s">
        <v>631</v>
      </c>
      <c r="N746" s="16">
        <f t="shared" si="56"/>
        <v>45689</v>
      </c>
      <c r="O746" t="s">
        <v>726</v>
      </c>
      <c r="P746" t="str">
        <f t="shared" si="57"/>
        <v>February 2025</v>
      </c>
      <c r="Q746" t="s">
        <v>959</v>
      </c>
      <c r="R746" s="8">
        <v>18273.78</v>
      </c>
      <c r="S746" s="8">
        <f t="shared" si="58"/>
        <v>316182.75</v>
      </c>
      <c r="T746" s="6">
        <f t="shared" si="59"/>
        <v>3</v>
      </c>
    </row>
    <row r="747" spans="1:20" x14ac:dyDescent="0.3">
      <c r="A747" t="s">
        <v>1828</v>
      </c>
      <c r="B747" s="13" t="s">
        <v>1191</v>
      </c>
      <c r="C747" s="16">
        <f t="shared" si="55"/>
        <v>45931</v>
      </c>
      <c r="D747" t="s">
        <v>961</v>
      </c>
      <c r="E747" t="s">
        <v>33</v>
      </c>
      <c r="F747" t="s">
        <v>956</v>
      </c>
      <c r="G747" t="s">
        <v>1042</v>
      </c>
      <c r="H747" t="s">
        <v>982</v>
      </c>
      <c r="I747">
        <v>1367</v>
      </c>
      <c r="J747" s="3">
        <v>331.56</v>
      </c>
      <c r="K747" s="3">
        <v>453242.52</v>
      </c>
      <c r="L747">
        <v>41</v>
      </c>
      <c r="M747" t="s">
        <v>122</v>
      </c>
      <c r="N747" s="16">
        <f t="shared" si="56"/>
        <v>45931</v>
      </c>
      <c r="O747" t="s">
        <v>1191</v>
      </c>
      <c r="P747" t="str">
        <f t="shared" si="57"/>
        <v>October 2025</v>
      </c>
      <c r="Q747" t="s">
        <v>966</v>
      </c>
      <c r="R747" s="8">
        <v>2165.6799999999998</v>
      </c>
      <c r="S747" s="8">
        <f t="shared" si="58"/>
        <v>455408.2</v>
      </c>
      <c r="T747" s="6">
        <f t="shared" si="59"/>
        <v>-1</v>
      </c>
    </row>
    <row r="748" spans="1:20" x14ac:dyDescent="0.3">
      <c r="A748" t="s">
        <v>1829</v>
      </c>
      <c r="B748" s="13" t="s">
        <v>266</v>
      </c>
      <c r="C748" s="16">
        <f t="shared" si="55"/>
        <v>45901</v>
      </c>
      <c r="D748" t="s">
        <v>955</v>
      </c>
      <c r="E748" t="s">
        <v>43</v>
      </c>
      <c r="F748" t="s">
        <v>956</v>
      </c>
      <c r="G748" t="s">
        <v>1221</v>
      </c>
      <c r="H748" t="s">
        <v>982</v>
      </c>
      <c r="I748">
        <v>467</v>
      </c>
      <c r="J748" s="3">
        <v>664.43</v>
      </c>
      <c r="K748" s="3">
        <v>310288.81</v>
      </c>
      <c r="L748">
        <v>619</v>
      </c>
      <c r="M748" t="s">
        <v>557</v>
      </c>
      <c r="N748" s="16">
        <f t="shared" si="56"/>
        <v>45901</v>
      </c>
      <c r="O748" t="s">
        <v>136</v>
      </c>
      <c r="P748" t="str">
        <f t="shared" si="57"/>
        <v>September 2025</v>
      </c>
      <c r="Q748" t="s">
        <v>959</v>
      </c>
      <c r="R748" s="8">
        <v>35981.24</v>
      </c>
      <c r="S748" s="8">
        <f t="shared" si="58"/>
        <v>346270.05</v>
      </c>
      <c r="T748" s="6">
        <f t="shared" si="59"/>
        <v>2</v>
      </c>
    </row>
    <row r="749" spans="1:20" x14ac:dyDescent="0.3">
      <c r="A749" t="s">
        <v>1830</v>
      </c>
      <c r="B749" s="13" t="s">
        <v>653</v>
      </c>
      <c r="C749" s="16">
        <f t="shared" si="55"/>
        <v>45658</v>
      </c>
      <c r="D749" t="s">
        <v>961</v>
      </c>
      <c r="E749" t="s">
        <v>962</v>
      </c>
      <c r="F749" t="s">
        <v>971</v>
      </c>
      <c r="G749" t="s">
        <v>1057</v>
      </c>
      <c r="H749" t="s">
        <v>1034</v>
      </c>
      <c r="I749">
        <v>1958</v>
      </c>
      <c r="J749" s="3">
        <v>511.3</v>
      </c>
      <c r="K749" s="3">
        <v>1001125.4</v>
      </c>
      <c r="L749">
        <v>381</v>
      </c>
      <c r="M749" t="s">
        <v>545</v>
      </c>
      <c r="N749" s="16">
        <f t="shared" si="56"/>
        <v>45658</v>
      </c>
      <c r="O749" t="s">
        <v>699</v>
      </c>
      <c r="P749" t="str">
        <f t="shared" si="57"/>
        <v>January 2025</v>
      </c>
      <c r="Q749" t="s">
        <v>959</v>
      </c>
      <c r="R749" s="8">
        <v>21863.46</v>
      </c>
      <c r="S749" s="8">
        <f t="shared" si="58"/>
        <v>1022988.86</v>
      </c>
      <c r="T749" s="6">
        <f t="shared" si="59"/>
        <v>3</v>
      </c>
    </row>
    <row r="750" spans="1:20" x14ac:dyDescent="0.3">
      <c r="A750" t="s">
        <v>1831</v>
      </c>
      <c r="B750" s="13" t="s">
        <v>1147</v>
      </c>
      <c r="C750" s="16">
        <f t="shared" si="55"/>
        <v>45748</v>
      </c>
      <c r="D750" t="s">
        <v>975</v>
      </c>
      <c r="E750" t="s">
        <v>49</v>
      </c>
      <c r="F750" t="s">
        <v>956</v>
      </c>
      <c r="G750" t="s">
        <v>1132</v>
      </c>
      <c r="H750" t="s">
        <v>958</v>
      </c>
      <c r="I750">
        <v>386</v>
      </c>
      <c r="J750" s="3">
        <v>248.52</v>
      </c>
      <c r="K750" s="3">
        <v>95928.72</v>
      </c>
      <c r="L750">
        <v>158</v>
      </c>
      <c r="M750" t="s">
        <v>188</v>
      </c>
      <c r="N750" s="16">
        <f t="shared" si="56"/>
        <v>45778</v>
      </c>
      <c r="O750" t="s">
        <v>188</v>
      </c>
      <c r="P750" t="str">
        <f t="shared" si="57"/>
        <v>May 2025</v>
      </c>
      <c r="Q750" t="s">
        <v>966</v>
      </c>
      <c r="R750" s="8">
        <v>6353.48</v>
      </c>
      <c r="S750" s="8">
        <f t="shared" si="58"/>
        <v>102282.2</v>
      </c>
      <c r="T750" s="6">
        <f t="shared" si="59"/>
        <v>0</v>
      </c>
    </row>
    <row r="751" spans="1:20" x14ac:dyDescent="0.3">
      <c r="A751" t="s">
        <v>1832</v>
      </c>
      <c r="B751" s="13" t="s">
        <v>1317</v>
      </c>
      <c r="C751" s="16">
        <f t="shared" si="55"/>
        <v>45962</v>
      </c>
      <c r="D751" t="s">
        <v>1003</v>
      </c>
      <c r="E751" t="s">
        <v>987</v>
      </c>
      <c r="F751" t="s">
        <v>963</v>
      </c>
      <c r="G751" t="s">
        <v>1026</v>
      </c>
      <c r="H751" t="s">
        <v>1023</v>
      </c>
      <c r="I751">
        <v>1509</v>
      </c>
      <c r="J751" s="3">
        <v>131.88</v>
      </c>
      <c r="K751" s="3">
        <v>199006.92</v>
      </c>
      <c r="L751">
        <v>588</v>
      </c>
      <c r="M751" t="s">
        <v>318</v>
      </c>
      <c r="N751" s="16">
        <f t="shared" si="56"/>
        <v>45992</v>
      </c>
      <c r="O751" t="s">
        <v>318</v>
      </c>
      <c r="P751" t="str">
        <f t="shared" si="57"/>
        <v>December 2025</v>
      </c>
      <c r="Q751" t="s">
        <v>966</v>
      </c>
      <c r="R751" s="8">
        <v>27271.14</v>
      </c>
      <c r="S751" s="8">
        <f t="shared" si="58"/>
        <v>226278.06</v>
      </c>
      <c r="T751" s="6">
        <f t="shared" si="59"/>
        <v>0</v>
      </c>
    </row>
    <row r="752" spans="1:20" x14ac:dyDescent="0.3">
      <c r="A752" t="s">
        <v>1833</v>
      </c>
      <c r="B752" s="13" t="s">
        <v>554</v>
      </c>
      <c r="C752" s="16">
        <f t="shared" si="55"/>
        <v>45689</v>
      </c>
      <c r="D752" t="s">
        <v>968</v>
      </c>
      <c r="E752" t="s">
        <v>43</v>
      </c>
      <c r="F752" t="s">
        <v>963</v>
      </c>
      <c r="G752" t="s">
        <v>1068</v>
      </c>
      <c r="H752" t="s">
        <v>1034</v>
      </c>
      <c r="I752">
        <v>2005</v>
      </c>
      <c r="J752" s="3">
        <v>886.76</v>
      </c>
      <c r="K752" s="3">
        <v>1777953.8</v>
      </c>
      <c r="L752">
        <v>85</v>
      </c>
      <c r="M752" t="s">
        <v>1754</v>
      </c>
      <c r="N752" s="16">
        <f t="shared" si="56"/>
        <v>45689</v>
      </c>
      <c r="O752" t="s">
        <v>554</v>
      </c>
      <c r="P752" t="str">
        <f t="shared" si="57"/>
        <v>February 2025</v>
      </c>
      <c r="Q752" t="s">
        <v>966</v>
      </c>
      <c r="R752" s="8">
        <v>5197.71</v>
      </c>
      <c r="S752" s="8">
        <f t="shared" si="58"/>
        <v>1783151.51</v>
      </c>
      <c r="T752" s="6">
        <f t="shared" si="59"/>
        <v>-1</v>
      </c>
    </row>
    <row r="753" spans="1:20" x14ac:dyDescent="0.3">
      <c r="A753" t="s">
        <v>1834</v>
      </c>
      <c r="B753" s="13" t="s">
        <v>107</v>
      </c>
      <c r="C753" s="16">
        <f t="shared" si="55"/>
        <v>45839</v>
      </c>
      <c r="D753" t="s">
        <v>961</v>
      </c>
      <c r="E753" t="s">
        <v>33</v>
      </c>
      <c r="F753" t="s">
        <v>963</v>
      </c>
      <c r="G753" t="s">
        <v>1098</v>
      </c>
      <c r="H753" t="s">
        <v>1034</v>
      </c>
      <c r="I753">
        <v>1714</v>
      </c>
      <c r="J753" s="3">
        <v>688.36</v>
      </c>
      <c r="K753" s="3">
        <v>1179849.04</v>
      </c>
      <c r="L753">
        <v>72</v>
      </c>
      <c r="M753" t="s">
        <v>326</v>
      </c>
      <c r="N753" s="16">
        <f t="shared" si="56"/>
        <v>45839</v>
      </c>
      <c r="O753" t="s">
        <v>326</v>
      </c>
      <c r="P753" t="str">
        <f t="shared" si="57"/>
        <v>July 2025</v>
      </c>
      <c r="Q753" t="s">
        <v>966</v>
      </c>
      <c r="R753" s="8">
        <v>4071.47</v>
      </c>
      <c r="S753" s="8">
        <f t="shared" si="58"/>
        <v>1183920.51</v>
      </c>
      <c r="T753" s="6">
        <f t="shared" si="59"/>
        <v>0</v>
      </c>
    </row>
    <row r="754" spans="1:20" x14ac:dyDescent="0.3">
      <c r="A754" t="s">
        <v>1835</v>
      </c>
      <c r="B754" s="13" t="s">
        <v>287</v>
      </c>
      <c r="C754" s="16">
        <f t="shared" si="55"/>
        <v>45748</v>
      </c>
      <c r="D754" t="s">
        <v>1003</v>
      </c>
      <c r="E754" t="s">
        <v>43</v>
      </c>
      <c r="F754" t="s">
        <v>971</v>
      </c>
      <c r="G754" t="s">
        <v>1072</v>
      </c>
      <c r="H754" t="s">
        <v>965</v>
      </c>
      <c r="I754">
        <v>2173</v>
      </c>
      <c r="J754" s="3">
        <v>247.92</v>
      </c>
      <c r="K754" s="3">
        <v>538730.16</v>
      </c>
      <c r="L754">
        <v>224</v>
      </c>
      <c r="M754" t="s">
        <v>426</v>
      </c>
      <c r="N754" s="16">
        <f t="shared" si="56"/>
        <v>45748</v>
      </c>
      <c r="O754" t="s">
        <v>552</v>
      </c>
      <c r="P754" t="str">
        <f t="shared" si="57"/>
        <v>April 2025</v>
      </c>
      <c r="Q754" t="s">
        <v>959</v>
      </c>
      <c r="R754" s="8">
        <v>9365.33</v>
      </c>
      <c r="S754" s="8">
        <f t="shared" si="58"/>
        <v>548095.49</v>
      </c>
      <c r="T754" s="6">
        <f t="shared" si="59"/>
        <v>4</v>
      </c>
    </row>
    <row r="755" spans="1:20" x14ac:dyDescent="0.3">
      <c r="A755" t="s">
        <v>1836</v>
      </c>
      <c r="B755" s="13" t="s">
        <v>1286</v>
      </c>
      <c r="C755" s="16">
        <f t="shared" si="55"/>
        <v>45809</v>
      </c>
      <c r="D755" t="s">
        <v>975</v>
      </c>
      <c r="E755" t="s">
        <v>33</v>
      </c>
      <c r="F755" t="s">
        <v>971</v>
      </c>
      <c r="G755" t="s">
        <v>988</v>
      </c>
      <c r="H755" t="s">
        <v>958</v>
      </c>
      <c r="I755">
        <v>1830</v>
      </c>
      <c r="J755" s="3">
        <v>242.6</v>
      </c>
      <c r="K755" s="3">
        <v>443958</v>
      </c>
      <c r="L755">
        <v>180</v>
      </c>
      <c r="M755" t="s">
        <v>1245</v>
      </c>
      <c r="N755" s="16">
        <f t="shared" si="56"/>
        <v>45809</v>
      </c>
      <c r="O755" t="s">
        <v>1245</v>
      </c>
      <c r="P755" t="str">
        <f t="shared" si="57"/>
        <v>June 2025</v>
      </c>
      <c r="Q755" t="s">
        <v>966</v>
      </c>
      <c r="R755" s="8">
        <v>10279.530000000001</v>
      </c>
      <c r="S755" s="8">
        <f t="shared" si="58"/>
        <v>454237.53</v>
      </c>
      <c r="T755" s="6">
        <f t="shared" si="59"/>
        <v>0</v>
      </c>
    </row>
    <row r="756" spans="1:20" x14ac:dyDescent="0.3">
      <c r="A756" t="s">
        <v>1837</v>
      </c>
      <c r="B756" s="13" t="s">
        <v>215</v>
      </c>
      <c r="C756" s="16">
        <f t="shared" si="55"/>
        <v>45931</v>
      </c>
      <c r="D756" t="s">
        <v>1021</v>
      </c>
      <c r="E756" t="s">
        <v>987</v>
      </c>
      <c r="F756" t="s">
        <v>971</v>
      </c>
      <c r="G756" t="s">
        <v>981</v>
      </c>
      <c r="H756" t="s">
        <v>973</v>
      </c>
      <c r="I756">
        <v>2220</v>
      </c>
      <c r="J756" s="3">
        <v>776.08</v>
      </c>
      <c r="K756" s="3">
        <v>1722897.6</v>
      </c>
      <c r="L756">
        <v>139</v>
      </c>
      <c r="M756" t="s">
        <v>525</v>
      </c>
      <c r="N756" s="16">
        <f t="shared" si="56"/>
        <v>45931</v>
      </c>
      <c r="O756" t="s">
        <v>428</v>
      </c>
      <c r="P756" t="str">
        <f t="shared" si="57"/>
        <v>October 2025</v>
      </c>
      <c r="Q756" t="s">
        <v>959</v>
      </c>
      <c r="R756" s="8">
        <v>7089.13</v>
      </c>
      <c r="S756" s="8">
        <f t="shared" si="58"/>
        <v>1729986.73</v>
      </c>
      <c r="T756" s="6">
        <f t="shared" si="59"/>
        <v>1</v>
      </c>
    </row>
    <row r="757" spans="1:20" x14ac:dyDescent="0.3">
      <c r="A757" t="s">
        <v>1838</v>
      </c>
      <c r="B757" s="13" t="s">
        <v>186</v>
      </c>
      <c r="C757" s="16">
        <f t="shared" si="55"/>
        <v>45809</v>
      </c>
      <c r="D757" t="s">
        <v>1021</v>
      </c>
      <c r="E757" t="s">
        <v>990</v>
      </c>
      <c r="F757" t="s">
        <v>963</v>
      </c>
      <c r="G757" t="s">
        <v>1132</v>
      </c>
      <c r="H757" t="s">
        <v>1018</v>
      </c>
      <c r="I757">
        <v>1220</v>
      </c>
      <c r="J757" s="3">
        <v>558.22</v>
      </c>
      <c r="K757" s="3">
        <v>681028.4</v>
      </c>
      <c r="L757">
        <v>247</v>
      </c>
      <c r="M757" t="s">
        <v>1286</v>
      </c>
      <c r="N757" s="16">
        <f t="shared" si="56"/>
        <v>45809</v>
      </c>
      <c r="O757" t="s">
        <v>1286</v>
      </c>
      <c r="P757" t="str">
        <f t="shared" si="57"/>
        <v>June 2025</v>
      </c>
      <c r="Q757" t="s">
        <v>966</v>
      </c>
      <c r="R757" s="8">
        <v>10513.02</v>
      </c>
      <c r="S757" s="8">
        <f t="shared" si="58"/>
        <v>691541.42</v>
      </c>
      <c r="T757" s="6">
        <f t="shared" si="59"/>
        <v>0</v>
      </c>
    </row>
    <row r="758" spans="1:20" x14ac:dyDescent="0.3">
      <c r="A758" t="s">
        <v>1839</v>
      </c>
      <c r="B758" s="13" t="s">
        <v>721</v>
      </c>
      <c r="C758" s="16">
        <f t="shared" si="55"/>
        <v>45901</v>
      </c>
      <c r="D758" t="s">
        <v>968</v>
      </c>
      <c r="E758" t="s">
        <v>33</v>
      </c>
      <c r="F758" t="s">
        <v>971</v>
      </c>
      <c r="G758" t="s">
        <v>1221</v>
      </c>
      <c r="H758" t="s">
        <v>1000</v>
      </c>
      <c r="I758">
        <v>363</v>
      </c>
      <c r="J758" s="3">
        <v>226.68</v>
      </c>
      <c r="K758" s="3">
        <v>82284.84</v>
      </c>
      <c r="L758">
        <v>292</v>
      </c>
      <c r="M758" t="s">
        <v>1283</v>
      </c>
      <c r="N758" s="16">
        <f t="shared" si="56"/>
        <v>45901</v>
      </c>
      <c r="O758" t="s">
        <v>721</v>
      </c>
      <c r="P758" t="str">
        <f t="shared" si="57"/>
        <v>September 2025</v>
      </c>
      <c r="Q758" t="s">
        <v>966</v>
      </c>
      <c r="R758" s="8">
        <v>16436.73</v>
      </c>
      <c r="S758" s="8">
        <f t="shared" si="58"/>
        <v>98721.569999999992</v>
      </c>
      <c r="T758" s="6">
        <f t="shared" si="59"/>
        <v>-1</v>
      </c>
    </row>
    <row r="759" spans="1:20" x14ac:dyDescent="0.3">
      <c r="A759" t="s">
        <v>1840</v>
      </c>
      <c r="B759" s="13" t="s">
        <v>406</v>
      </c>
      <c r="C759" s="16">
        <f t="shared" si="55"/>
        <v>45748</v>
      </c>
      <c r="D759" t="s">
        <v>984</v>
      </c>
      <c r="E759" t="s">
        <v>33</v>
      </c>
      <c r="F759" t="s">
        <v>980</v>
      </c>
      <c r="G759" t="s">
        <v>1221</v>
      </c>
      <c r="H759" t="s">
        <v>965</v>
      </c>
      <c r="I759">
        <v>2279</v>
      </c>
      <c r="J759" s="3">
        <v>797.77</v>
      </c>
      <c r="K759" s="3">
        <v>1818117.83</v>
      </c>
      <c r="L759">
        <v>717</v>
      </c>
      <c r="M759" t="s">
        <v>819</v>
      </c>
      <c r="N759" s="16">
        <f t="shared" si="56"/>
        <v>45748</v>
      </c>
      <c r="O759" t="s">
        <v>412</v>
      </c>
      <c r="P759" t="str">
        <f t="shared" si="57"/>
        <v>April 2025</v>
      </c>
      <c r="Q759" t="s">
        <v>959</v>
      </c>
      <c r="R759" s="8">
        <v>43729.73</v>
      </c>
      <c r="S759" s="8">
        <f t="shared" si="58"/>
        <v>1861847.56</v>
      </c>
      <c r="T759" s="6">
        <f t="shared" si="59"/>
        <v>1</v>
      </c>
    </row>
    <row r="760" spans="1:20" x14ac:dyDescent="0.3">
      <c r="A760" t="s">
        <v>1841</v>
      </c>
      <c r="B760" s="13" t="s">
        <v>833</v>
      </c>
      <c r="C760" s="16">
        <f t="shared" si="55"/>
        <v>45870</v>
      </c>
      <c r="D760" t="s">
        <v>975</v>
      </c>
      <c r="E760" t="s">
        <v>49</v>
      </c>
      <c r="F760" t="s">
        <v>963</v>
      </c>
      <c r="G760" t="s">
        <v>1152</v>
      </c>
      <c r="H760" t="s">
        <v>1023</v>
      </c>
      <c r="I760">
        <v>2375</v>
      </c>
      <c r="J760" s="3">
        <v>312.82</v>
      </c>
      <c r="K760" s="3">
        <v>742947.5</v>
      </c>
      <c r="L760">
        <v>383</v>
      </c>
      <c r="M760" t="s">
        <v>670</v>
      </c>
      <c r="N760" s="16">
        <f t="shared" si="56"/>
        <v>45870</v>
      </c>
      <c r="O760" t="s">
        <v>377</v>
      </c>
      <c r="P760" t="str">
        <f t="shared" si="57"/>
        <v>August 2025</v>
      </c>
      <c r="Q760" t="s">
        <v>959</v>
      </c>
      <c r="R760" s="8">
        <v>22673.439999999999</v>
      </c>
      <c r="S760" s="8">
        <f t="shared" si="58"/>
        <v>765620.94</v>
      </c>
      <c r="T760" s="6">
        <f t="shared" si="59"/>
        <v>3</v>
      </c>
    </row>
    <row r="761" spans="1:20" x14ac:dyDescent="0.3">
      <c r="A761" t="s">
        <v>1842</v>
      </c>
      <c r="B761" s="13" t="s">
        <v>313</v>
      </c>
      <c r="C761" s="16">
        <f t="shared" si="55"/>
        <v>45658</v>
      </c>
      <c r="D761" t="s">
        <v>975</v>
      </c>
      <c r="E761" t="s">
        <v>990</v>
      </c>
      <c r="F761" t="s">
        <v>963</v>
      </c>
      <c r="G761" t="s">
        <v>976</v>
      </c>
      <c r="H761" t="s">
        <v>1018</v>
      </c>
      <c r="I761">
        <v>991</v>
      </c>
      <c r="J761" s="3">
        <v>387.05</v>
      </c>
      <c r="K761" s="3">
        <v>383566.55</v>
      </c>
      <c r="L761">
        <v>550</v>
      </c>
      <c r="M761" t="s">
        <v>111</v>
      </c>
      <c r="N761" s="16">
        <f t="shared" si="56"/>
        <v>45658</v>
      </c>
      <c r="O761" t="s">
        <v>172</v>
      </c>
      <c r="P761" t="str">
        <f t="shared" si="57"/>
        <v>January 2025</v>
      </c>
      <c r="Q761" t="s">
        <v>959</v>
      </c>
      <c r="R761" s="8">
        <v>32256.3</v>
      </c>
      <c r="S761" s="8">
        <f t="shared" si="58"/>
        <v>415822.85</v>
      </c>
      <c r="T761" s="6">
        <f t="shared" si="59"/>
        <v>4</v>
      </c>
    </row>
    <row r="762" spans="1:20" x14ac:dyDescent="0.3">
      <c r="A762" t="s">
        <v>1843</v>
      </c>
      <c r="B762" s="13" t="s">
        <v>903</v>
      </c>
      <c r="C762" s="16">
        <f t="shared" si="55"/>
        <v>45658</v>
      </c>
      <c r="D762" t="s">
        <v>1021</v>
      </c>
      <c r="E762" t="s">
        <v>987</v>
      </c>
      <c r="F762" t="s">
        <v>956</v>
      </c>
      <c r="G762" t="s">
        <v>1057</v>
      </c>
      <c r="H762" t="s">
        <v>965</v>
      </c>
      <c r="I762">
        <v>1818</v>
      </c>
      <c r="J762" s="3">
        <v>863.14</v>
      </c>
      <c r="K762" s="3">
        <v>1569188.52</v>
      </c>
      <c r="L762">
        <v>370</v>
      </c>
      <c r="M762" t="s">
        <v>866</v>
      </c>
      <c r="N762" s="16">
        <f t="shared" si="56"/>
        <v>45658</v>
      </c>
      <c r="O762" t="s">
        <v>916</v>
      </c>
      <c r="P762" t="str">
        <f t="shared" si="57"/>
        <v>January 2025</v>
      </c>
      <c r="Q762" t="s">
        <v>966</v>
      </c>
      <c r="R762" s="8">
        <v>18500.66</v>
      </c>
      <c r="S762" s="8">
        <f t="shared" si="58"/>
        <v>1587689.18</v>
      </c>
      <c r="T762" s="6">
        <f t="shared" si="59"/>
        <v>-1</v>
      </c>
    </row>
    <row r="763" spans="1:20" x14ac:dyDescent="0.3">
      <c r="A763" t="s">
        <v>1844</v>
      </c>
      <c r="B763" s="13" t="s">
        <v>1005</v>
      </c>
      <c r="C763" s="16">
        <f t="shared" si="55"/>
        <v>45839</v>
      </c>
      <c r="D763" t="s">
        <v>975</v>
      </c>
      <c r="E763" t="s">
        <v>49</v>
      </c>
      <c r="F763" t="s">
        <v>956</v>
      </c>
      <c r="G763" t="s">
        <v>985</v>
      </c>
      <c r="H763" t="s">
        <v>973</v>
      </c>
      <c r="I763">
        <v>271</v>
      </c>
      <c r="J763" s="3">
        <v>530.64</v>
      </c>
      <c r="K763" s="3">
        <v>143803.44</v>
      </c>
      <c r="L763">
        <v>613</v>
      </c>
      <c r="M763" t="s">
        <v>107</v>
      </c>
      <c r="N763" s="16">
        <f t="shared" si="56"/>
        <v>45839</v>
      </c>
      <c r="O763" t="s">
        <v>284</v>
      </c>
      <c r="P763" t="str">
        <f t="shared" si="57"/>
        <v>July 2025</v>
      </c>
      <c r="Q763" t="s">
        <v>959</v>
      </c>
      <c r="R763" s="8">
        <v>33557.06</v>
      </c>
      <c r="S763" s="8">
        <f t="shared" si="58"/>
        <v>177360.5</v>
      </c>
      <c r="T763" s="6">
        <f t="shared" si="59"/>
        <v>2</v>
      </c>
    </row>
    <row r="764" spans="1:20" x14ac:dyDescent="0.3">
      <c r="A764" t="s">
        <v>1845</v>
      </c>
      <c r="B764" s="13" t="s">
        <v>361</v>
      </c>
      <c r="C764" s="16">
        <f t="shared" si="55"/>
        <v>45992</v>
      </c>
      <c r="D764" t="s">
        <v>975</v>
      </c>
      <c r="E764" t="s">
        <v>49</v>
      </c>
      <c r="F764" t="s">
        <v>956</v>
      </c>
      <c r="G764" t="s">
        <v>964</v>
      </c>
      <c r="H764" t="s">
        <v>992</v>
      </c>
      <c r="I764">
        <v>476</v>
      </c>
      <c r="J764" s="3">
        <v>638.74</v>
      </c>
      <c r="K764" s="3">
        <v>304040.24</v>
      </c>
      <c r="L764">
        <v>28</v>
      </c>
      <c r="M764" t="s">
        <v>195</v>
      </c>
      <c r="N764" s="16">
        <f t="shared" si="56"/>
        <v>45992</v>
      </c>
      <c r="O764" t="s">
        <v>195</v>
      </c>
      <c r="P764" t="str">
        <f t="shared" si="57"/>
        <v>December 2025</v>
      </c>
      <c r="Q764" t="s">
        <v>966</v>
      </c>
      <c r="R764" s="8">
        <v>1432.9</v>
      </c>
      <c r="S764" s="8">
        <f t="shared" si="58"/>
        <v>305473.14</v>
      </c>
      <c r="T764" s="6">
        <f t="shared" si="59"/>
        <v>0</v>
      </c>
    </row>
    <row r="765" spans="1:20" x14ac:dyDescent="0.3">
      <c r="A765" t="s">
        <v>1846</v>
      </c>
      <c r="B765" s="13" t="s">
        <v>188</v>
      </c>
      <c r="C765" s="16">
        <f t="shared" si="55"/>
        <v>45778</v>
      </c>
      <c r="D765" t="s">
        <v>961</v>
      </c>
      <c r="E765" t="s">
        <v>49</v>
      </c>
      <c r="F765" t="s">
        <v>956</v>
      </c>
      <c r="G765" t="s">
        <v>981</v>
      </c>
      <c r="H765" t="s">
        <v>1034</v>
      </c>
      <c r="I765">
        <v>1958</v>
      </c>
      <c r="J765" s="3">
        <v>555.34</v>
      </c>
      <c r="K765" s="3">
        <v>1087355.72</v>
      </c>
      <c r="L765">
        <v>496</v>
      </c>
      <c r="M765" t="s">
        <v>343</v>
      </c>
      <c r="N765" s="16">
        <f t="shared" si="56"/>
        <v>45778</v>
      </c>
      <c r="O765" t="s">
        <v>383</v>
      </c>
      <c r="P765" t="str">
        <f t="shared" si="57"/>
        <v>May 2025</v>
      </c>
      <c r="Q765" t="s">
        <v>959</v>
      </c>
      <c r="R765" s="8">
        <v>30437.59</v>
      </c>
      <c r="S765" s="8">
        <f t="shared" si="58"/>
        <v>1117793.31</v>
      </c>
      <c r="T765" s="6">
        <f t="shared" si="59"/>
        <v>3</v>
      </c>
    </row>
    <row r="766" spans="1:20" x14ac:dyDescent="0.3">
      <c r="A766" t="s">
        <v>1847</v>
      </c>
      <c r="B766" s="13" t="s">
        <v>412</v>
      </c>
      <c r="C766" s="16">
        <f t="shared" si="55"/>
        <v>45748</v>
      </c>
      <c r="D766" t="s">
        <v>1003</v>
      </c>
      <c r="E766" t="s">
        <v>990</v>
      </c>
      <c r="F766" t="s">
        <v>980</v>
      </c>
      <c r="G766" t="s">
        <v>1051</v>
      </c>
      <c r="H766" t="s">
        <v>982</v>
      </c>
      <c r="I766">
        <v>1008</v>
      </c>
      <c r="J766" s="3">
        <v>173.2</v>
      </c>
      <c r="K766" s="3">
        <v>174585.60000000001</v>
      </c>
      <c r="L766">
        <v>195</v>
      </c>
      <c r="M766" t="s">
        <v>300</v>
      </c>
      <c r="N766" s="16">
        <f t="shared" si="56"/>
        <v>45748</v>
      </c>
      <c r="O766" t="s">
        <v>116</v>
      </c>
      <c r="P766" t="str">
        <f t="shared" si="57"/>
        <v>April 2025</v>
      </c>
      <c r="Q766" t="s">
        <v>959</v>
      </c>
      <c r="R766" s="8">
        <v>7795</v>
      </c>
      <c r="S766" s="8">
        <f t="shared" si="58"/>
        <v>182380.6</v>
      </c>
      <c r="T766" s="6">
        <f t="shared" si="59"/>
        <v>1</v>
      </c>
    </row>
    <row r="767" spans="1:20" x14ac:dyDescent="0.3">
      <c r="A767" t="s">
        <v>1848</v>
      </c>
      <c r="B767" s="13" t="s">
        <v>704</v>
      </c>
      <c r="C767" s="16">
        <f t="shared" si="55"/>
        <v>45748</v>
      </c>
      <c r="D767" t="s">
        <v>1021</v>
      </c>
      <c r="E767" t="s">
        <v>43</v>
      </c>
      <c r="F767" t="s">
        <v>971</v>
      </c>
      <c r="G767" t="s">
        <v>981</v>
      </c>
      <c r="H767" t="s">
        <v>1000</v>
      </c>
      <c r="I767">
        <v>2212</v>
      </c>
      <c r="J767" s="3">
        <v>863.02</v>
      </c>
      <c r="K767" s="3">
        <v>1909000.24</v>
      </c>
      <c r="L767">
        <v>694</v>
      </c>
      <c r="M767" t="s">
        <v>287</v>
      </c>
      <c r="N767" s="16">
        <f t="shared" si="56"/>
        <v>45748</v>
      </c>
      <c r="O767" t="s">
        <v>287</v>
      </c>
      <c r="P767" t="str">
        <f t="shared" si="57"/>
        <v>April 2025</v>
      </c>
      <c r="Q767" t="s">
        <v>966</v>
      </c>
      <c r="R767" s="8">
        <v>31549.5</v>
      </c>
      <c r="S767" s="8">
        <f t="shared" si="58"/>
        <v>1940549.74</v>
      </c>
      <c r="T767" s="6">
        <f t="shared" si="59"/>
        <v>0</v>
      </c>
    </row>
    <row r="768" spans="1:20" x14ac:dyDescent="0.3">
      <c r="A768" t="s">
        <v>1849</v>
      </c>
      <c r="B768" s="13" t="s">
        <v>163</v>
      </c>
      <c r="C768" s="16">
        <f t="shared" si="55"/>
        <v>45992</v>
      </c>
      <c r="D768" t="s">
        <v>975</v>
      </c>
      <c r="E768" t="s">
        <v>987</v>
      </c>
      <c r="F768" t="s">
        <v>980</v>
      </c>
      <c r="G768" t="s">
        <v>964</v>
      </c>
      <c r="H768" t="s">
        <v>958</v>
      </c>
      <c r="I768">
        <v>2141</v>
      </c>
      <c r="J768" s="3">
        <v>554.54999999999995</v>
      </c>
      <c r="K768" s="3">
        <v>1187291.55</v>
      </c>
      <c r="L768">
        <v>32</v>
      </c>
      <c r="M768" t="s">
        <v>130</v>
      </c>
      <c r="N768" s="16">
        <f t="shared" si="56"/>
        <v>45992</v>
      </c>
      <c r="O768" t="s">
        <v>163</v>
      </c>
      <c r="P768" t="str">
        <f t="shared" si="57"/>
        <v>December 2025</v>
      </c>
      <c r="Q768" t="s">
        <v>966</v>
      </c>
      <c r="R768" s="8">
        <v>1470.97</v>
      </c>
      <c r="S768" s="8">
        <f t="shared" si="58"/>
        <v>1188762.52</v>
      </c>
      <c r="T768" s="6">
        <f t="shared" si="59"/>
        <v>-1</v>
      </c>
    </row>
    <row r="769" spans="1:20" x14ac:dyDescent="0.3">
      <c r="A769" t="s">
        <v>1850</v>
      </c>
      <c r="B769" s="13" t="s">
        <v>174</v>
      </c>
      <c r="C769" s="16">
        <f t="shared" si="55"/>
        <v>45809</v>
      </c>
      <c r="D769" t="s">
        <v>984</v>
      </c>
      <c r="E769" t="s">
        <v>49</v>
      </c>
      <c r="F769" t="s">
        <v>971</v>
      </c>
      <c r="G769" t="s">
        <v>1042</v>
      </c>
      <c r="H769" t="s">
        <v>1034</v>
      </c>
      <c r="I769">
        <v>1039</v>
      </c>
      <c r="J769" s="3">
        <v>599.34</v>
      </c>
      <c r="K769" s="3">
        <v>622714.26</v>
      </c>
      <c r="L769">
        <v>553</v>
      </c>
      <c r="M769" t="s">
        <v>186</v>
      </c>
      <c r="N769" s="16">
        <f t="shared" si="56"/>
        <v>45809</v>
      </c>
      <c r="O769" t="s">
        <v>244</v>
      </c>
      <c r="P769" t="str">
        <f t="shared" si="57"/>
        <v>June 2025</v>
      </c>
      <c r="Q769" t="s">
        <v>966</v>
      </c>
      <c r="R769" s="8">
        <v>30911.58</v>
      </c>
      <c r="S769" s="8">
        <f t="shared" si="58"/>
        <v>653625.84</v>
      </c>
      <c r="T769" s="6">
        <f t="shared" si="59"/>
        <v>-1</v>
      </c>
    </row>
    <row r="770" spans="1:20" x14ac:dyDescent="0.3">
      <c r="A770" t="s">
        <v>1851</v>
      </c>
      <c r="B770" s="13" t="s">
        <v>219</v>
      </c>
      <c r="C770" s="16">
        <f t="shared" si="55"/>
        <v>45778</v>
      </c>
      <c r="D770" t="s">
        <v>961</v>
      </c>
      <c r="E770" t="s">
        <v>43</v>
      </c>
      <c r="F770" t="s">
        <v>980</v>
      </c>
      <c r="G770" t="s">
        <v>1068</v>
      </c>
      <c r="H770" t="s">
        <v>1018</v>
      </c>
      <c r="I770">
        <v>105</v>
      </c>
      <c r="J770" s="3">
        <v>305.17</v>
      </c>
      <c r="K770" s="3">
        <v>32042.85</v>
      </c>
      <c r="L770">
        <v>704</v>
      </c>
      <c r="M770" t="s">
        <v>1099</v>
      </c>
      <c r="N770" s="16">
        <f t="shared" si="56"/>
        <v>45778</v>
      </c>
      <c r="O770" t="s">
        <v>1099</v>
      </c>
      <c r="P770" t="str">
        <f t="shared" si="57"/>
        <v>May 2025</v>
      </c>
      <c r="Q770" t="s">
        <v>966</v>
      </c>
      <c r="R770" s="8">
        <v>33968.83</v>
      </c>
      <c r="S770" s="8">
        <f t="shared" si="58"/>
        <v>66011.679999999993</v>
      </c>
      <c r="T770" s="6">
        <f t="shared" si="59"/>
        <v>0</v>
      </c>
    </row>
    <row r="771" spans="1:20" x14ac:dyDescent="0.3">
      <c r="A771" t="s">
        <v>1852</v>
      </c>
      <c r="B771" s="13" t="s">
        <v>837</v>
      </c>
      <c r="C771" s="16">
        <f t="shared" ref="C771:C801" si="60">DATE(YEAR(B771), MONTH(B771), 1)</f>
        <v>45689</v>
      </c>
      <c r="D771" t="s">
        <v>955</v>
      </c>
      <c r="E771" t="s">
        <v>962</v>
      </c>
      <c r="F771" t="s">
        <v>963</v>
      </c>
      <c r="G771" t="s">
        <v>1152</v>
      </c>
      <c r="H771" t="s">
        <v>1000</v>
      </c>
      <c r="I771">
        <v>1819</v>
      </c>
      <c r="J771" s="3">
        <v>846.43</v>
      </c>
      <c r="K771" s="3">
        <v>1539656.17</v>
      </c>
      <c r="L771">
        <v>580</v>
      </c>
      <c r="M771" t="s">
        <v>363</v>
      </c>
      <c r="N771" s="16">
        <f t="shared" ref="N771:N801" si="61">DATE(YEAR(M771), MONTH(M771),1)</f>
        <v>45689</v>
      </c>
      <c r="O771" t="s">
        <v>363</v>
      </c>
      <c r="P771" t="str">
        <f t="shared" ref="P771:P801" si="62">TEXT(O771, "mmmm yyyy")</f>
        <v>February 2025</v>
      </c>
      <c r="Q771" t="s">
        <v>966</v>
      </c>
      <c r="R771" s="8">
        <v>22695.38</v>
      </c>
      <c r="S771" s="8">
        <f t="shared" ref="S771:S801" si="63">K771 +R771</f>
        <v>1562351.5499999998</v>
      </c>
      <c r="T771" s="6">
        <f t="shared" si="59"/>
        <v>0</v>
      </c>
    </row>
    <row r="772" spans="1:20" x14ac:dyDescent="0.3">
      <c r="A772" t="s">
        <v>1853</v>
      </c>
      <c r="B772" s="13" t="s">
        <v>859</v>
      </c>
      <c r="C772" s="16">
        <f t="shared" si="60"/>
        <v>45901</v>
      </c>
      <c r="D772" t="s">
        <v>955</v>
      </c>
      <c r="E772" t="s">
        <v>962</v>
      </c>
      <c r="F772" t="s">
        <v>980</v>
      </c>
      <c r="G772" t="s">
        <v>991</v>
      </c>
      <c r="H772" t="s">
        <v>982</v>
      </c>
      <c r="I772">
        <v>167</v>
      </c>
      <c r="J772" s="3">
        <v>556.73</v>
      </c>
      <c r="K772" s="3">
        <v>92973.91</v>
      </c>
      <c r="L772">
        <v>599</v>
      </c>
      <c r="M772" t="s">
        <v>1207</v>
      </c>
      <c r="N772" s="16">
        <f t="shared" si="61"/>
        <v>45901</v>
      </c>
      <c r="O772" t="s">
        <v>352</v>
      </c>
      <c r="P772" t="str">
        <f t="shared" si="62"/>
        <v>September 2025</v>
      </c>
      <c r="Q772" t="s">
        <v>959</v>
      </c>
      <c r="R772" s="8">
        <v>32389.41</v>
      </c>
      <c r="S772" s="8">
        <f t="shared" si="63"/>
        <v>125363.32</v>
      </c>
      <c r="T772" s="6">
        <f t="shared" ref="T772:T801" si="64">O772 -M772</f>
        <v>3</v>
      </c>
    </row>
    <row r="773" spans="1:20" x14ac:dyDescent="0.3">
      <c r="A773" t="s">
        <v>1854</v>
      </c>
      <c r="B773" s="13" t="s">
        <v>422</v>
      </c>
      <c r="C773" s="16">
        <f t="shared" si="60"/>
        <v>45901</v>
      </c>
      <c r="D773" t="s">
        <v>1021</v>
      </c>
      <c r="E773" t="s">
        <v>49</v>
      </c>
      <c r="F773" t="s">
        <v>980</v>
      </c>
      <c r="G773" t="s">
        <v>1045</v>
      </c>
      <c r="H773" t="s">
        <v>973</v>
      </c>
      <c r="I773">
        <v>1893</v>
      </c>
      <c r="J773" s="3">
        <v>254.24</v>
      </c>
      <c r="K773" s="3">
        <v>481276.32</v>
      </c>
      <c r="L773">
        <v>154</v>
      </c>
      <c r="M773" t="s">
        <v>246</v>
      </c>
      <c r="N773" s="16">
        <f t="shared" si="61"/>
        <v>45901</v>
      </c>
      <c r="O773" t="s">
        <v>246</v>
      </c>
      <c r="P773" t="str">
        <f t="shared" si="62"/>
        <v>September 2025</v>
      </c>
      <c r="Q773" t="s">
        <v>966</v>
      </c>
      <c r="R773" s="8">
        <v>6649</v>
      </c>
      <c r="S773" s="8">
        <f t="shared" si="63"/>
        <v>487925.32</v>
      </c>
      <c r="T773" s="6">
        <f t="shared" si="64"/>
        <v>0</v>
      </c>
    </row>
    <row r="774" spans="1:20" x14ac:dyDescent="0.3">
      <c r="A774" t="s">
        <v>1855</v>
      </c>
      <c r="B774" s="13" t="s">
        <v>528</v>
      </c>
      <c r="C774" s="16">
        <f t="shared" si="60"/>
        <v>45992</v>
      </c>
      <c r="D774" t="s">
        <v>1021</v>
      </c>
      <c r="E774" t="s">
        <v>43</v>
      </c>
      <c r="F774" t="s">
        <v>980</v>
      </c>
      <c r="G774" t="s">
        <v>1078</v>
      </c>
      <c r="H774" t="s">
        <v>982</v>
      </c>
      <c r="I774">
        <v>832</v>
      </c>
      <c r="J774" s="3">
        <v>194.66</v>
      </c>
      <c r="K774" s="3">
        <v>161957.12</v>
      </c>
      <c r="L774">
        <v>74</v>
      </c>
      <c r="M774" t="s">
        <v>503</v>
      </c>
      <c r="N774" s="16">
        <f t="shared" si="61"/>
        <v>45992</v>
      </c>
      <c r="O774" t="s">
        <v>765</v>
      </c>
      <c r="P774" t="str">
        <f t="shared" si="62"/>
        <v>December 2025</v>
      </c>
      <c r="Q774" t="s">
        <v>959</v>
      </c>
      <c r="R774" s="8">
        <v>3278.27</v>
      </c>
      <c r="S774" s="8">
        <f t="shared" si="63"/>
        <v>165235.38999999998</v>
      </c>
      <c r="T774" s="6">
        <f t="shared" si="64"/>
        <v>3</v>
      </c>
    </row>
    <row r="775" spans="1:20" x14ac:dyDescent="0.3">
      <c r="A775" t="s">
        <v>1856</v>
      </c>
      <c r="B775" s="13" t="s">
        <v>343</v>
      </c>
      <c r="C775" s="16">
        <f t="shared" si="60"/>
        <v>45778</v>
      </c>
      <c r="D775" t="s">
        <v>961</v>
      </c>
      <c r="E775" t="s">
        <v>990</v>
      </c>
      <c r="F775" t="s">
        <v>980</v>
      </c>
      <c r="G775" t="s">
        <v>991</v>
      </c>
      <c r="H775" t="s">
        <v>965</v>
      </c>
      <c r="I775">
        <v>2372</v>
      </c>
      <c r="J775" s="3">
        <v>249.28</v>
      </c>
      <c r="K775" s="3">
        <v>591292.16000000003</v>
      </c>
      <c r="L775">
        <v>657</v>
      </c>
      <c r="M775" t="s">
        <v>1210</v>
      </c>
      <c r="N775" s="16">
        <f t="shared" si="61"/>
        <v>45778</v>
      </c>
      <c r="O775" t="s">
        <v>1210</v>
      </c>
      <c r="P775" t="str">
        <f t="shared" si="62"/>
        <v>May 2025</v>
      </c>
      <c r="Q775" t="s">
        <v>966</v>
      </c>
      <c r="R775" s="8">
        <v>27157.02</v>
      </c>
      <c r="S775" s="8">
        <f t="shared" si="63"/>
        <v>618449.18000000005</v>
      </c>
      <c r="T775" s="6">
        <f t="shared" si="64"/>
        <v>0</v>
      </c>
    </row>
    <row r="776" spans="1:20" x14ac:dyDescent="0.3">
      <c r="A776" t="s">
        <v>1857</v>
      </c>
      <c r="B776" s="13" t="s">
        <v>536</v>
      </c>
      <c r="C776" s="16">
        <f t="shared" si="60"/>
        <v>45962</v>
      </c>
      <c r="D776" t="s">
        <v>955</v>
      </c>
      <c r="E776" t="s">
        <v>987</v>
      </c>
      <c r="F776" t="s">
        <v>956</v>
      </c>
      <c r="G776" t="s">
        <v>1040</v>
      </c>
      <c r="H776" t="s">
        <v>977</v>
      </c>
      <c r="I776">
        <v>953</v>
      </c>
      <c r="J776" s="3">
        <v>473.12</v>
      </c>
      <c r="K776" s="3">
        <v>450883.36</v>
      </c>
      <c r="L776">
        <v>203</v>
      </c>
      <c r="M776" t="s">
        <v>305</v>
      </c>
      <c r="N776" s="16">
        <f t="shared" si="61"/>
        <v>45962</v>
      </c>
      <c r="O776" t="s">
        <v>305</v>
      </c>
      <c r="P776" t="str">
        <f t="shared" si="62"/>
        <v>November 2025</v>
      </c>
      <c r="Q776" t="s">
        <v>966</v>
      </c>
      <c r="R776" s="8">
        <v>8551.67</v>
      </c>
      <c r="S776" s="8">
        <f t="shared" si="63"/>
        <v>459435.02999999997</v>
      </c>
      <c r="T776" s="6">
        <f t="shared" si="64"/>
        <v>0</v>
      </c>
    </row>
    <row r="777" spans="1:20" x14ac:dyDescent="0.3">
      <c r="A777" t="s">
        <v>1858</v>
      </c>
      <c r="B777" s="13" t="s">
        <v>246</v>
      </c>
      <c r="C777" s="16">
        <f t="shared" si="60"/>
        <v>45901</v>
      </c>
      <c r="D777" t="s">
        <v>955</v>
      </c>
      <c r="E777" t="s">
        <v>33</v>
      </c>
      <c r="F777" t="s">
        <v>980</v>
      </c>
      <c r="G777" t="s">
        <v>1072</v>
      </c>
      <c r="H777" t="s">
        <v>982</v>
      </c>
      <c r="I777">
        <v>1362</v>
      </c>
      <c r="J777" s="3">
        <v>232.64</v>
      </c>
      <c r="K777" s="3">
        <v>316855.67999999999</v>
      </c>
      <c r="L777">
        <v>153</v>
      </c>
      <c r="M777" t="s">
        <v>859</v>
      </c>
      <c r="N777" s="16">
        <f t="shared" si="61"/>
        <v>45901</v>
      </c>
      <c r="O777" t="s">
        <v>859</v>
      </c>
      <c r="P777" t="str">
        <f t="shared" si="62"/>
        <v>September 2025</v>
      </c>
      <c r="Q777" t="s">
        <v>966</v>
      </c>
      <c r="R777" s="8">
        <v>8441.7999999999993</v>
      </c>
      <c r="S777" s="8">
        <f t="shared" si="63"/>
        <v>325297.48</v>
      </c>
      <c r="T777" s="6">
        <f t="shared" si="64"/>
        <v>0</v>
      </c>
    </row>
    <row r="778" spans="1:20" x14ac:dyDescent="0.3">
      <c r="A778" t="s">
        <v>1859</v>
      </c>
      <c r="B778" s="13" t="s">
        <v>300</v>
      </c>
      <c r="C778" s="16">
        <f t="shared" si="60"/>
        <v>45748</v>
      </c>
      <c r="D778" t="s">
        <v>1003</v>
      </c>
      <c r="E778" t="s">
        <v>43</v>
      </c>
      <c r="F778" t="s">
        <v>963</v>
      </c>
      <c r="G778" t="s">
        <v>988</v>
      </c>
      <c r="H778" t="s">
        <v>973</v>
      </c>
      <c r="I778">
        <v>67</v>
      </c>
      <c r="J778" s="3">
        <v>339.54</v>
      </c>
      <c r="K778" s="3">
        <v>22749.18</v>
      </c>
      <c r="L778">
        <v>495</v>
      </c>
      <c r="M778" t="s">
        <v>316</v>
      </c>
      <c r="N778" s="16">
        <f t="shared" si="61"/>
        <v>45748</v>
      </c>
      <c r="O778" t="s">
        <v>745</v>
      </c>
      <c r="P778" t="str">
        <f t="shared" si="62"/>
        <v>April 2025</v>
      </c>
      <c r="Q778" t="s">
        <v>959</v>
      </c>
      <c r="R778" s="8">
        <v>30192.92</v>
      </c>
      <c r="S778" s="8">
        <f t="shared" si="63"/>
        <v>52942.1</v>
      </c>
      <c r="T778" s="6">
        <f t="shared" si="64"/>
        <v>2</v>
      </c>
    </row>
    <row r="779" spans="1:20" x14ac:dyDescent="0.3">
      <c r="A779" t="s">
        <v>1860</v>
      </c>
      <c r="B779" s="13" t="s">
        <v>543</v>
      </c>
      <c r="C779" s="16">
        <f t="shared" si="60"/>
        <v>45931</v>
      </c>
      <c r="D779" t="s">
        <v>968</v>
      </c>
      <c r="E779" t="s">
        <v>49</v>
      </c>
      <c r="F779" t="s">
        <v>963</v>
      </c>
      <c r="G779" t="s">
        <v>1040</v>
      </c>
      <c r="H779" t="s">
        <v>982</v>
      </c>
      <c r="I779">
        <v>981</v>
      </c>
      <c r="J779" s="3">
        <v>344.76</v>
      </c>
      <c r="K779" s="3">
        <v>338209.56</v>
      </c>
      <c r="L779">
        <v>630</v>
      </c>
      <c r="M779" t="s">
        <v>201</v>
      </c>
      <c r="N779" s="16">
        <f t="shared" si="61"/>
        <v>45931</v>
      </c>
      <c r="O779" t="s">
        <v>201</v>
      </c>
      <c r="P779" t="str">
        <f t="shared" si="62"/>
        <v>October 2025</v>
      </c>
      <c r="Q779" t="s">
        <v>966</v>
      </c>
      <c r="R779" s="8">
        <v>38405.81</v>
      </c>
      <c r="S779" s="8">
        <f t="shared" si="63"/>
        <v>376615.37</v>
      </c>
      <c r="T779" s="6">
        <f t="shared" si="64"/>
        <v>0</v>
      </c>
    </row>
    <row r="780" spans="1:20" x14ac:dyDescent="0.3">
      <c r="A780" t="s">
        <v>1861</v>
      </c>
      <c r="B780" s="13" t="s">
        <v>450</v>
      </c>
      <c r="C780" s="16">
        <f t="shared" si="60"/>
        <v>45870</v>
      </c>
      <c r="D780" t="s">
        <v>975</v>
      </c>
      <c r="E780" t="s">
        <v>33</v>
      </c>
      <c r="F780" t="s">
        <v>971</v>
      </c>
      <c r="G780" t="s">
        <v>994</v>
      </c>
      <c r="H780" t="s">
        <v>1034</v>
      </c>
      <c r="I780">
        <v>2034</v>
      </c>
      <c r="J780" s="3">
        <v>864.52</v>
      </c>
      <c r="K780" s="3">
        <v>1758433.68</v>
      </c>
      <c r="L780">
        <v>678</v>
      </c>
      <c r="M780" t="s">
        <v>118</v>
      </c>
      <c r="N780" s="16">
        <f t="shared" si="61"/>
        <v>45870</v>
      </c>
      <c r="O780" t="s">
        <v>118</v>
      </c>
      <c r="P780" t="str">
        <f t="shared" si="62"/>
        <v>August 2025</v>
      </c>
      <c r="Q780" t="s">
        <v>966</v>
      </c>
      <c r="R780" s="8">
        <v>40820.65</v>
      </c>
      <c r="S780" s="8">
        <f t="shared" si="63"/>
        <v>1799254.3299999998</v>
      </c>
      <c r="T780" s="6">
        <f t="shared" si="64"/>
        <v>0</v>
      </c>
    </row>
    <row r="781" spans="1:20" x14ac:dyDescent="0.3">
      <c r="A781" t="s">
        <v>1862</v>
      </c>
      <c r="B781" s="13" t="s">
        <v>323</v>
      </c>
      <c r="C781" s="16">
        <f t="shared" si="60"/>
        <v>45870</v>
      </c>
      <c r="D781" t="s">
        <v>955</v>
      </c>
      <c r="E781" t="s">
        <v>49</v>
      </c>
      <c r="F781" t="s">
        <v>980</v>
      </c>
      <c r="G781" t="s">
        <v>976</v>
      </c>
      <c r="H781" t="s">
        <v>1023</v>
      </c>
      <c r="I781">
        <v>389</v>
      </c>
      <c r="J781" s="3">
        <v>145.19</v>
      </c>
      <c r="K781" s="3">
        <v>56478.91</v>
      </c>
      <c r="L781">
        <v>229</v>
      </c>
      <c r="M781" t="s">
        <v>242</v>
      </c>
      <c r="N781" s="16">
        <f t="shared" si="61"/>
        <v>45870</v>
      </c>
      <c r="O781" t="s">
        <v>557</v>
      </c>
      <c r="P781" t="str">
        <f t="shared" si="62"/>
        <v>September 2025</v>
      </c>
      <c r="Q781" t="s">
        <v>959</v>
      </c>
      <c r="R781" s="8">
        <v>12314.51</v>
      </c>
      <c r="S781" s="8">
        <f t="shared" si="63"/>
        <v>68793.42</v>
      </c>
      <c r="T781" s="6">
        <f t="shared" si="64"/>
        <v>3</v>
      </c>
    </row>
    <row r="782" spans="1:20" x14ac:dyDescent="0.3">
      <c r="A782" t="s">
        <v>1863</v>
      </c>
      <c r="B782" s="13" t="s">
        <v>1016</v>
      </c>
      <c r="C782" s="16">
        <f t="shared" si="60"/>
        <v>45992</v>
      </c>
      <c r="D782" t="s">
        <v>984</v>
      </c>
      <c r="E782" t="s">
        <v>49</v>
      </c>
      <c r="F782" t="s">
        <v>963</v>
      </c>
      <c r="G782" t="s">
        <v>972</v>
      </c>
      <c r="H782" t="s">
        <v>1034</v>
      </c>
      <c r="I782">
        <v>180</v>
      </c>
      <c r="J782" s="3">
        <v>663.41</v>
      </c>
      <c r="K782" s="3">
        <v>119413.8</v>
      </c>
      <c r="L782">
        <v>287</v>
      </c>
      <c r="M782" t="s">
        <v>656</v>
      </c>
      <c r="N782" s="16">
        <f t="shared" si="61"/>
        <v>45992</v>
      </c>
      <c r="O782" t="s">
        <v>656</v>
      </c>
      <c r="P782" t="str">
        <f t="shared" si="62"/>
        <v>December 2025</v>
      </c>
      <c r="Q782" t="s">
        <v>966</v>
      </c>
      <c r="R782" s="8">
        <v>13928.39</v>
      </c>
      <c r="S782" s="8">
        <f t="shared" si="63"/>
        <v>133342.19</v>
      </c>
      <c r="T782" s="6">
        <f t="shared" si="64"/>
        <v>0</v>
      </c>
    </row>
    <row r="783" spans="1:20" x14ac:dyDescent="0.3">
      <c r="A783" t="s">
        <v>1864</v>
      </c>
      <c r="B783" s="13" t="s">
        <v>186</v>
      </c>
      <c r="C783" s="16">
        <f t="shared" si="60"/>
        <v>45809</v>
      </c>
      <c r="D783" t="s">
        <v>968</v>
      </c>
      <c r="E783" t="s">
        <v>962</v>
      </c>
      <c r="F783" t="s">
        <v>980</v>
      </c>
      <c r="G783" t="s">
        <v>964</v>
      </c>
      <c r="H783" t="s">
        <v>1018</v>
      </c>
      <c r="I783">
        <v>857</v>
      </c>
      <c r="J783" s="3">
        <v>874.14</v>
      </c>
      <c r="K783" s="3">
        <v>749137.98</v>
      </c>
      <c r="L783">
        <v>493</v>
      </c>
      <c r="M783" t="s">
        <v>1245</v>
      </c>
      <c r="N783" s="16">
        <f t="shared" si="61"/>
        <v>45809</v>
      </c>
      <c r="O783" t="s">
        <v>513</v>
      </c>
      <c r="P783" t="str">
        <f t="shared" si="62"/>
        <v>June 2025</v>
      </c>
      <c r="Q783" t="s">
        <v>959</v>
      </c>
      <c r="R783" s="8">
        <v>25914.41</v>
      </c>
      <c r="S783" s="8">
        <f t="shared" si="63"/>
        <v>775052.39</v>
      </c>
      <c r="T783" s="6">
        <f t="shared" si="64"/>
        <v>2</v>
      </c>
    </row>
    <row r="784" spans="1:20" x14ac:dyDescent="0.3">
      <c r="A784" t="s">
        <v>1865</v>
      </c>
      <c r="B784" s="13" t="s">
        <v>191</v>
      </c>
      <c r="C784" s="16">
        <f t="shared" si="60"/>
        <v>45839</v>
      </c>
      <c r="D784" t="s">
        <v>1021</v>
      </c>
      <c r="E784" t="s">
        <v>990</v>
      </c>
      <c r="F784" t="s">
        <v>963</v>
      </c>
      <c r="G784" t="s">
        <v>1078</v>
      </c>
      <c r="H784" t="s">
        <v>973</v>
      </c>
      <c r="I784">
        <v>55</v>
      </c>
      <c r="J784" s="3">
        <v>573.79999999999995</v>
      </c>
      <c r="K784" s="3">
        <v>31559</v>
      </c>
      <c r="L784">
        <v>305</v>
      </c>
      <c r="M784" t="s">
        <v>256</v>
      </c>
      <c r="N784" s="16">
        <f t="shared" si="61"/>
        <v>45839</v>
      </c>
      <c r="O784" t="s">
        <v>277</v>
      </c>
      <c r="P784" t="str">
        <f t="shared" si="62"/>
        <v>July 2025</v>
      </c>
      <c r="Q784" t="s">
        <v>959</v>
      </c>
      <c r="R784" s="8">
        <v>15265.08</v>
      </c>
      <c r="S784" s="8">
        <f t="shared" si="63"/>
        <v>46824.08</v>
      </c>
      <c r="T784" s="6">
        <f t="shared" si="64"/>
        <v>2</v>
      </c>
    </row>
    <row r="785" spans="1:20" x14ac:dyDescent="0.3">
      <c r="A785" t="s">
        <v>1866</v>
      </c>
      <c r="B785" s="13" t="s">
        <v>1071</v>
      </c>
      <c r="C785" s="16">
        <f t="shared" si="60"/>
        <v>45870</v>
      </c>
      <c r="D785" t="s">
        <v>984</v>
      </c>
      <c r="E785" t="s">
        <v>43</v>
      </c>
      <c r="F785" t="s">
        <v>980</v>
      </c>
      <c r="G785" t="s">
        <v>1078</v>
      </c>
      <c r="H785" t="s">
        <v>982</v>
      </c>
      <c r="I785">
        <v>953</v>
      </c>
      <c r="J785" s="3">
        <v>188.14</v>
      </c>
      <c r="K785" s="3">
        <v>179297.42</v>
      </c>
      <c r="L785">
        <v>677</v>
      </c>
      <c r="M785" t="s">
        <v>31</v>
      </c>
      <c r="N785" s="16">
        <f t="shared" si="61"/>
        <v>45870</v>
      </c>
      <c r="O785" t="s">
        <v>242</v>
      </c>
      <c r="P785" t="str">
        <f t="shared" si="62"/>
        <v>August 2025</v>
      </c>
      <c r="Q785" t="s">
        <v>959</v>
      </c>
      <c r="R785" s="8">
        <v>33462.32</v>
      </c>
      <c r="S785" s="8">
        <f t="shared" si="63"/>
        <v>212759.74000000002</v>
      </c>
      <c r="T785" s="6">
        <f t="shared" si="64"/>
        <v>4</v>
      </c>
    </row>
    <row r="786" spans="1:20" x14ac:dyDescent="0.3">
      <c r="A786" t="s">
        <v>1867</v>
      </c>
      <c r="B786" s="13" t="s">
        <v>186</v>
      </c>
      <c r="C786" s="16">
        <f t="shared" si="60"/>
        <v>45809</v>
      </c>
      <c r="D786" t="s">
        <v>968</v>
      </c>
      <c r="E786" t="s">
        <v>962</v>
      </c>
      <c r="F786" t="s">
        <v>980</v>
      </c>
      <c r="G786" t="s">
        <v>1012</v>
      </c>
      <c r="H786" t="s">
        <v>965</v>
      </c>
      <c r="I786">
        <v>2172</v>
      </c>
      <c r="J786" s="3">
        <v>378.6</v>
      </c>
      <c r="K786" s="3">
        <v>822319.2</v>
      </c>
      <c r="L786">
        <v>694</v>
      </c>
      <c r="M786" t="s">
        <v>1245</v>
      </c>
      <c r="N786" s="16">
        <f t="shared" si="61"/>
        <v>45809</v>
      </c>
      <c r="O786" t="s">
        <v>1245</v>
      </c>
      <c r="P786" t="str">
        <f t="shared" si="62"/>
        <v>June 2025</v>
      </c>
      <c r="Q786" t="s">
        <v>966</v>
      </c>
      <c r="R786" s="8">
        <v>25754.86</v>
      </c>
      <c r="S786" s="8">
        <f t="shared" si="63"/>
        <v>848074.05999999994</v>
      </c>
      <c r="T786" s="6">
        <f t="shared" si="64"/>
        <v>0</v>
      </c>
    </row>
    <row r="787" spans="1:20" x14ac:dyDescent="0.3">
      <c r="A787" t="s">
        <v>1868</v>
      </c>
      <c r="B787" s="13" t="s">
        <v>459</v>
      </c>
      <c r="C787" s="16">
        <f t="shared" si="60"/>
        <v>45658</v>
      </c>
      <c r="D787" t="s">
        <v>968</v>
      </c>
      <c r="E787" t="s">
        <v>43</v>
      </c>
      <c r="F787" t="s">
        <v>963</v>
      </c>
      <c r="G787" t="s">
        <v>1045</v>
      </c>
      <c r="H787" t="s">
        <v>1023</v>
      </c>
      <c r="I787">
        <v>127</v>
      </c>
      <c r="J787" s="3">
        <v>830.63</v>
      </c>
      <c r="K787" s="3">
        <v>105490.01</v>
      </c>
      <c r="L787">
        <v>523</v>
      </c>
      <c r="M787" t="s">
        <v>15</v>
      </c>
      <c r="N787" s="16">
        <f t="shared" si="61"/>
        <v>45689</v>
      </c>
      <c r="O787" t="s">
        <v>105</v>
      </c>
      <c r="P787" t="str">
        <f t="shared" si="62"/>
        <v>February 2025</v>
      </c>
      <c r="Q787" t="s">
        <v>959</v>
      </c>
      <c r="R787" s="8">
        <v>26347.67</v>
      </c>
      <c r="S787" s="8">
        <f t="shared" si="63"/>
        <v>131837.68</v>
      </c>
      <c r="T787" s="6">
        <f t="shared" si="64"/>
        <v>1</v>
      </c>
    </row>
    <row r="788" spans="1:20" x14ac:dyDescent="0.3">
      <c r="A788" t="s">
        <v>1869</v>
      </c>
      <c r="B788" s="13" t="s">
        <v>167</v>
      </c>
      <c r="C788" s="16">
        <f t="shared" si="60"/>
        <v>45748</v>
      </c>
      <c r="D788" t="s">
        <v>1021</v>
      </c>
      <c r="E788" t="s">
        <v>43</v>
      </c>
      <c r="F788" t="s">
        <v>963</v>
      </c>
      <c r="G788" t="s">
        <v>1098</v>
      </c>
      <c r="H788" t="s">
        <v>965</v>
      </c>
      <c r="I788">
        <v>1615</v>
      </c>
      <c r="J788" s="3">
        <v>751.73</v>
      </c>
      <c r="K788" s="3">
        <v>1214043.95</v>
      </c>
      <c r="L788">
        <v>366</v>
      </c>
      <c r="M788" t="s">
        <v>188</v>
      </c>
      <c r="N788" s="16">
        <f t="shared" si="61"/>
        <v>45778</v>
      </c>
      <c r="O788" t="s">
        <v>188</v>
      </c>
      <c r="P788" t="str">
        <f t="shared" si="62"/>
        <v>May 2025</v>
      </c>
      <c r="Q788" t="s">
        <v>966</v>
      </c>
      <c r="R788" s="8">
        <v>22462.36</v>
      </c>
      <c r="S788" s="8">
        <f t="shared" si="63"/>
        <v>1236506.31</v>
      </c>
      <c r="T788" s="6">
        <f t="shared" si="64"/>
        <v>0</v>
      </c>
    </row>
    <row r="789" spans="1:20" x14ac:dyDescent="0.3">
      <c r="A789" t="s">
        <v>1870</v>
      </c>
      <c r="B789" s="13" t="s">
        <v>1545</v>
      </c>
      <c r="C789" s="16">
        <f t="shared" si="60"/>
        <v>45658</v>
      </c>
      <c r="D789" t="s">
        <v>984</v>
      </c>
      <c r="E789" t="s">
        <v>49</v>
      </c>
      <c r="F789" t="s">
        <v>971</v>
      </c>
      <c r="G789" t="s">
        <v>957</v>
      </c>
      <c r="H789" t="s">
        <v>965</v>
      </c>
      <c r="I789">
        <v>128</v>
      </c>
      <c r="J789" s="3">
        <v>375.52</v>
      </c>
      <c r="K789" s="3">
        <v>48066.559999999998</v>
      </c>
      <c r="L789">
        <v>127</v>
      </c>
      <c r="M789" t="s">
        <v>1546</v>
      </c>
      <c r="N789" s="16">
        <f t="shared" si="61"/>
        <v>45658</v>
      </c>
      <c r="O789" t="s">
        <v>1546</v>
      </c>
      <c r="P789" t="str">
        <f t="shared" si="62"/>
        <v>January 2025</v>
      </c>
      <c r="Q789" t="s">
        <v>966</v>
      </c>
      <c r="R789" s="8">
        <v>5698.06</v>
      </c>
      <c r="S789" s="8">
        <f t="shared" si="63"/>
        <v>53764.619999999995</v>
      </c>
      <c r="T789" s="6">
        <f t="shared" si="64"/>
        <v>0</v>
      </c>
    </row>
    <row r="790" spans="1:20" x14ac:dyDescent="0.3">
      <c r="A790" t="s">
        <v>1871</v>
      </c>
      <c r="B790" s="13" t="s">
        <v>970</v>
      </c>
      <c r="C790" s="16">
        <f t="shared" si="60"/>
        <v>45658</v>
      </c>
      <c r="D790" t="s">
        <v>955</v>
      </c>
      <c r="E790" t="s">
        <v>49</v>
      </c>
      <c r="F790" t="s">
        <v>956</v>
      </c>
      <c r="G790" t="s">
        <v>957</v>
      </c>
      <c r="H790" t="s">
        <v>1023</v>
      </c>
      <c r="I790">
        <v>1099</v>
      </c>
      <c r="J790" s="3">
        <v>843.05</v>
      </c>
      <c r="K790" s="3">
        <v>926511.95</v>
      </c>
      <c r="L790">
        <v>100</v>
      </c>
      <c r="M790" t="s">
        <v>149</v>
      </c>
      <c r="N790" s="16">
        <f t="shared" si="61"/>
        <v>45658</v>
      </c>
      <c r="O790" t="s">
        <v>866</v>
      </c>
      <c r="P790" t="str">
        <f t="shared" si="62"/>
        <v>January 2025</v>
      </c>
      <c r="Q790" t="s">
        <v>959</v>
      </c>
      <c r="R790" s="8">
        <v>5234.1499999999996</v>
      </c>
      <c r="S790" s="8">
        <f t="shared" si="63"/>
        <v>931746.1</v>
      </c>
      <c r="T790" s="6">
        <f t="shared" si="64"/>
        <v>4</v>
      </c>
    </row>
    <row r="791" spans="1:20" x14ac:dyDescent="0.3">
      <c r="A791" t="s">
        <v>1872</v>
      </c>
      <c r="B791" s="13" t="s">
        <v>566</v>
      </c>
      <c r="C791" s="16">
        <f t="shared" si="60"/>
        <v>45901</v>
      </c>
      <c r="D791" t="s">
        <v>1003</v>
      </c>
      <c r="E791" t="s">
        <v>990</v>
      </c>
      <c r="F791" t="s">
        <v>956</v>
      </c>
      <c r="G791" t="s">
        <v>1026</v>
      </c>
      <c r="H791" t="s">
        <v>992</v>
      </c>
      <c r="I791">
        <v>2191</v>
      </c>
      <c r="J791" s="3">
        <v>255.38</v>
      </c>
      <c r="K791" s="3">
        <v>559537.57999999996</v>
      </c>
      <c r="L791">
        <v>41</v>
      </c>
      <c r="M791" t="s">
        <v>564</v>
      </c>
      <c r="N791" s="16">
        <f t="shared" si="61"/>
        <v>45901</v>
      </c>
      <c r="O791" t="s">
        <v>566</v>
      </c>
      <c r="P791" t="str">
        <f t="shared" si="62"/>
        <v>September 2025</v>
      </c>
      <c r="Q791" t="s">
        <v>966</v>
      </c>
      <c r="R791" s="8">
        <v>2215.94</v>
      </c>
      <c r="S791" s="8">
        <f t="shared" si="63"/>
        <v>561753.5199999999</v>
      </c>
      <c r="T791" s="6">
        <f t="shared" si="64"/>
        <v>-1</v>
      </c>
    </row>
    <row r="792" spans="1:20" x14ac:dyDescent="0.3">
      <c r="A792" t="s">
        <v>1873</v>
      </c>
      <c r="B792" s="13" t="s">
        <v>338</v>
      </c>
      <c r="C792" s="16">
        <f t="shared" si="60"/>
        <v>45931</v>
      </c>
      <c r="D792" t="s">
        <v>968</v>
      </c>
      <c r="E792" t="s">
        <v>49</v>
      </c>
      <c r="F792" t="s">
        <v>980</v>
      </c>
      <c r="G792" t="s">
        <v>1026</v>
      </c>
      <c r="H792" t="s">
        <v>1000</v>
      </c>
      <c r="I792">
        <v>339</v>
      </c>
      <c r="J792" s="3">
        <v>513.38</v>
      </c>
      <c r="K792" s="3">
        <v>174035.82</v>
      </c>
      <c r="L792">
        <v>623</v>
      </c>
      <c r="M792" t="s">
        <v>311</v>
      </c>
      <c r="N792" s="16">
        <f t="shared" si="61"/>
        <v>45931</v>
      </c>
      <c r="O792" t="s">
        <v>311</v>
      </c>
      <c r="P792" t="str">
        <f t="shared" si="62"/>
        <v>October 2025</v>
      </c>
      <c r="Q792" t="s">
        <v>966</v>
      </c>
      <c r="R792" s="8">
        <v>33313.120000000003</v>
      </c>
      <c r="S792" s="8">
        <f t="shared" si="63"/>
        <v>207348.94</v>
      </c>
      <c r="T792" s="6">
        <f t="shared" si="64"/>
        <v>0</v>
      </c>
    </row>
    <row r="793" spans="1:20" x14ac:dyDescent="0.3">
      <c r="A793" t="s">
        <v>1874</v>
      </c>
      <c r="B793" s="13" t="s">
        <v>172</v>
      </c>
      <c r="C793" s="16">
        <f t="shared" si="60"/>
        <v>45658</v>
      </c>
      <c r="D793" t="s">
        <v>1003</v>
      </c>
      <c r="E793" t="s">
        <v>990</v>
      </c>
      <c r="F793" t="s">
        <v>980</v>
      </c>
      <c r="G793" t="s">
        <v>1068</v>
      </c>
      <c r="H793" t="s">
        <v>992</v>
      </c>
      <c r="I793">
        <v>2230</v>
      </c>
      <c r="J793" s="3">
        <v>300.83999999999997</v>
      </c>
      <c r="K793" s="3">
        <v>670873.19999999995</v>
      </c>
      <c r="L793">
        <v>167</v>
      </c>
      <c r="M793" t="s">
        <v>273</v>
      </c>
      <c r="N793" s="16">
        <f t="shared" si="61"/>
        <v>45658</v>
      </c>
      <c r="O793" t="s">
        <v>459</v>
      </c>
      <c r="P793" t="str">
        <f t="shared" si="62"/>
        <v>January 2025</v>
      </c>
      <c r="Q793" t="s">
        <v>959</v>
      </c>
      <c r="R793" s="8">
        <v>7612.19</v>
      </c>
      <c r="S793" s="8">
        <f t="shared" si="63"/>
        <v>678485.3899999999</v>
      </c>
      <c r="T793" s="6">
        <f t="shared" si="64"/>
        <v>2</v>
      </c>
    </row>
    <row r="794" spans="1:20" x14ac:dyDescent="0.3">
      <c r="A794" t="s">
        <v>1875</v>
      </c>
      <c r="B794" s="13" t="s">
        <v>1060</v>
      </c>
      <c r="C794" s="16">
        <f t="shared" si="60"/>
        <v>45870</v>
      </c>
      <c r="D794" t="s">
        <v>1011</v>
      </c>
      <c r="E794" t="s">
        <v>962</v>
      </c>
      <c r="F794" t="s">
        <v>956</v>
      </c>
      <c r="G794" t="s">
        <v>1098</v>
      </c>
      <c r="H794" t="s">
        <v>1000</v>
      </c>
      <c r="I794">
        <v>1792</v>
      </c>
      <c r="J794" s="3">
        <v>742.85</v>
      </c>
      <c r="K794" s="3">
        <v>1331187.2</v>
      </c>
      <c r="L794">
        <v>380</v>
      </c>
      <c r="M794" t="s">
        <v>203</v>
      </c>
      <c r="N794" s="16">
        <f t="shared" si="61"/>
        <v>45870</v>
      </c>
      <c r="O794" t="s">
        <v>1263</v>
      </c>
      <c r="P794" t="str">
        <f t="shared" si="62"/>
        <v>August 2025</v>
      </c>
      <c r="Q794" t="s">
        <v>959</v>
      </c>
      <c r="R794" s="8">
        <v>18281.240000000002</v>
      </c>
      <c r="S794" s="8">
        <f t="shared" si="63"/>
        <v>1349468.44</v>
      </c>
      <c r="T794" s="6">
        <f t="shared" si="64"/>
        <v>4</v>
      </c>
    </row>
    <row r="795" spans="1:20" x14ac:dyDescent="0.3">
      <c r="A795" t="s">
        <v>1876</v>
      </c>
      <c r="B795" s="13" t="s">
        <v>543</v>
      </c>
      <c r="C795" s="16">
        <f t="shared" si="60"/>
        <v>45931</v>
      </c>
      <c r="D795" t="s">
        <v>1011</v>
      </c>
      <c r="E795" t="s">
        <v>987</v>
      </c>
      <c r="F795" t="s">
        <v>980</v>
      </c>
      <c r="G795" t="s">
        <v>1132</v>
      </c>
      <c r="H795" t="s">
        <v>992</v>
      </c>
      <c r="I795">
        <v>1821</v>
      </c>
      <c r="J795" s="3">
        <v>493.03</v>
      </c>
      <c r="K795" s="3">
        <v>897807.63</v>
      </c>
      <c r="L795">
        <v>165</v>
      </c>
      <c r="M795" t="s">
        <v>114</v>
      </c>
      <c r="N795" s="16">
        <f t="shared" si="61"/>
        <v>45931</v>
      </c>
      <c r="O795" t="s">
        <v>543</v>
      </c>
      <c r="P795" t="str">
        <f t="shared" si="62"/>
        <v>October 2025</v>
      </c>
      <c r="Q795" t="s">
        <v>966</v>
      </c>
      <c r="R795" s="8">
        <v>6127.53</v>
      </c>
      <c r="S795" s="8">
        <f t="shared" si="63"/>
        <v>903935.16</v>
      </c>
      <c r="T795" s="6">
        <f t="shared" si="64"/>
        <v>-1</v>
      </c>
    </row>
    <row r="796" spans="1:20" x14ac:dyDescent="0.3">
      <c r="A796" t="s">
        <v>1877</v>
      </c>
      <c r="B796" s="13" t="s">
        <v>1451</v>
      </c>
      <c r="C796" s="16">
        <f t="shared" si="60"/>
        <v>45778</v>
      </c>
      <c r="D796" t="s">
        <v>961</v>
      </c>
      <c r="E796" t="s">
        <v>33</v>
      </c>
      <c r="F796" t="s">
        <v>980</v>
      </c>
      <c r="G796" t="s">
        <v>1042</v>
      </c>
      <c r="H796" t="s">
        <v>973</v>
      </c>
      <c r="I796">
        <v>874</v>
      </c>
      <c r="J796" s="3">
        <v>829.56</v>
      </c>
      <c r="K796" s="3">
        <v>725035.44</v>
      </c>
      <c r="L796">
        <v>340</v>
      </c>
      <c r="M796" t="s">
        <v>143</v>
      </c>
      <c r="N796" s="16">
        <f t="shared" si="61"/>
        <v>45778</v>
      </c>
      <c r="O796" t="s">
        <v>143</v>
      </c>
      <c r="P796" t="str">
        <f t="shared" si="62"/>
        <v>May 2025</v>
      </c>
      <c r="Q796" t="s">
        <v>966</v>
      </c>
      <c r="R796" s="8">
        <v>14551.67</v>
      </c>
      <c r="S796" s="8">
        <f t="shared" si="63"/>
        <v>739587.11</v>
      </c>
      <c r="T796" s="6">
        <f t="shared" si="64"/>
        <v>0</v>
      </c>
    </row>
    <row r="797" spans="1:20" x14ac:dyDescent="0.3">
      <c r="A797" t="s">
        <v>1878</v>
      </c>
      <c r="B797" s="13" t="s">
        <v>1360</v>
      </c>
      <c r="C797" s="16">
        <f t="shared" si="60"/>
        <v>45839</v>
      </c>
      <c r="D797" t="s">
        <v>975</v>
      </c>
      <c r="E797" t="s">
        <v>43</v>
      </c>
      <c r="F797" t="s">
        <v>956</v>
      </c>
      <c r="G797" t="s">
        <v>1045</v>
      </c>
      <c r="H797" t="s">
        <v>1018</v>
      </c>
      <c r="I797">
        <v>2257</v>
      </c>
      <c r="J797" s="3">
        <v>524.37</v>
      </c>
      <c r="K797" s="3">
        <v>1183503.0900000001</v>
      </c>
      <c r="L797">
        <v>632</v>
      </c>
      <c r="M797" t="s">
        <v>326</v>
      </c>
      <c r="N797" s="16">
        <f t="shared" si="61"/>
        <v>45839</v>
      </c>
      <c r="O797" t="s">
        <v>107</v>
      </c>
      <c r="P797" t="str">
        <f t="shared" si="62"/>
        <v>July 2025</v>
      </c>
      <c r="Q797" t="s">
        <v>966</v>
      </c>
      <c r="R797" s="8">
        <v>24497.19</v>
      </c>
      <c r="S797" s="8">
        <f t="shared" si="63"/>
        <v>1208000.28</v>
      </c>
      <c r="T797" s="6">
        <f t="shared" si="64"/>
        <v>-1</v>
      </c>
    </row>
    <row r="798" spans="1:20" x14ac:dyDescent="0.3">
      <c r="A798" t="s">
        <v>1879</v>
      </c>
      <c r="B798" s="13" t="s">
        <v>859</v>
      </c>
      <c r="C798" s="16">
        <f t="shared" si="60"/>
        <v>45901</v>
      </c>
      <c r="D798" t="s">
        <v>955</v>
      </c>
      <c r="E798" t="s">
        <v>987</v>
      </c>
      <c r="F798" t="s">
        <v>963</v>
      </c>
      <c r="G798" t="s">
        <v>994</v>
      </c>
      <c r="H798" t="s">
        <v>973</v>
      </c>
      <c r="I798">
        <v>944</v>
      </c>
      <c r="J798" s="3">
        <v>564.27</v>
      </c>
      <c r="K798" s="3">
        <v>532670.88</v>
      </c>
      <c r="L798">
        <v>25</v>
      </c>
      <c r="M798" t="s">
        <v>1241</v>
      </c>
      <c r="N798" s="16">
        <f t="shared" si="61"/>
        <v>45901</v>
      </c>
      <c r="O798" t="s">
        <v>1241</v>
      </c>
      <c r="P798" t="str">
        <f t="shared" si="62"/>
        <v>September 2025</v>
      </c>
      <c r="Q798" t="s">
        <v>966</v>
      </c>
      <c r="R798" s="8">
        <v>1150.8599999999999</v>
      </c>
      <c r="S798" s="8">
        <f t="shared" si="63"/>
        <v>533821.74</v>
      </c>
      <c r="T798" s="6">
        <f t="shared" si="64"/>
        <v>0</v>
      </c>
    </row>
    <row r="799" spans="1:20" x14ac:dyDescent="0.3">
      <c r="A799" t="s">
        <v>1880</v>
      </c>
      <c r="B799" s="13" t="s">
        <v>79</v>
      </c>
      <c r="C799" s="16">
        <f t="shared" si="60"/>
        <v>45809</v>
      </c>
      <c r="D799" t="s">
        <v>961</v>
      </c>
      <c r="E799" t="s">
        <v>987</v>
      </c>
      <c r="F799" t="s">
        <v>956</v>
      </c>
      <c r="G799" t="s">
        <v>972</v>
      </c>
      <c r="H799" t="s">
        <v>965</v>
      </c>
      <c r="I799">
        <v>2482</v>
      </c>
      <c r="J799" s="3">
        <v>381</v>
      </c>
      <c r="K799" s="3">
        <v>945642</v>
      </c>
      <c r="L799">
        <v>348</v>
      </c>
      <c r="M799" t="s">
        <v>814</v>
      </c>
      <c r="N799" s="16">
        <f t="shared" si="61"/>
        <v>45809</v>
      </c>
      <c r="O799" t="s">
        <v>435</v>
      </c>
      <c r="P799" t="str">
        <f t="shared" si="62"/>
        <v>June 2025</v>
      </c>
      <c r="Q799" t="s">
        <v>959</v>
      </c>
      <c r="R799" s="8">
        <v>19571.79</v>
      </c>
      <c r="S799" s="8">
        <f t="shared" si="63"/>
        <v>965213.79</v>
      </c>
      <c r="T799" s="6">
        <f t="shared" si="64"/>
        <v>4</v>
      </c>
    </row>
    <row r="800" spans="1:20" x14ac:dyDescent="0.3">
      <c r="A800" t="s">
        <v>1881</v>
      </c>
      <c r="B800" s="13" t="s">
        <v>300</v>
      </c>
      <c r="C800" s="16">
        <f t="shared" si="60"/>
        <v>45748</v>
      </c>
      <c r="D800" t="s">
        <v>961</v>
      </c>
      <c r="E800" t="s">
        <v>987</v>
      </c>
      <c r="F800" t="s">
        <v>980</v>
      </c>
      <c r="G800" t="s">
        <v>1152</v>
      </c>
      <c r="H800" t="s">
        <v>1034</v>
      </c>
      <c r="I800">
        <v>2099</v>
      </c>
      <c r="J800" s="3">
        <v>838.64</v>
      </c>
      <c r="K800" s="3">
        <v>1760305.36</v>
      </c>
      <c r="L800">
        <v>383</v>
      </c>
      <c r="M800" t="s">
        <v>316</v>
      </c>
      <c r="N800" s="16">
        <f t="shared" si="61"/>
        <v>45748</v>
      </c>
      <c r="O800" t="s">
        <v>116</v>
      </c>
      <c r="P800" t="str">
        <f t="shared" si="62"/>
        <v>April 2025</v>
      </c>
      <c r="Q800" t="s">
        <v>966</v>
      </c>
      <c r="R800" s="8">
        <v>22038.080000000002</v>
      </c>
      <c r="S800" s="8">
        <f t="shared" si="63"/>
        <v>1782343.4400000002</v>
      </c>
      <c r="T800" s="6">
        <f t="shared" si="64"/>
        <v>-1</v>
      </c>
    </row>
    <row r="801" spans="1:20" x14ac:dyDescent="0.3">
      <c r="A801" t="s">
        <v>1882</v>
      </c>
      <c r="B801" s="13" t="s">
        <v>158</v>
      </c>
      <c r="C801" s="16">
        <f t="shared" si="60"/>
        <v>45992</v>
      </c>
      <c r="D801" t="s">
        <v>961</v>
      </c>
      <c r="E801" t="s">
        <v>43</v>
      </c>
      <c r="F801" t="s">
        <v>956</v>
      </c>
      <c r="G801" t="s">
        <v>1040</v>
      </c>
      <c r="H801" t="s">
        <v>977</v>
      </c>
      <c r="I801">
        <v>2150</v>
      </c>
      <c r="J801" s="3">
        <v>828.78</v>
      </c>
      <c r="K801" s="3">
        <v>1781877</v>
      </c>
      <c r="L801">
        <v>361</v>
      </c>
      <c r="M801" t="s">
        <v>88</v>
      </c>
      <c r="N801" s="16">
        <f t="shared" si="61"/>
        <v>45992</v>
      </c>
      <c r="O801" t="s">
        <v>88</v>
      </c>
      <c r="P801" t="str">
        <f t="shared" si="62"/>
        <v>December 2025</v>
      </c>
      <c r="Q801" t="s">
        <v>966</v>
      </c>
      <c r="R801" s="8">
        <v>18513.71</v>
      </c>
      <c r="S801" s="8">
        <f t="shared" si="63"/>
        <v>1800390.71</v>
      </c>
      <c r="T801" s="6">
        <f t="shared" si="64"/>
        <v>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Production_Operations</vt:lpstr>
      <vt:lpstr>Sheet2</vt:lpstr>
      <vt:lpstr>Logistics_Distribution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2026-10-22T14:29:51Z</dcterms:created>
  <dcterms:modified xsi:type="dcterms:W3CDTF">2026-10-30T13:46:33Z</dcterms:modified>
</cp:coreProperties>
</file>